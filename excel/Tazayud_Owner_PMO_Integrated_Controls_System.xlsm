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17.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3.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_rels/sheet5.xml.rels" ContentType="application/vnd.openxmlformats-package.relationships+xml"/>
  <Override PartName="/xl/worksheets/_rels/sheet11.xml.rels" ContentType="application/vnd.openxmlformats-package.relationships+xml"/>
  <Override PartName="/xl/worksheets/_rels/sheet10.xml.rels" ContentType="application/vnd.openxmlformats-package.relationships+xml"/>
  <Override PartName="/xl/worksheets/_rels/sheet6.xml.rels" ContentType="application/vnd.openxmlformats-package.relationship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17.xml" ContentType="application/vnd.openxmlformats-officedocument.spreadsheetml.worksheet+xml"/>
  <Override PartName="/xl/worksheets/sheet29.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1.xml.rels" ContentType="application/vnd.openxmlformats-package.relationship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7.xml" ContentType="application/vnd.openxmlformats-officedocument.drawing+xml"/>
  <Override PartName="/xl/drawings/drawing11.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Dashboard" sheetId="1" state="visible" r:id="rId3"/>
    <sheet name="Instructions" sheetId="2" state="visible" r:id="rId4"/>
    <sheet name="Projects" sheetId="3" state="visible" r:id="rId5"/>
    <sheet name="Master_Tracker" sheetId="4" state="visible" r:id="rId6"/>
    <sheet name="WBS_Register" sheetId="5" state="visible" r:id="rId7"/>
    <sheet name="Cost_Financials" sheetId="6" state="visible" r:id="rId8"/>
    <sheet name="Change_Log" sheetId="7" state="visible" r:id="rId9"/>
    <sheet name="Variation_Orders" sheetId="8" state="visible" r:id="rId10"/>
    <sheet name="Procurement_Register" sheetId="9" state="visible" r:id="rId11"/>
    <sheet name="Manpower_Register" sheetId="10" state="visible" r:id="rId12"/>
    <sheet name="Equipment_Register" sheetId="11" state="visible" r:id="rId13"/>
    <sheet name="Quality_Register" sheetId="12" state="visible" r:id="rId14"/>
    <sheet name="HSE_Register" sheetId="13" state="visible" r:id="rId15"/>
    <sheet name="Risk_Register" sheetId="14" state="visible" r:id="rId16"/>
    <sheet name="Issues_Register" sheetId="15" state="visible" r:id="rId17"/>
    <sheet name="Performance_Indices" sheetId="16" state="visible" r:id="rId18"/>
    <sheet name="Monthly_Trend" sheetId="17" state="visible" r:id="rId19"/>
    <sheet name="Cumulative_Trend" sheetId="18" state="visible" r:id="rId20"/>
    <sheet name="Regression_Analysis" sheetId="19" state="visible" r:id="rId21"/>
    <sheet name="PT_RES-01" sheetId="20" state="visible" r:id="rId22"/>
    <sheet name="PT_RES-02" sheetId="21" state="visible" r:id="rId23"/>
    <sheet name="PT_COM-01" sheetId="22" state="visible" r:id="rId24"/>
    <sheet name="PT_COM-02" sheetId="23" state="visible" r:id="rId25"/>
    <sheet name="PT_MXU-01" sheetId="24" state="visible" r:id="rId26"/>
    <sheet name="PT_MXU-02" sheetId="25" state="visible" r:id="rId27"/>
    <sheet name="PT_LND-01" sheetId="26" state="visible" r:id="rId28"/>
    <sheet name="PT_LND-02" sheetId="27" state="visible" r:id="rId29"/>
    <sheet name="Lists" sheetId="28" state="hidden" r:id="rId30"/>
    <sheet name="PT_TEMPLATE" sheetId="29" state="hidden" r:id="rId31"/>
  </sheets>
  <definedNames>
    <definedName function="false" hidden="true" localSheetId="6" name="_xlnm._FilterDatabase" vbProcedure="false">Change_Log!$A$8:$S$32</definedName>
    <definedName function="false" hidden="true" localSheetId="5" name="_xlnm._FilterDatabase" vbProcedure="false">Cost_Financials!$A$69:$L$157</definedName>
    <definedName function="false" hidden="true" localSheetId="10" name="_xlnm._FilterDatabase" vbProcedure="false">Equipment_Register!$A$8:$U$40</definedName>
    <definedName function="false" hidden="true" localSheetId="14" name="_xlnm._FilterDatabase" vbProcedure="false">Issues_Register!$A$8:$W$40</definedName>
    <definedName function="false" hidden="true" localSheetId="9" name="_xlnm._FilterDatabase" vbProcedure="false">Manpower_Register!$A$8:$P$56</definedName>
    <definedName function="false" hidden="true" localSheetId="16" name="_xlnm._FilterDatabase" vbProcedure="false">Monthly_Trend!$A$8:$R$200</definedName>
    <definedName function="false" hidden="true" localSheetId="8" name="_xlnm._FilterDatabase" vbProcedure="false">Procurement_Register!$A$8:$U$40</definedName>
    <definedName function="false" hidden="true" localSheetId="2" name="_xlnm._FilterDatabase" vbProcedure="false">Projects!$A$8:$AM$16</definedName>
    <definedName function="false" hidden="true" localSheetId="13" name="_xlnm._FilterDatabase" vbProcedure="false">Risk_Register!$A$8:$AA$40</definedName>
    <definedName function="false" hidden="true" localSheetId="7" name="_xlnm._FilterDatabase" vbProcedure="false">Variation_Orders!$A$8:$U$32</definedName>
    <definedName function="false" hidden="true" localSheetId="4" name="_xlnm._FilterDatabase" vbProcedure="false">WBS_Register!$A$8:$AB$80</definedName>
    <definedName function="false" hidden="false" name="PortfolioList" vbProcedure="false">Lists!$B$2:$B$5</definedName>
    <definedName function="false" hidden="false" name="ProjectIDs" vbProcedure="false">OFFSET(Lists!$A$2,0,0,COUNTA(Lists!$A$2:$A$500),1)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<sst xmlns="http://schemas.openxmlformats.org/spreadsheetml/2006/main" count="7255" uniqueCount="1592">
  <si>
    <t xml:space="preserve">CONSOLIDATED PORTFOLIO &amp; PROJECT CONTROLS DASHBOARD</t>
  </si>
  <si>
    <t xml:space="preserve">Tazayud Real Estate Development — Owner PMO  |  4 Portfolios  |  8 Projects  |  delivered via PMC and contractors  |  SAR</t>
  </si>
  <si>
    <t xml:space="preserve">SCOPE &amp; REPORTING CONTROL — change these three cells to re-cut the entire workbook</t>
  </si>
  <si>
    <t xml:space="preserve">Scope Level</t>
  </si>
  <si>
    <t xml:space="preserve">Corporate</t>
  </si>
  <si>
    <t xml:space="preserve">Portfolio</t>
  </si>
  <si>
    <t xml:space="preserve">Residential</t>
  </si>
  <si>
    <t xml:space="preserve">Project</t>
  </si>
  <si>
    <t xml:space="preserve">RES-01</t>
  </si>
  <si>
    <t xml:space="preserve">Data Date</t>
  </si>
  <si>
    <t xml:space="preserve">Reporting Period No.</t>
  </si>
  <si>
    <t xml:space="preserve">Reporting Scope</t>
  </si>
  <si>
    <t xml:space="preserve">1.  HEADLINE STATUS FOR THE SELECTED SCOPE</t>
  </si>
  <si>
    <t xml:space="preserve">OVERALL % COMPLETE
(actual, cost-weighted)</t>
  </si>
  <si>
    <t xml:space="preserve">SCHEDULE PERFORMANCE
INDEX (SPI)</t>
  </si>
  <si>
    <t xml:space="preserve">COST PERFORMANCE
INDEX (CPI)</t>
  </si>
  <si>
    <t xml:space="preserve">COMPOSITE PROJECT
HEALTH INDEX</t>
  </si>
  <si>
    <t xml:space="preserve">2.  FINANCIAL POSITION</t>
  </si>
  <si>
    <t xml:space="preserve">APPROVED DEVELOPMENT BUDGET
(incl. approved variations)</t>
  </si>
  <si>
    <t xml:space="preserve">CONTROL BUDGET AT COMPLETION
(allocated to packages)</t>
  </si>
  <si>
    <t xml:space="preserve">ANTICIPATED FINAL COST
(selected method)</t>
  </si>
  <si>
    <t xml:space="preserve">CONTRACTOR PAYMENTS
MADE TO DATE</t>
  </si>
  <si>
    <t xml:space="preserve">PLANNED VALUE (PV)</t>
  </si>
  <si>
    <t xml:space="preserve">EARNED VALUE (EV)</t>
  </si>
  <si>
    <t xml:space="preserve">COST INCURRED (AC)</t>
  </si>
  <si>
    <t xml:space="preserve">COST TO COMPLETE</t>
  </si>
  <si>
    <t xml:space="preserve">3.  TREND &amp; PERFORMANCE CURVES FOR THE SELECTED SCOPE</t>
  </si>
  <si>
    <t xml:space="preserve">4.  MONTHLY DELIVERY &amp; COST STRUCTURE</t>
  </si>
  <si>
    <t xml:space="preserve">5.  PORTFOLIO COMPARISON — ALWAYS CORPORATE-WIDE</t>
  </si>
  <si>
    <t xml:space="preserve">Approved Budget
(SAR)</t>
  </si>
  <si>
    <t xml:space="preserve">Control Budget
(SAR)</t>
  </si>
  <si>
    <t xml:space="preserve">Anticipated Final
Cost (SAR)</t>
  </si>
  <si>
    <t xml:space="preserve">SPI</t>
  </si>
  <si>
    <t xml:space="preserve">CPI</t>
  </si>
  <si>
    <t xml:space="preserve">CORPORATE TOTAL</t>
  </si>
  <si>
    <t xml:space="preserve">6.  PROJECT COMPARISON — ALL EIGHT PROJECTS</t>
  </si>
  <si>
    <t xml:space="preserve">7.  CONTROL REGISTER SNAPSHOT FOR THE SELECTED SCOPE</t>
  </si>
  <si>
    <t xml:space="preserve">COMMERCIAL — VARIATIONS &amp; CHANGE</t>
  </si>
  <si>
    <t xml:space="preserve">DELIVERY — CONTRACT AWARD &amp; RESOURCES</t>
  </si>
  <si>
    <t xml:space="preserve">QUALITY &amp; HSE</t>
  </si>
  <si>
    <t xml:space="preserve">RISK &amp; ISSUES</t>
  </si>
  <si>
    <t xml:space="preserve">Approved variations — budget uplift (SAR)</t>
  </si>
  <si>
    <t xml:space="preserve">Committed on awarded contracts (SAR)</t>
  </si>
  <si>
    <t xml:space="preserve">First-time-right inspections (%)</t>
  </si>
  <si>
    <t xml:space="preserve">Expected monetary value — open risk (SAR)</t>
  </si>
  <si>
    <t xml:space="preserve">Pending variations — exposure (SAR)</t>
  </si>
  <si>
    <t xml:space="preserve">Critical packages not yet awarded (No.)</t>
  </si>
  <si>
    <t xml:space="preserve">Open non-conformance reports (No.)</t>
  </si>
  <si>
    <t xml:space="preserve">Open risks rated High or Critical (No.)</t>
  </si>
  <si>
    <t xml:space="preserve">Approved variation budget-variance impact (SAR)</t>
  </si>
  <si>
    <t xml:space="preserve">Package completion on time (%)</t>
  </si>
  <si>
    <t xml:space="preserve">Rework cost to date (SAR)</t>
  </si>
  <si>
    <t xml:space="preserve">Expected schedule exposure (days)</t>
  </si>
  <si>
    <t xml:space="preserve">Approved time impact (days)</t>
  </si>
  <si>
    <t xml:space="preserve">Contractor workforce fulfilment (%)</t>
  </si>
  <si>
    <t xml:space="preserve">Total recordable incident rate</t>
  </si>
  <si>
    <t xml:space="preserve">Open issues (No.)</t>
  </si>
  <si>
    <t xml:space="preserve">Open change requests (No.)</t>
  </si>
  <si>
    <t xml:space="preserve">Actual man-hours to date</t>
  </si>
  <si>
    <t xml:space="preserve">Lost time injuries</t>
  </si>
  <si>
    <t xml:space="preserve">Open issues aged over 30 days (No.)</t>
  </si>
  <si>
    <t xml:space="preserve">Chargeable changes with no VO (No.)</t>
  </si>
  <si>
    <t xml:space="preserve">Contractor plant availability (%)</t>
  </si>
  <si>
    <t xml:space="preserve">HSE training compliance (%)</t>
  </si>
  <si>
    <t xml:space="preserve">Cost impact of open issues (SAR)</t>
  </si>
  <si>
    <t xml:space="preserve">8.  TOP EXPOSURES REQUIRING MANAGEMENT ATTENTION (within the selected scope)</t>
  </si>
  <si>
    <t xml:space="preserve">Highest-Exposure Risks (by expected monetary value)</t>
  </si>
  <si>
    <t xml:space="preserve">Score</t>
  </si>
  <si>
    <t xml:space="preserve">EMV (SAR)</t>
  </si>
  <si>
    <t xml:space="preserve">Days</t>
  </si>
  <si>
    <t xml:space="preserve">Risk Owner</t>
  </si>
  <si>
    <t xml:space="preserve">Response</t>
  </si>
  <si>
    <t xml:space="preserve">Level</t>
  </si>
  <si>
    <t xml:space="preserve">Oldest Open Issues (by days outstanding)</t>
  </si>
  <si>
    <t xml:space="preserve">Cost (SAR)</t>
  </si>
  <si>
    <t xml:space="preserve">Delay</t>
  </si>
  <si>
    <t xml:space="preserve">Owner</t>
  </si>
  <si>
    <t xml:space="preserve">Priority</t>
  </si>
  <si>
    <t xml:space="preserve">Status</t>
  </si>
  <si>
    <t xml:space="preserve">9.  DATA INTEGRITY &amp; ASSURANCE CONCLUSION</t>
  </si>
  <si>
    <t xml:space="preserve">Reconciliation controls passed (corporate-wide)</t>
  </si>
  <si>
    <t xml:space="preserve">All ten controls must read OK before this report is issued.</t>
  </si>
  <si>
    <t xml:space="preserve">Forecast completion date (earned-schedule basis)</t>
  </si>
  <si>
    <t xml:space="preserve">The regression sheet gives a second, independent view of the same question.</t>
  </si>
  <si>
    <t xml:space="preserve">Forecast slip vs average revised completion (days)</t>
  </si>
  <si>
    <t xml:space="preserve">Positive means the selected scope is currently forecast to finish late.</t>
  </si>
  <si>
    <t xml:space="preserve">Anticipated final cost spread across six methods (SAR)</t>
  </si>
  <si>
    <t xml:space="preserve">The wider the spread, the less confidence the forecast carries.</t>
  </si>
  <si>
    <t xml:space="preserve">Overall RAG for the selected scope</t>
  </si>
  <si>
    <t xml:space="preserve">Worst of schedule and cost. Any lost-time injury overrides this by policy.</t>
  </si>
  <si>
    <t xml:space="preserve">HOW TO READ THIS DASHBOARD — nothing on this page is typed except the three scope cells and the two reporting-date cells at the top. Everything else is a formula reading from Master_Tracker and the registers behind it. Set Scope Level to Corporate for the whole company, to Portfolio and pick one of the four, or to Project and pick one of the eight — every tile, table, index, curve and regression on this dashboard re-cuts to that view. Sections 5 and 6 deliberately stay corporate-wide so a portfolio or project can always be read in context. All figures are illustrative until live data replaces them.</t>
  </si>
  <si>
    <t xml:space="preserve">HOW THIS WORKBOOK WORKS</t>
  </si>
  <si>
    <t xml:space="preserve">Tazayud Real Estate Development — Owner PMO  |  4 Portfolios  |  8 Projects</t>
  </si>
  <si>
    <t xml:space="preserve">Read this page once. It explains the data model, the scope selector, the colour code and which cells you are expected to touch.</t>
  </si>
  <si>
    <t xml:space="preserve">1.  THE SCOPE SELECTOR — THE ONE IDEA THAT MAKES THIS A PORTFOLIO SYSTEM</t>
  </si>
  <si>
    <t xml:space="preserve">Scope</t>
  </si>
  <si>
    <t xml:space="preserve">Three cells on the Dashboard (Scope Level, Portfolio, Project) control what the entire workbook reports.</t>
  </si>
  <si>
    <t xml:space="preserve">Set Scope Level to Corporate and every roll-up covers all four portfolios and all eight projects.</t>
  </si>
  <si>
    <t xml:space="preserve">Set it to Portfolio and pick one of the four — every index, curve, register summary and regression re-cuts to that portfolio only.</t>
  </si>
  <si>
    <t xml:space="preserve">Set it to Project and pick one of the eight — the same happens for a single project.</t>
  </si>
  <si>
    <t xml:space="preserve">Mechanically: every register carries a Project ID, a Portfolio looked up from it, and an In-Scope flag that evaluates to 1 or 0. Every consolidated figure is a SUMPRODUCT against that flag, so nothing can drift out of step.</t>
  </si>
  <si>
    <t xml:space="preserve">Two things deliberately ignore the selector: the portfolio and project comparison tables (so context is never lost) and the ten reconciliation controls (which always test all eight projects).</t>
  </si>
  <si>
    <t xml:space="preserve">2.  COLOUR CODE — WHAT YOU MAY AND MAY NOT EDIT</t>
  </si>
  <si>
    <t xml:space="preserve">Input cell</t>
  </si>
  <si>
    <t xml:space="preserve">Cream fill, blue text. Data you enter or update each period. Overtype the illustrative values.</t>
  </si>
  <si>
    <t xml:space="preserve">Calculated cell</t>
  </si>
  <si>
    <t xml:space="preserve">White fill, black text. A formula within the same sheet. Do not overtype.</t>
  </si>
  <si>
    <t xml:space="preserve">Cross-sheet link</t>
  </si>
  <si>
    <t xml:space="preserve">Green text. Pulled from another sheet. Change it at source, never here.</t>
  </si>
  <si>
    <t xml:space="preserve">RAG — Green</t>
  </si>
  <si>
    <t xml:space="preserve">Within tolerance. Continue monitoring.</t>
  </si>
  <si>
    <t xml:space="preserve">RAG — Amber</t>
  </si>
  <si>
    <t xml:space="preserve">Outside tolerance but recoverable. Action owner and recovery date required.</t>
  </si>
  <si>
    <t xml:space="preserve">RAG — Red</t>
  </si>
  <si>
    <t xml:space="preserve">Tolerance breached. Escalate under the delegation of authority.</t>
  </si>
  <si>
    <t xml:space="preserve">3.  SHEET MAP &amp; DATA FLOW</t>
  </si>
  <si>
    <t xml:space="preserve">Sheet</t>
  </si>
  <si>
    <t xml:space="preserve">What it holds</t>
  </si>
  <si>
    <t xml:space="preserve">Where it goes</t>
  </si>
  <si>
    <t xml:space="preserve">Dashboard</t>
  </si>
  <si>
    <t xml:space="preserve">Scope selector, KPI tiles, six charts, top exposures — no data</t>
  </si>
  <si>
    <t xml:space="preserve">Reads Master_Tracker and every register</t>
  </si>
  <si>
    <t xml:space="preserve">Projects</t>
  </si>
  <si>
    <t xml:space="preserve">The 8 developments: identity, delivery route, dates, approved budget, contractor IPC position</t>
  </si>
  <si>
    <t xml:space="preserve">Feeds Master_Tracker, Cost_Financials and every portfolio roll-up</t>
  </si>
  <si>
    <t xml:space="preserve">Master_Tracker</t>
  </si>
  <si>
    <t xml:space="preserve">Consolidated position, control panel, portfolio and project summaries, reconciliation</t>
  </si>
  <si>
    <t xml:space="preserve">Feeds Cost_Financials, Performance_Indices, Cumulative_Trend and the Dashboard</t>
  </si>
  <si>
    <t xml:space="preserve">WBS_Register</t>
  </si>
  <si>
    <t xml:space="preserve">72 contract packages across 8 developments — budget, progress, cost, commitment</t>
  </si>
  <si>
    <t xml:space="preserve">The source of PV, EV, cost incurred and commitment everywhere else</t>
  </si>
  <si>
    <t xml:space="preserve">Cost_Financials</t>
  </si>
  <si>
    <t xml:space="preserve">Approved budget, four AFC methods, budget variance, capital deployment, cost register</t>
  </si>
  <si>
    <t xml:space="preserve">Feeds the control panel, the indices and the regression triangulation</t>
  </si>
  <si>
    <t xml:space="preserve">Change_Log</t>
  </si>
  <si>
    <t xml:space="preserve">Change requests, impact assessment, delegated authority, decision status</t>
  </si>
  <si>
    <t xml:space="preserve">Approved chargeable changes must appear as variation orders</t>
  </si>
  <si>
    <t xml:space="preserve">Variation_Orders</t>
  </si>
  <si>
    <t xml:space="preserve">Every contractor variation with budget uplift, award impact, time impact and status</t>
  </si>
  <si>
    <t xml:space="preserve">Approved variations set the approved budget and revised control budget on Projects</t>
  </si>
  <si>
    <t xml:space="preserve">Procurement_Register</t>
  </si>
  <si>
    <t xml:space="preserve">Contract packages, tender and award dates, commitments, completion performance</t>
  </si>
  <si>
    <t xml:space="preserve">Commitments reconcile to WBS; award timing drives the contract award index</t>
  </si>
  <si>
    <t xml:space="preserve">Manpower_Register</t>
  </si>
  <si>
    <t xml:space="preserve">Contractor and PMC headcount, man-hours, rates and cost by trade</t>
  </si>
  <si>
    <t xml:space="preserve">Man-hours feed HSE exposure; PMC and owner staff cost feeds PMC Fees</t>
  </si>
  <si>
    <t xml:space="preserve">Equipment_Register</t>
  </si>
  <si>
    <t xml:space="preserve">Contractor fleet deployment, availability, utilisation, indicative cost exposure</t>
  </si>
  <si>
    <t xml:space="preserve">Productivity control only — plant sits inside the contractors' rates</t>
  </si>
  <si>
    <t xml:space="preserve">Quality_Register</t>
  </si>
  <si>
    <t xml:space="preserve">Inspection performance by project, NCR log, rework cost</t>
  </si>
  <si>
    <t xml:space="preserve">Feeds the Quality Performance Index and the control panel</t>
  </si>
  <si>
    <t xml:space="preserve">HSE_Register</t>
  </si>
  <si>
    <t xml:space="preserve">Exposure hours, incident statistics, leading indicators, incident log</t>
  </si>
  <si>
    <t xml:space="preserve">Feeds the HSE Performance Index and the control panel</t>
  </si>
  <si>
    <t xml:space="preserve">Risk_Register</t>
  </si>
  <si>
    <t xml:space="preserve">Inherent and residual risk with expected monetary value</t>
  </si>
  <si>
    <t xml:space="preserve">EMV is compared against the management reserve in Cost_Financials</t>
  </si>
  <si>
    <t xml:space="preserve">Issues_Register</t>
  </si>
  <si>
    <t xml:space="preserve">Live issues with ageing, cost and schedule impact</t>
  </si>
  <si>
    <t xml:space="preserve">Ageing feeds the control panel and the dashboard exposure table</t>
  </si>
  <si>
    <t xml:space="preserve">Performance_Indices</t>
  </si>
  <si>
    <t xml:space="preserve">Eighteen indices and the weighted composite health index</t>
  </si>
  <si>
    <t xml:space="preserve">Composite index feeds Master_Tracker and the Dashboard</t>
  </si>
  <si>
    <t xml:space="preserve">Monthly_Trend</t>
  </si>
  <si>
    <t xml:space="preserve">192 rows — the only place time-phased money is typed</t>
  </si>
  <si>
    <t xml:space="preserve">Feeds Cumulative_Trend, Regression_Analysis and every trend chart</t>
  </si>
  <si>
    <t xml:space="preserve">Cumulative_Trend</t>
  </si>
  <si>
    <t xml:space="preserve">Scope-filtered cumulative curves, forecast continuation, earned schedule</t>
  </si>
  <si>
    <t xml:space="preserve">Feeds the S-curve, SPI(t) and the forecast completion date</t>
  </si>
  <si>
    <t xml:space="preserve">Regression_Analysis</t>
  </si>
  <si>
    <t xml:space="preserve">Six least-squares models and six-method EAC triangulation</t>
  </si>
  <si>
    <t xml:space="preserve">Reads only. Nothing depends on it except the assurance block</t>
  </si>
  <si>
    <t xml:space="preserve">4.  MONTHLY UPDATE ROUTINE — IN ORDER</t>
  </si>
  <si>
    <t xml:space="preserve">Step 1</t>
  </si>
  <si>
    <t xml:space="preserve">Set the Data Date and Reporting Period No. on the Dashboard. Everything keys off those two cells.</t>
  </si>
  <si>
    <t xml:space="preserve">Step 2</t>
  </si>
  <si>
    <t xml:space="preserve">Update Variation_Orders first — approvals change contract value and budget, so they must land before anything is measured against the budget.</t>
  </si>
  <si>
    <t xml:space="preserve">Step 3</t>
  </si>
  <si>
    <t xml:space="preserve">Update Change_Log so every approved chargeable change carries a variation reference.</t>
  </si>
  <si>
    <t xml:space="preserve">Step 4</t>
  </si>
  <si>
    <t xml:space="preserve">Update WBS_Register: actual % complete, actual cost, committed cost and status for each package.</t>
  </si>
  <si>
    <t xml:space="preserve">Step 5</t>
  </si>
  <si>
    <t xml:space="preserve">Enter the month's planned value, earned value, actual cost, certified value and man-hours for each project in Monthly_Trend.</t>
  </si>
  <si>
    <t xml:space="preserve">Step 6</t>
  </si>
  <si>
    <t xml:space="preserve">Update the procurement, manpower, equipment, quality, HSE, risk and issue registers.</t>
  </si>
  <si>
    <t xml:space="preserve">Step 7</t>
  </si>
  <si>
    <t xml:space="preserve">Update the per-project commercial inputs on Projects: IPC certified, IPC paid, accruals, advance recovered.</t>
  </si>
  <si>
    <t xml:space="preserve">Step 8</t>
  </si>
  <si>
    <t xml:space="preserve">Set the forecast CPI, the schedule recovery factor and the EAC method on Cost_Financials.</t>
  </si>
  <si>
    <t xml:space="preserve">Step 9</t>
  </si>
  <si>
    <t xml:space="preserve">Check section 6 of Master_Tracker. All ten reconciliation controls must read OK. A FAIL means two sheets disagree — fix the source, never the check.</t>
  </si>
  <si>
    <t xml:space="preserve">Step 10</t>
  </si>
  <si>
    <t xml:space="preserve">Read Regression_Analysis. If the six estimates at completion converge, report the mean. If they diverge, report the conservative case and say why.</t>
  </si>
  <si>
    <t xml:space="preserve">Step 11</t>
  </si>
  <si>
    <t xml:space="preserve">Issue the Dashboard at Corporate scope for the board, then re-cut it per portfolio and per project for the portfolio directors and project managers. It needs no editing.</t>
  </si>
  <si>
    <t xml:space="preserve">5.  DEFINITIONS</t>
  </si>
  <si>
    <t xml:space="preserve">Approved Development Budget</t>
  </si>
  <si>
    <t xml:space="preserve">The board-sanctioned capital envelope for the development. This is the developer's revenue-side control number in the sense that everything is measured against it — but it is a COST sanction, never income.</t>
  </si>
  <si>
    <t xml:space="preserve">Control Budget at Completion (BAC)</t>
  </si>
  <si>
    <t xml:space="preserve">The portion of the approved budget allocated to contract packages and used as the earned-value baseline.</t>
  </si>
  <si>
    <t xml:space="preserve">Budget Variance</t>
  </si>
  <si>
    <t xml:space="preserve">Approved development budget less forecast cost, reported in SAR. Positive means the development is forecast to land within its sanctioned budget.</t>
  </si>
  <si>
    <t xml:space="preserve">Awarded / Committed Value</t>
  </si>
  <si>
    <t xml:space="preserve">Contract value let to contractors. For Tazayud this is committed COST, not revenue — awarding a contract consumes budget, it does not earn income.</t>
  </si>
  <si>
    <t xml:space="preserve">Planned Value (PV)</t>
  </si>
  <si>
    <t xml:space="preserve">Budget cost of work scheduled by the data date. PV = package budget x planned %.</t>
  </si>
  <si>
    <t xml:space="preserve">Earned Value (EV)</t>
  </si>
  <si>
    <t xml:space="preserve">Budget cost of work actually executed and certified through the PMC.</t>
  </si>
  <si>
    <t xml:space="preserve">Cost Incurred (AC)</t>
  </si>
  <si>
    <t xml:space="preserve">Cost incurred by the developer to achieve the earned value.</t>
  </si>
  <si>
    <t xml:space="preserve">Anticipated Final Cost (AFC)</t>
  </si>
  <si>
    <t xml:space="preserve">Forecast total cost of the development — the owner-side equivalent of a contractor's Estimate at Completion.</t>
  </si>
  <si>
    <t xml:space="preserve">Cost to Complete (CTC)</t>
  </si>
  <si>
    <t xml:space="preserve">AFC less cost incurred: capital still to be deployed.</t>
  </si>
  <si>
    <t xml:space="preserve">CV / SV</t>
  </si>
  <si>
    <t xml:space="preserve">EV less cost incurred, and EV less PV. Negative is unfavourable.</t>
  </si>
  <si>
    <t xml:space="preserve">CPI / SPI</t>
  </si>
  <si>
    <t xml:space="preserve">EV / cost incurred, and EV / PV. Below 1.00 is unfavourable.</t>
  </si>
  <si>
    <t xml:space="preserve">SPI(t) — Earned Schedule</t>
  </si>
  <si>
    <t xml:space="preserve">Earned schedule / actual time elapsed. Does not drift to 1.00 near completion.</t>
  </si>
  <si>
    <t xml:space="preserve">TCPI</t>
  </si>
  <si>
    <t xml:space="preserve">Cost efficiency required from contractors on remaining work to hold the budget or the forecast.</t>
  </si>
  <si>
    <t xml:space="preserve">Expected Monetary Value</t>
  </si>
  <si>
    <t xml:space="preserve">Risk probability x cost exposure retained by the developer, compared against the management reserve.</t>
  </si>
  <si>
    <t xml:space="preserve">PMC</t>
  </si>
  <si>
    <t xml:space="preserve">Project Management Consultant appointed by Tazayud to administer the contracts and certify work. Projects not delivered through a PMC are marked Self-Execution and run by an internal PM.</t>
  </si>
  <si>
    <t xml:space="preserve">TRIR / LTIFR</t>
  </si>
  <si>
    <t xml:space="preserve">Contractor recordable incidents per 200,000 exposure hours; lost-time injuries per 1,000,000.</t>
  </si>
  <si>
    <t xml:space="preserve">Composite Health Index</t>
  </si>
  <si>
    <t xml:space="preserve">Weighted average of the scored indices, each capped at 1.00.</t>
  </si>
  <si>
    <t xml:space="preserve">6.  ASSUMPTIONS BEHIND THE ILLUSTRATIVE DATA</t>
  </si>
  <si>
    <t xml:space="preserve">Assumption</t>
  </si>
  <si>
    <t xml:space="preserve">Tazayud is a real estate DEVELOPER, owner and operator — not a contractor. It delivers through appointed PMC firms or internal self-execution teams, and awards the physical works to contractors. Every contract value in this workbook is therefore committed COST to Tazayud, never revenue.</t>
  </si>
  <si>
    <t xml:space="preserve">Because there is no contract revenue, cost is controlled against the sanctioned budget: the key measures are budget variance (approved budget less forecast cost, in SAR) and the cost performance index. Gross margin and profit do not apply to the developer's PMO scope and are deliberately not reported.</t>
  </si>
  <si>
    <t xml:space="preserve">All eight developments, four portfolios and every figure in this file are illustrative. Replace every cream input cell with live data before issuing anything.</t>
  </si>
  <si>
    <t xml:space="preserve">Approved development budgets total SAR 990 million across the eight developments, of which SAR 867 million is allocated to contract packages as the control budget; the balance is unallocated budget, owner costs and corporate reserve. The reporting calendar runs April 2026 to March 2028 with a data date of 31 August 2026.</t>
  </si>
  <si>
    <t xml:space="preserve">Progress is cost-weighted and should be reconciled monthly against the PMC-certified quantity-weighted progress in the contractors' payment applications.</t>
  </si>
  <si>
    <t xml:space="preserve">Contractor plant and contractor labour costs are monitored for productivity but are not developer cost lines — they sit inside the contractors' priced rates. Only PMC and owner staff cost is carried as a direct development cost category.</t>
  </si>
  <si>
    <t xml:space="preserve">Where a package has no planned or actual cost, SPI and CPI default to 1.000 so unstarted scope does not distort the roll-up.</t>
  </si>
  <si>
    <t xml:space="preserve">Forecast periods on Cumulative_Trend use the schedule recovery factor and forecast CPI on Cost_Financials. Both are management judgement and should be re-argued every period.</t>
  </si>
  <si>
    <t xml:space="preserve">The regression models fit straight lines. Model A regresses value on value rather than value on time, because a straight line against an S-curve badly under-forecasts mid-project.</t>
  </si>
  <si>
    <t xml:space="preserve">Roll-ups are simple sums. They do not weight for joint-venture share, asset-level funding structure or inter-company elimination.</t>
  </si>
  <si>
    <t xml:space="preserve">CELL COLOUR LEGEND</t>
  </si>
  <si>
    <t xml:space="preserve">Manual entry</t>
  </si>
  <si>
    <t xml:space="preserve">Type here. Only appears on the project template sheets (PT_...).</t>
  </si>
  <si>
    <t xml:space="preserve">In-sheet formula</t>
  </si>
  <si>
    <t xml:space="preserve">Calculated within the same sheet. Do not overtype.</t>
  </si>
  <si>
    <t xml:space="preserve">Linked from a project sheet</t>
  </si>
  <si>
    <t xml:space="preserve">Pulled live from a PT_ template. Change it at source, never here.</t>
  </si>
  <si>
    <t xml:space="preserve">Header / total</t>
  </si>
  <si>
    <t xml:space="preserve">Structural. Locked.</t>
  </si>
  <si>
    <t xml:space="preserve">PROJECT &amp; PORTFOLIO REGISTER</t>
  </si>
  <si>
    <t xml:space="preserve">The definitive list of what the developer is building out. Approved budget and delivery data is entered here; everything from column O rightwards is calculated from the registers.</t>
  </si>
  <si>
    <t xml:space="preserve">PROJECT REGISTER</t>
  </si>
  <si>
    <t xml:space="preserve">Add a project by adding a row here — it will appear in every dropdown, every roll-up and every chart.</t>
  </si>
  <si>
    <t xml:space="preserve">Project
ID</t>
  </si>
  <si>
    <t xml:space="preserve">Project Name</t>
  </si>
  <si>
    <t xml:space="preserve">Delivery Route</t>
  </si>
  <si>
    <t xml:space="preserve">PMC Firm /
Internal PM</t>
  </si>
  <si>
    <t xml:space="preserve">Location</t>
  </si>
  <si>
    <t xml:space="preserve">Contract
Strategy</t>
  </si>
  <si>
    <t xml:space="preserve">Start
Date</t>
  </si>
  <si>
    <t xml:space="preserve">Original
Completion</t>
  </si>
  <si>
    <t xml:space="preserve">EOT
(days)</t>
  </si>
  <si>
    <t xml:space="preserve">Revised
Completion</t>
  </si>
  <si>
    <t xml:space="preserve">Approved Development
Budget (SAR)</t>
  </si>
  <si>
    <t xml:space="preserve">Control Budget at
Completion (SAR)</t>
  </si>
  <si>
    <t xml:space="preserve">Baseline
Variance %</t>
  </si>
  <si>
    <t xml:space="preserve">Approved Variations
— Budget Uplift</t>
  </si>
  <si>
    <t xml:space="preserve">Approved Variations
— Award Impact</t>
  </si>
  <si>
    <t xml:space="preserve">Total Approved
Budget (SAR)</t>
  </si>
  <si>
    <t xml:space="preserve">Revised Control
Budget (SAR)</t>
  </si>
  <si>
    <t xml:space="preserve">Planned Value
(SAR)</t>
  </si>
  <si>
    <t xml:space="preserve">Earned Value
(SAR)</t>
  </si>
  <si>
    <t xml:space="preserve">Cost Incurred
(SAR)</t>
  </si>
  <si>
    <t xml:space="preserve">Committed to
Contractors (SAR)</t>
  </si>
  <si>
    <t xml:space="preserve">Planned
%</t>
  </si>
  <si>
    <t xml:space="preserve">Actual
%</t>
  </si>
  <si>
    <t xml:space="preserve">AFC (SAR)</t>
  </si>
  <si>
    <t xml:space="preserve">Budget
Variance (SAR)</t>
  </si>
  <si>
    <t xml:space="preserve">Fcst
Variance %</t>
  </si>
  <si>
    <t xml:space="preserve">Adv
%</t>
  </si>
  <si>
    <t xml:space="preserve">Ret
%</t>
  </si>
  <si>
    <t xml:space="preserve">Contractor IPC
Certified (SAR)</t>
  </si>
  <si>
    <t xml:space="preserve">Contractor IPC
Paid (SAR)</t>
  </si>
  <si>
    <t xml:space="preserve">Accruals
(SAR)</t>
  </si>
  <si>
    <t xml:space="preserve">Advance
Recovered</t>
  </si>
  <si>
    <t xml:space="preserve">RAG</t>
  </si>
  <si>
    <t xml:space="preserve">In
Scope</t>
  </si>
  <si>
    <t xml:space="preserve">Riyadh</t>
  </si>
  <si>
    <t xml:space="preserve">Design &amp; Build</t>
  </si>
  <si>
    <t xml:space="preserve">At Risk</t>
  </si>
  <si>
    <t xml:space="preserve">RES-02</t>
  </si>
  <si>
    <t xml:space="preserve">Buraydah</t>
  </si>
  <si>
    <t xml:space="preserve">Lump Sum</t>
  </si>
  <si>
    <t xml:space="preserve">COM-01</t>
  </si>
  <si>
    <t xml:space="preserve">Watch</t>
  </si>
  <si>
    <t xml:space="preserve">COM-02</t>
  </si>
  <si>
    <t xml:space="preserve">On Track</t>
  </si>
  <si>
    <t xml:space="preserve">MXU-01</t>
  </si>
  <si>
    <t xml:space="preserve">MXU-02</t>
  </si>
  <si>
    <t xml:space="preserve">Re-measurable Works</t>
  </si>
  <si>
    <t xml:space="preserve">LND-01</t>
  </si>
  <si>
    <t xml:space="preserve">LND-02</t>
  </si>
  <si>
    <t xml:space="preserve">CORPORATE TOTAL — ALL PORTFOLIOS</t>
  </si>
  <si>
    <t xml:space="preserve">INPUT RULE — cream cells are yours: project identity, delivery route, dates, the board-approved development budget, the control budget allocated to packages, advance and retention rates, the contractor IPC position and status. Everything else is calculated. Approved variation values are summed from Variation_Orders; planned value, earned value, cost incurred and commitment are summed from WBS_Register. IMPORTANT — for a developer, awarded contract values are COST, not revenue. The Approved Development Budget is the sanctioned capital envelope; the Control Budget is the portion allocated to work packages and contracts. The difference between them is uncommitted budget available to the development.</t>
  </si>
  <si>
    <t xml:space="preserve">➕  ADD NEW PROJECT</t>
  </si>
  <si>
    <t xml:space="preserve">➖  REMOVE PROJECT</t>
  </si>
  <si>
    <t xml:space="preserve">◄ Assign the AddProject / RemoveProject macros to these buttons (one-time, see Setup Guide)</t>
  </si>
  <si>
    <t xml:space="preserve">ADD-PROJECT INPUT PANEL — fill these three cells, then click the ADD NEW PROJECT button</t>
  </si>
  <si>
    <t xml:space="preserve">New Project ID</t>
  </si>
  <si>
    <t xml:space="preserve">New Project Name</t>
  </si>
  <si>
    <t xml:space="preserve">REMOVE-PROJECT INPUT PANEL — pick a project, then click the REMOVE PROJECT button</t>
  </si>
  <si>
    <t xml:space="preserve">Project to Remove</t>
  </si>
  <si>
    <t xml:space="preserve">MASTER TRACKER — INTEGRATED CONTROL</t>
  </si>
  <si>
    <t xml:space="preserve">Tazayud Real Estate Development — Owner PMO  |  delivery through PMC and contractors</t>
  </si>
  <si>
    <t xml:space="preserve">There is not a single input cell on this sheet. Every figure is calculated from the registers and filtered by the scope selector on the Dashboard.</t>
  </si>
  <si>
    <t xml:space="preserve">1.  REPORTING SCOPE IN FORCE  (set on the Dashboard)</t>
  </si>
  <si>
    <t xml:space="preserve">Scope level</t>
  </si>
  <si>
    <t xml:space="preserve">Selected portfolio</t>
  </si>
  <si>
    <t xml:space="preserve">Selected project</t>
  </si>
  <si>
    <t xml:space="preserve">Change the scope on the Dashboard and this whole sheet — every roll-up, every index, every reconciliation commentary — re-computes for the selected corporate, portfolio or project view.</t>
  </si>
  <si>
    <t xml:space="preserve">Data date</t>
  </si>
  <si>
    <t xml:space="preserve">Reporting period no.</t>
  </si>
  <si>
    <t xml:space="preserve">Reporting scope</t>
  </si>
  <si>
    <t xml:space="preserve">2.  CONSOLIDATED DEVELOPMENT BUDGET &amp; EARNED-VALUE POSITION FOR THE SELECTED SCOPE</t>
  </si>
  <si>
    <t xml:space="preserve">Approved Development Budget — Original Sanction (SAR)</t>
  </si>
  <si>
    <t xml:space="preserve">Approved Variations — Budget Uplift (SAR)</t>
  </si>
  <si>
    <t xml:space="preserve">Pending Variations — Budget Exposure (SAR)</t>
  </si>
  <si>
    <t xml:space="preserve">This block is the scope-filtered equivalent of a project cost report. At corporate level it is the consolidated position of all eight projects; at portfolio level it is that portfolio only; at project level it is the single project selected on the Dashboard. Nothing here is typed — the contract values come from Projects and the earned-value figures come from WBS_Register.</t>
  </si>
  <si>
    <t xml:space="preserve">Total Approved Development Budget (SAR)</t>
  </si>
  <si>
    <t xml:space="preserve">Baseline Control Budget at Completion (SAR)</t>
  </si>
  <si>
    <t xml:space="preserve">Approved Variations — Contract Award Impact (SAR)</t>
  </si>
  <si>
    <t xml:space="preserve">Revised Control Budget at Completion (SAR)</t>
  </si>
  <si>
    <t xml:space="preserve">Planned Value — PV (SAR)</t>
  </si>
  <si>
    <t xml:space="preserve">Earned Value — EV (SAR)</t>
  </si>
  <si>
    <t xml:space="preserve">Cost Incurred — AC (SAR)</t>
  </si>
  <si>
    <t xml:space="preserve">Committed to Contractors (SAR)</t>
  </si>
  <si>
    <t xml:space="preserve">Schedule Variance — SV (SAR)</t>
  </si>
  <si>
    <t xml:space="preserve">Cost Variance — CV (SAR)</t>
  </si>
  <si>
    <t xml:space="preserve">Schedule Performance Index — SPI</t>
  </si>
  <si>
    <t xml:space="preserve">Cost Performance Index — CPI</t>
  </si>
  <si>
    <t xml:space="preserve">Planned % Complete</t>
  </si>
  <si>
    <t xml:space="preserve">Actual % Complete</t>
  </si>
  <si>
    <t xml:space="preserve">Projects in scope (No.)</t>
  </si>
  <si>
    <t xml:space="preserve">3.  INTEGRATED CONTROL PANEL — LIVE ROLL-UP FROM EVERY REGISTER</t>
  </si>
  <si>
    <t xml:space="preserve">Every row is a formula sourced from one register only, so there is no double counting anywhere on this panel.</t>
  </si>
  <si>
    <t xml:space="preserve">Control Domain</t>
  </si>
  <si>
    <t xml:space="preserve">Key Control Metric</t>
  </si>
  <si>
    <t xml:space="preserve">Baseline /
Target</t>
  </si>
  <si>
    <t xml:space="preserve">Actual /
Current</t>
  </si>
  <si>
    <t xml:space="preserve">Variance</t>
  </si>
  <si>
    <t xml:space="preserve">Index /
Ratio</t>
  </si>
  <si>
    <t xml:space="preserve">Source Sheet</t>
  </si>
  <si>
    <t xml:space="preserve">PMO Control Commentary</t>
  </si>
  <si>
    <t xml:space="preserve">Schedule</t>
  </si>
  <si>
    <t xml:space="preserve">Overall progress — % complete (cost-weighted)</t>
  </si>
  <si>
    <t xml:space="preserve">Cost-weighted physical progress across every package in the selected scope.</t>
  </si>
  <si>
    <t xml:space="preserve">Earned schedule — periods earned vs elapsed</t>
  </si>
  <si>
    <t xml:space="preserve">SPI(t) does not drift back to 1.00 near completion, so it stays honest late in a project.</t>
  </si>
  <si>
    <t xml:space="preserve">Cost</t>
  </si>
  <si>
    <t xml:space="preserve">Cost variance — EV less AC (SAR)</t>
  </si>
  <si>
    <t xml:space="preserve">Negative means more cash has been consumed than value earned.</t>
  </si>
  <si>
    <t xml:space="preserve">Anticipated final cost vs control budget (SAR)</t>
  </si>
  <si>
    <t xml:space="preserve">A negative variance is a forecast overrun of the budget the board sanctioned for these packages.</t>
  </si>
  <si>
    <t xml:space="preserve">Earned Value</t>
  </si>
  <si>
    <t xml:space="preserve">Earned value against planned value (SAR)</t>
  </si>
  <si>
    <t xml:space="preserve">Schedule variance expressed in money — the value of work not yet earned.</t>
  </si>
  <si>
    <t xml:space="preserve">Commercial</t>
  </si>
  <si>
    <t xml:space="preserve">Approved development budget vs original sanction (SAR)</t>
  </si>
  <si>
    <t xml:space="preserve">Budget growth from approved variations only. For a developer this is cost sanction, never revenue.</t>
  </si>
  <si>
    <t xml:space="preserve">Budget Control</t>
  </si>
  <si>
    <t xml:space="preserve">Budget variance — forecast vs control budget (SAR)</t>
  </si>
  <si>
    <t xml:space="preserve">A negative variance is a forecast overrun of the sanctioned budget and is the key cost indicator.</t>
  </si>
  <si>
    <t xml:space="preserve">Variation Orders</t>
  </si>
  <si>
    <t xml:space="preserve">Pending variation exposure — budget impact (SAR)</t>
  </si>
  <si>
    <t xml:space="preserve">Unapproved cost exposure from contractor claims not yet determined by the developer.</t>
  </si>
  <si>
    <t xml:space="preserve">Change Mgmt</t>
  </si>
  <si>
    <t xml:space="preserve">Change requests open or under assessment (No.)</t>
  </si>
  <si>
    <t xml:space="preserve">Every approved chargeable change must trace to a variation order.</t>
  </si>
  <si>
    <t xml:space="preserve">Procurement</t>
  </si>
  <si>
    <t xml:space="preserve">Contract award &amp; completion performance — on time (%)</t>
  </si>
  <si>
    <t xml:space="preserve">Late contract award converts directly into late site mobilisation and schedule slippage.</t>
  </si>
  <si>
    <t xml:space="preserve">Manpower</t>
  </si>
  <si>
    <t xml:space="preserve">Contractor direct workforce fulfilment vs plan (%)</t>
  </si>
  <si>
    <t xml:space="preserve">The leading indicator behind SPI. Contractor under-resourcing precedes schedule loss every time.</t>
  </si>
  <si>
    <t xml:space="preserve">Equipment</t>
  </si>
  <si>
    <t xml:space="preserve">Availability excludes breakdown hours; below 90% is a maintenance-driven production risk.</t>
  </si>
  <si>
    <t xml:space="preserve">Quality</t>
  </si>
  <si>
    <t xml:space="preserve">First-time-right inspection rate (%)</t>
  </si>
  <si>
    <t xml:space="preserve">Approved first time by the PMC. Rework carries cost the developer ultimately absorbs.</t>
  </si>
  <si>
    <t xml:space="preserve">Open NCRs directly suppress the Quality Performance Index.</t>
  </si>
  <si>
    <t xml:space="preserve">HSE</t>
  </si>
  <si>
    <t xml:space="preserve">Total recordable incident rate — TRIR</t>
  </si>
  <si>
    <t xml:space="preserve">Per 200,000 exposure hours. Any lost-time injury overrides the calculated project RAG by policy.</t>
  </si>
  <si>
    <t xml:space="preserve">Risk</t>
  </si>
  <si>
    <t xml:space="preserve">Expected monetary value of open risk (SAR)</t>
  </si>
  <si>
    <t xml:space="preserve">Probability-weighted exposure. Compare against the management reserve in Cost_Financials.</t>
  </si>
  <si>
    <t xml:space="preserve">Issues</t>
  </si>
  <si>
    <t xml:space="preserve">Ageing is the control measure — a register without ageing is a list, not a control.</t>
  </si>
  <si>
    <t xml:space="preserve">OVERALL</t>
  </si>
  <si>
    <t xml:space="preserve">Composite project health index (weighted)</t>
  </si>
  <si>
    <t xml:space="preserve">Weighted composite of schedule, cost, quality, HSE, procurement and resource indices.</t>
  </si>
  <si>
    <t xml:space="preserve">4.  PORTFOLIO SUMMARY — ALWAYS CORPORATE-WIDE</t>
  </si>
  <si>
    <t xml:space="preserve">This table deliberately ignores the scope selector so that a portfolio can always be read in the context of the others.</t>
  </si>
  <si>
    <t xml:space="preserve">PV (SAR)</t>
  </si>
  <si>
    <t xml:space="preserve">EV (SAR)</t>
  </si>
  <si>
    <t xml:space="preserve">Budget Var.
(SAR)</t>
  </si>
  <si>
    <t xml:space="preserve">Fcst Var.
%</t>
  </si>
  <si>
    <t xml:space="preserve">%
Complete</t>
  </si>
  <si>
    <t xml:space="preserve">Mixed Use</t>
  </si>
  <si>
    <t xml:space="preserve">Land Development</t>
  </si>
  <si>
    <t xml:space="preserve">5.  PROJECT SUMMARY — ALL PROJECTS, WITH THE SELECTED SCOPE HIGHLIGHTED</t>
  </si>
  <si>
    <t xml:space="preserve">Project ID</t>
  </si>
  <si>
    <t xml:space="preserve">Fcst
Var. %</t>
  </si>
  <si>
    <t xml:space="preserve">%
Comp.</t>
  </si>
  <si>
    <t xml:space="preserve">CORPORATE</t>
  </si>
  <si>
    <t xml:space="preserve">6.  DATA-INTEGRITY &amp; RECONCILIATION CONTROLS — TESTED CORPORATE-WIDE</t>
  </si>
  <si>
    <t xml:space="preserve">These checks always run against all eight projects regardless of the scope selector. A FAIL means two sheets disagree and the report must not be issued.</t>
  </si>
  <si>
    <t xml:space="preserve">Ref</t>
  </si>
  <si>
    <t xml:space="preserve">Reconciliation Control</t>
  </si>
  <si>
    <t xml:space="preserve">Value A</t>
  </si>
  <si>
    <t xml:space="preserve">Value B</t>
  </si>
  <si>
    <t xml:space="preserve">Tolerance</t>
  </si>
  <si>
    <t xml:space="preserve">Result</t>
  </si>
  <si>
    <t xml:space="preserve">What this control proves</t>
  </si>
  <si>
    <t xml:space="preserve">REC-01</t>
  </si>
  <si>
    <t xml:space="preserve">Work-package budget roll-up equals the revised control budget for every project</t>
  </si>
  <si>
    <t xml:space="preserve">Every riyal of the control budget is allocated to a package — no orphan or missing budget.</t>
  </si>
  <si>
    <t xml:space="preserve">REC-02</t>
  </si>
  <si>
    <t xml:space="preserve">Work-package cost incurred equals the development cost-category total</t>
  </si>
  <si>
    <t xml:space="preserve">The cost ledger and the work breakdown report the same spend.</t>
  </si>
  <si>
    <t xml:space="preserve">REC-03</t>
  </si>
  <si>
    <t xml:space="preserve">Committed to contractors reconciles between packages and cost categories</t>
  </si>
  <si>
    <t xml:space="preserve">Purchase orders and subcontracts are fully mapped to work packages.</t>
  </si>
  <si>
    <t xml:space="preserve">REC-04</t>
  </si>
  <si>
    <t xml:space="preserve">Cumulative planned value at the data date equals the WBS planned value</t>
  </si>
  <si>
    <t xml:space="preserve">The time-phased baseline and the WBS baseline are the same baseline.</t>
  </si>
  <si>
    <t xml:space="preserve">REC-05</t>
  </si>
  <si>
    <t xml:space="preserve">Cumulative earned value at the data date equals the WBS earned value</t>
  </si>
  <si>
    <t xml:space="preserve">Monthly progress reporting reconciles to work-package progress.</t>
  </si>
  <si>
    <t xml:space="preserve">REC-06</t>
  </si>
  <si>
    <t xml:space="preserve">Cumulative actual cost at the data date equals the WBS actual cost</t>
  </si>
  <si>
    <t xml:space="preserve">Monthly cost reporting reconciles to work-package cost.</t>
  </si>
  <si>
    <t xml:space="preserve">REC-07</t>
  </si>
  <si>
    <t xml:space="preserve">Time-phased baseline at completion equals the revised budget at completion</t>
  </si>
  <si>
    <t xml:space="preserve">The full planned-value curve lands exactly on the approved budget.</t>
  </si>
  <si>
    <t xml:space="preserve">REC-08</t>
  </si>
  <si>
    <t xml:space="preserve">Workforce attended man-hours equal HSE exposure hours</t>
  </si>
  <si>
    <t xml:space="preserve">Safety exposure hours and attended hours come from one timesheet source.</t>
  </si>
  <si>
    <t xml:space="preserve">REC-09</t>
  </si>
  <si>
    <t xml:space="preserve">Every cost-category row maps to a project in the register</t>
  </si>
  <si>
    <t xml:space="preserve">No orphan cost lines pointing at a project that has been renamed or removed.</t>
  </si>
  <si>
    <t xml:space="preserve">REC-10</t>
  </si>
  <si>
    <t xml:space="preserve">Every project in the WBS register exists in the project register</t>
  </si>
  <si>
    <t xml:space="preserve">No orphan work packages pointing at a project that has been renamed or deleted.</t>
  </si>
  <si>
    <t xml:space="preserve">ASSUMPTIONS — (1) All figures are illustrative; replace the cream input cells in the registers with live data.  (2) Tazayud is the developer and asset owner, not a contractor: every awarded contract value in this workbook is COST committed to a contractor, never revenue. The commercial control measure is budget the budget variance — the Approved Development Budget less the forecast cost — reported in SAR.  (3) Delivery is through appointed PMC firms or internal self-execution teams; the PMO monitors and controls the contractors through that route rather than executing works itself.  (4) Progress is cost-weighted and should be reconciled monthly against the PMC-certified quantity-weighted progress.  (5) Where a package has no planned or actual cost, SPI and CPI default to 1.000 so unstarted scope does not distort the roll-up.  (6) Roll-ups are simple sums and do not weight for joint-venture share or asset-level funding.  (7) All roll-ups are simple sums and do not weight for joint-venture share or asset-level funding.</t>
  </si>
  <si>
    <t xml:space="preserve">WBS / WORK-PACKAGE REGISTER — ALL PROJECTS</t>
  </si>
  <si>
    <t xml:space="preserve">The scope and progress ledger for every contract package across the portfolio. This is where cost-loaded progress certified through the PMC is entered.</t>
  </si>
  <si>
    <t xml:space="preserve">WORK-PACKAGE REGISTER</t>
  </si>
  <si>
    <t xml:space="preserve">Input columns: package budget, planned % complete, actual % complete, cost incurred, committed cost, status. PV = BAC x planned%. EV = BAC x actual%. The In-Scope flag follows the Dashboard selector.</t>
  </si>
  <si>
    <t xml:space="preserve">WBS
Code</t>
  </si>
  <si>
    <t xml:space="preserve">Work Package / Scope Description</t>
  </si>
  <si>
    <t xml:space="preserve">Phase</t>
  </si>
  <si>
    <t xml:space="preserve">Discipline</t>
  </si>
  <si>
    <t xml:space="preserve">Package Owner</t>
  </si>
  <si>
    <t xml:space="preserve">Baseline
Start</t>
  </si>
  <si>
    <t xml:space="preserve">Baseline
Finish</t>
  </si>
  <si>
    <t xml:space="preserve">Forecast
Finish</t>
  </si>
  <si>
    <t xml:space="preserve">Package Budget
BAC (SAR)</t>
  </si>
  <si>
    <t xml:space="preserve">Weight
%</t>
  </si>
  <si>
    <t xml:space="preserve">Planned Value
PV (SAR)</t>
  </si>
  <si>
    <t xml:space="preserve">Earned Value
EV (SAR)</t>
  </si>
  <si>
    <t xml:space="preserve">Cost Incurred
AC (SAR)</t>
  </si>
  <si>
    <t xml:space="preserve">Committed to
Contractor (SAR)</t>
  </si>
  <si>
    <t xml:space="preserve">Schedule Var.
SV (SAR)</t>
  </si>
  <si>
    <t xml:space="preserve">Cost Var.
CV (SAR)</t>
  </si>
  <si>
    <t xml:space="preserve">EAC (SAR)</t>
  </si>
  <si>
    <t xml:space="preserve">VAC (SAR)</t>
  </si>
  <si>
    <t xml:space="preserve">Days
Late</t>
  </si>
  <si>
    <t xml:space="preserve">1.1</t>
  </si>
  <si>
    <t xml:space="preserve">Mobilisation, Site Establishment &amp; Temporary Works</t>
  </si>
  <si>
    <t xml:space="preserve">01 Preliminaries</t>
  </si>
  <si>
    <t xml:space="preserve">Civil</t>
  </si>
  <si>
    <t xml:space="preserve">PMC Civil Lead</t>
  </si>
  <si>
    <t xml:space="preserve">1.2</t>
  </si>
  <si>
    <t xml:space="preserve">Project Management Consultancy &amp; Owner Supervision</t>
  </si>
  <si>
    <t xml:space="preserve">PMO</t>
  </si>
  <si>
    <t xml:space="preserve">PMC — Lead Consultant A</t>
  </si>
  <si>
    <t xml:space="preserve">2.1</t>
  </si>
  <si>
    <t xml:space="preserve">Design Consultancy &amp; Engineering Deliverables</t>
  </si>
  <si>
    <t xml:space="preserve">02 Engineering</t>
  </si>
  <si>
    <t xml:space="preserve">Engineering</t>
  </si>
  <si>
    <t xml:space="preserve">PMC Engineering Lead</t>
  </si>
  <si>
    <t xml:space="preserve">3.1</t>
  </si>
  <si>
    <t xml:space="preserve">Substructure, Piling &amp; Foundations</t>
  </si>
  <si>
    <t xml:space="preserve">03 Contract Package A</t>
  </si>
  <si>
    <t xml:space="preserve">4.1</t>
  </si>
  <si>
    <t xml:space="preserve">Superstructure, Envelope &amp; Roofing</t>
  </si>
  <si>
    <t xml:space="preserve">04 Contract Package B</t>
  </si>
  <si>
    <t xml:space="preserve">5.1</t>
  </si>
  <si>
    <t xml:space="preserve">Architectural Fit-Out &amp; Finishes</t>
  </si>
  <si>
    <t xml:space="preserve">05 Contract Package C</t>
  </si>
  <si>
    <t xml:space="preserve">Architectural</t>
  </si>
  <si>
    <t xml:space="preserve">PMC Architectural Lead</t>
  </si>
  <si>
    <t xml:space="preserve">6.1</t>
  </si>
  <si>
    <t xml:space="preserve">MEP Installation &amp; External Works</t>
  </si>
  <si>
    <t xml:space="preserve">06 Contract Package D</t>
  </si>
  <si>
    <t xml:space="preserve">MEP</t>
  </si>
  <si>
    <t xml:space="preserve">PMC MEP Lead</t>
  </si>
  <si>
    <t xml:space="preserve">8.1</t>
  </si>
  <si>
    <t xml:space="preserve">Testing, Commissioning, Handover &amp; As-Builts</t>
  </si>
  <si>
    <t xml:space="preserve">08 Testing &amp; Handover</t>
  </si>
  <si>
    <t xml:space="preserve">Multi</t>
  </si>
  <si>
    <t xml:space="preserve">PMC Multi Lead</t>
  </si>
  <si>
    <t xml:space="preserve">9.1</t>
  </si>
  <si>
    <t xml:space="preserve">Approved Variation Works — Executed Scope</t>
  </si>
  <si>
    <t xml:space="preserve">09 Variations</t>
  </si>
  <si>
    <t xml:space="preserve">Commercial Manager</t>
  </si>
  <si>
    <t xml:space="preserve">Internal PM — PMO Delivery Team 1</t>
  </si>
  <si>
    <t xml:space="preserve">PMC — Lead Consultant C</t>
  </si>
  <si>
    <t xml:space="preserve">Substructure, Piling &amp; Basement</t>
  </si>
  <si>
    <t xml:space="preserve">Superstructure, Facade &amp; Cladding</t>
  </si>
  <si>
    <t xml:space="preserve">Architectural Fit-Out &amp; Common Areas</t>
  </si>
  <si>
    <t xml:space="preserve">MEP Installation &amp; Vertical Transport</t>
  </si>
  <si>
    <t xml:space="preserve">PMC — Lead Consultant B</t>
  </si>
  <si>
    <t xml:space="preserve">Substructure &amp; Podium Structure</t>
  </si>
  <si>
    <t xml:space="preserve">Superstructure, Facade &amp; Envelope</t>
  </si>
  <si>
    <t xml:space="preserve">Retail, Residential &amp; Office Fit-Out</t>
  </si>
  <si>
    <t xml:space="preserve">MEP, Vertical Transport &amp; BMS</t>
  </si>
  <si>
    <t xml:space="preserve">Internal PM — PMO Delivery Team 2</t>
  </si>
  <si>
    <t xml:space="preserve">Earthworks, Grading &amp; Excavation</t>
  </si>
  <si>
    <t xml:space="preserve">Roads, Utilities &amp; Wet Infrastructure</t>
  </si>
  <si>
    <t xml:space="preserve">Dry Utilities, Networks &amp; Substations</t>
  </si>
  <si>
    <t xml:space="preserve">Electrical</t>
  </si>
  <si>
    <t xml:space="preserve">PMC Electrical Lead</t>
  </si>
  <si>
    <t xml:space="preserve">Landscaping, Hardscaping &amp; Community Works</t>
  </si>
  <si>
    <t xml:space="preserve">TOTAL — PACKAGES IN SCOPE (follows the Dashboard selector)</t>
  </si>
  <si>
    <t xml:space="preserve">The total row above is scope-aware: it sums only the packages whose In-Scope flag is 1, so it changes when you change the selector on the Dashboard. To see everything regardless of scope, use the column filters on row 8 instead.</t>
  </si>
  <si>
    <t xml:space="preserve">DEVELOPMENT COST CONTROL — EARNED VALUE, FORECAST &amp; BUDGET VARIANCE</t>
  </si>
  <si>
    <t xml:space="preserve">Tazayud Real Estate Development — Owner PMO  |  corporate, portfolio or single project</t>
  </si>
  <si>
    <t xml:space="preserve">Tazayud is the developer: every contract awarded is cost committed, not revenue earned. Cost is controlled against the sanctioned development budget and the anticipated final cost.</t>
  </si>
  <si>
    <t xml:space="preserve">1.  APPROVED DEVELOPMENT BUDGET &amp; CONTRACTOR CERTIFICATION POSITION  (selected scope)</t>
  </si>
  <si>
    <t xml:space="preserve">Potential Development Budget Requirement (SAR)</t>
  </si>
  <si>
    <t xml:space="preserve">Variations as % of Original Sanction</t>
  </si>
  <si>
    <t xml:space="preserve">Sanctioned Budget for Work Executed — EV basis (SAR)</t>
  </si>
  <si>
    <t xml:space="preserve">Contractor IPC Certified to Date (SAR)</t>
  </si>
  <si>
    <t xml:space="preserve">Work Executed Not Yet Certified (SAR)</t>
  </si>
  <si>
    <t xml:space="preserve">Contractor IPC Submitted to Date (SAR)</t>
  </si>
  <si>
    <t xml:space="preserve">Contractor IPC Paid to Date (SAR)</t>
  </si>
  <si>
    <t xml:space="preserve">Certification Ratio (Certified / Submitted)</t>
  </si>
  <si>
    <t xml:space="preserve">Retention Withheld from Contractors (SAR)</t>
  </si>
  <si>
    <t xml:space="preserve">Advance Unrecovered from Contractors (SAR)</t>
  </si>
  <si>
    <t xml:space="preserve">Net Capital Deployed to Date (SAR)</t>
  </si>
  <si>
    <t xml:space="preserve">2.  DEVELOPMENT COST, COMMITMENT &amp; EARNED-VALUE POSITION  (selected scope)</t>
  </si>
  <si>
    <t xml:space="preserve">Cost Incurred to Date — AC (SAR)</t>
  </si>
  <si>
    <t xml:space="preserve">Committed to Contractors — Awarded (SAR)</t>
  </si>
  <si>
    <t xml:space="preserve">Accruals &amp; Uninvoiced Work (SAR)</t>
  </si>
  <si>
    <t xml:space="preserve">Total Cost Incurred + Committed (SAR)</t>
  </si>
  <si>
    <t xml:space="preserve">Uncommitted Budget Balance (SAR)</t>
  </si>
  <si>
    <t xml:space="preserve">Commitment Ratio (Committed / Control Budget)</t>
  </si>
  <si>
    <t xml:space="preserve">Cost Variance — CV = EV - AC (SAR)</t>
  </si>
  <si>
    <t xml:space="preserve">Schedule Variance — SV = EV - PV (SAR)</t>
  </si>
  <si>
    <t xml:space="preserve">3.  FORECAST ASSUMPTIONS &amp; MANAGEMENT LEVERS  (the only judgement calls in this workbook)</t>
  </si>
  <si>
    <t xml:space="preserve">Forecast CPI on remaining work</t>
  </si>
  <si>
    <t xml:space="preserve">Accrual adjustment applied (SAR)</t>
  </si>
  <si>
    <t xml:space="preserve">Schedule recovery factor on remaining work</t>
  </si>
  <si>
    <t xml:space="preserve">AFC method in use  (enter 1, 2, 3 or 4)</t>
  </si>
  <si>
    <t xml:space="preserve">Bottom-up forecast final cost (SAR)</t>
  </si>
  <si>
    <t xml:space="preserve">Contingency drawn to date (SAR)</t>
  </si>
  <si>
    <t xml:space="preserve">4.  ANTICIPATED FINAL COST (AFC) — METHOD COMPARISON</t>
  </si>
  <si>
    <t xml:space="preserve">Four independent forecasts of the same number. If they disagree widely, the disagreement is the finding.</t>
  </si>
  <si>
    <t xml:space="preserve">No.</t>
  </si>
  <si>
    <t xml:space="preserve">AFC Method</t>
  </si>
  <si>
    <t xml:space="preserve">Formula Applied</t>
  </si>
  <si>
    <t xml:space="preserve">Var %</t>
  </si>
  <si>
    <t xml:space="preserve">Confidence / When To Use</t>
  </si>
  <si>
    <t xml:space="preserve">Performance-adjusted (typical variance)</t>
  </si>
  <si>
    <t xml:space="preserve">BAC / CPI</t>
  </si>
  <si>
    <t xml:space="preserve">Default. Assumes the cost efficiency achieved so far continues to completion.</t>
  </si>
  <si>
    <t xml:space="preserve">Remaining work at budget (atypical variance)</t>
  </si>
  <si>
    <t xml:space="preserve">AC + (BAC - EV)</t>
  </si>
  <si>
    <t xml:space="preserve">Use only where the overrun is a discrete, closed, non-recurring event.</t>
  </si>
  <si>
    <t xml:space="preserve">Schedule-and-cost adjusted</t>
  </si>
  <si>
    <t xml:space="preserve">AC + (BAC - EV) / (CPI x SPI)</t>
  </si>
  <si>
    <t xml:space="preserve">Most conservative. Appropriate where schedule slippage is dragging cost with it.</t>
  </si>
  <si>
    <t xml:space="preserve">Bottom-up management estimate</t>
  </si>
  <si>
    <t xml:space="preserve">AC + re-estimated ETC by cost category</t>
  </si>
  <si>
    <t xml:space="preserve">Owned by the cost engineer. Should become the primary forecast beyond 25% complete.</t>
  </si>
  <si>
    <t xml:space="preserve">SELECTED ANTICIPATED FINAL COST  (driven by the method selector above)</t>
  </si>
  <si>
    <t xml:space="preserve">Cost to Complete — CTC (AFC less cost incurred)</t>
  </si>
  <si>
    <t xml:space="preserve">Capital still to be deployed to finish the remaining scope.</t>
  </si>
  <si>
    <t xml:space="preserve">To-Complete Performance Index — TCPI (to BAC)</t>
  </si>
  <si>
    <t xml:space="preserve">Cost efficiency now required from contractors to land on the control budget. Above 1.10 is rarely recoverable.</t>
  </si>
  <si>
    <t xml:space="preserve">To-Complete Performance Index — TCPI (to EAC)</t>
  </si>
  <si>
    <t xml:space="preserve">Efficiency required to hold the current forecast. Compare against actual CPI for realism.</t>
  </si>
  <si>
    <t xml:space="preserve">5.  BUDGET VARIANCE POSITION  (selected scope)</t>
  </si>
  <si>
    <t xml:space="preserve">Approved development budget against cost, at baseline, achieved to date and forecast. A positive variance means the development is forecast to land within its sanctioned budget.</t>
  </si>
  <si>
    <t xml:space="preserve">Measure</t>
  </si>
  <si>
    <t xml:space="preserve">Basis</t>
  </si>
  <si>
    <t xml:space="preserve">Approved Budget (SAR)</t>
  </si>
  <si>
    <t xml:space="preserve">Cost / Commitment (SAR)</t>
  </si>
  <si>
    <t xml:space="preserve">Budget Variance (SAR)</t>
  </si>
  <si>
    <t xml:space="preserve">Baseline / Sanction</t>
  </si>
  <si>
    <t xml:space="preserve">Approved development budget vs control budget</t>
  </si>
  <si>
    <t xml:space="preserve">Achieved to Date</t>
  </si>
  <si>
    <t xml:space="preserve">Sanctioned budget for work executed vs cost incurred</t>
  </si>
  <si>
    <t xml:space="preserve">Forecast at Completion</t>
  </si>
  <si>
    <t xml:space="preserve">Approved development budget vs anticipated final cost</t>
  </si>
  <si>
    <t xml:space="preserve">VARIANCE MOVEMENT — forecast against baseline</t>
  </si>
  <si>
    <t xml:space="preserve">erosion of budget cover</t>
  </si>
  <si>
    <t xml:space="preserve">6.  DEVELOPMENT BUDGET vs COMMITMENT vs COST BY CATEGORY  (selected scope)</t>
  </si>
  <si>
    <t xml:space="preserve">Cost-type view of the same money the work-package register shows by scope. Control REC-02 proves they agree.</t>
  </si>
  <si>
    <t xml:space="preserve">Development Cost Category</t>
  </si>
  <si>
    <t xml:space="preserve">Baseline
Budget (SAR)</t>
  </si>
  <si>
    <t xml:space="preserve">Variation
Uplift (SAR)</t>
  </si>
  <si>
    <t xml:space="preserve">Revised
Budget (SAR)</t>
  </si>
  <si>
    <t xml:space="preserve">Cost Incurred
to Date (SAR)</t>
  </si>
  <si>
    <t xml:space="preserve">Forecast Final
Cost (SAR)</t>
  </si>
  <si>
    <t xml:space="preserve">Variance vs
Budget (SAR)</t>
  </si>
  <si>
    <t xml:space="preserve">Var
%</t>
  </si>
  <si>
    <t xml:space="preserve">Enabling Works &amp; Site Establishment</t>
  </si>
  <si>
    <t xml:space="preserve">Design &amp; Engineering Consultancy</t>
  </si>
  <si>
    <t xml:space="preserve">Project Management Consultancy (PMC) Fees</t>
  </si>
  <si>
    <t xml:space="preserve">Owner-Supplied Materials &amp; Direct Purchases</t>
  </si>
  <si>
    <t xml:space="preserve">Main Works Contracts — Civil &amp; Structural</t>
  </si>
  <si>
    <t xml:space="preserve">MEP &amp; Specialist Works Contracts</t>
  </si>
  <si>
    <t xml:space="preserve">Infrastructure &amp; Utility Connections</t>
  </si>
  <si>
    <t xml:space="preserve">Insurance, Bonds &amp; Statutory Fees</t>
  </si>
  <si>
    <t xml:space="preserve">Owner Project Overheads &amp; Supervision</t>
  </si>
  <si>
    <t xml:space="preserve">Package Contingency / Management Reserve</t>
  </si>
  <si>
    <t xml:space="preserve">Approved Variation Works (linked to Variation_Orders)</t>
  </si>
  <si>
    <t xml:space="preserve">TOTAL — IN SCOPE</t>
  </si>
  <si>
    <t xml:space="preserve">7.  CAPITAL DEPLOYMENT &amp; CONTRACTOR PAYMENT POSITION  (selected scope)</t>
  </si>
  <si>
    <t xml:space="preserve">Capital Deployed — IPC paid plus advances issued (SAR)</t>
  </si>
  <si>
    <t xml:space="preserve">Advance Recovered from Contractors (SAR)</t>
  </si>
  <si>
    <t xml:space="preserve">Total Payment Exposure to Contractors (SAR)</t>
  </si>
  <si>
    <t xml:space="preserve">Certified but Unpaid — payable (SAR)</t>
  </si>
  <si>
    <t xml:space="preserve">Submitted but Uncertified (SAR)</t>
  </si>
  <si>
    <t xml:space="preserve">Payment Discipline — Paid / Certified</t>
  </si>
  <si>
    <t xml:space="preserve">Net Cash Consumed as % of Approved Budget</t>
  </si>
  <si>
    <t xml:space="preserve">Funding Position RAG</t>
  </si>
  <si>
    <t xml:space="preserve">8.  DEVELOPMENT COST-CATEGORY REGISTER — ALL PROJECTS  (this is where cost data is entered)</t>
  </si>
  <si>
    <t xml:space="preserve">One row per project per development cost category. All actual-cost cells are direct inputs.</t>
  </si>
  <si>
    <t xml:space="preserve">CORPORATE TOTAL — ALL PROJECTS</t>
  </si>
  <si>
    <t xml:space="preserve">ASSUMPTIONS &amp; SOURCES — (1) Tazayud is the developer, so every contract award is a cost commitment; this sheet controls cost against the sanctioned development budget.  (2) Sanctioned budget for work executed is the approved development budget x cost-weighted % complete and will differ from the value certified to contractors; the gap is reported as work executed not yet certified.  (3) Contractor IPC certified, paid, accruals and advance recovery are entered per project on the Projects sheet.  (4) Contractor plant and contractor labour sit inside the contractors' priced rates and are monitored for productivity, not paid directly, so they are not separate owner cost lines.  (5) Achieved-to-date and forecast budget variance are mathematically consistent while AFC method 1 is selected; that is correct, not an error.  (6) Forecast final cost in the register applies a flat 1.2% escalation as a placeholder — replace it with the cost manager's bottom-up estimate.</t>
  </si>
  <si>
    <t xml:space="preserve">CHANGE MANAGEMENT LOG — ALL PROJECTS</t>
  </si>
  <si>
    <t xml:space="preserve">Tazayud Real Estate Development — Owner PMO  |  change control sits upstream of variation orders</t>
  </si>
  <si>
    <t xml:space="preserve">A change is raised and assessed here. If approved and contractually chargeable it becomes a variation order — an approved chargeable change with no variation reference is uncontrolled cost commitment.</t>
  </si>
  <si>
    <t xml:space="preserve">CHANGE REQUEST LOG</t>
  </si>
  <si>
    <t xml:space="preserve">Impact assessment must be complete before a decision is taken. Delegated authority is recorded per change.</t>
  </si>
  <si>
    <t xml:space="preserve">CR No.</t>
  </si>
  <si>
    <t xml:space="preserve">Date
Raised</t>
  </si>
  <si>
    <t xml:space="preserve">Raised By</t>
  </si>
  <si>
    <t xml:space="preserve">Category</t>
  </si>
  <si>
    <t xml:space="preserve">Change Description &amp; Impact Assessment</t>
  </si>
  <si>
    <t xml:space="preserve">Cost Impact
(SAR)</t>
  </si>
  <si>
    <t xml:space="preserve">Schedule
(days)</t>
  </si>
  <si>
    <t xml:space="preserve">Risk
Ref</t>
  </si>
  <si>
    <t xml:space="preserve">VO
Ref</t>
  </si>
  <si>
    <t xml:space="preserve">Decision Authority (DoA)</t>
  </si>
  <si>
    <t xml:space="preserve">Decision
Date</t>
  </si>
  <si>
    <t xml:space="preserve">Target
Close</t>
  </si>
  <si>
    <t xml:space="preserve">Days
Open</t>
  </si>
  <si>
    <t xml:space="preserve">PMO Position</t>
  </si>
  <si>
    <t xml:space="preserve">RES-01-CR-01</t>
  </si>
  <si>
    <t xml:space="preserve">Owner Commercial Manager</t>
  </si>
  <si>
    <t xml:space="preserve">Additional scope instructed to the contractor following design development — entitlement assessed and priced</t>
  </si>
  <si>
    <t xml:space="preserve">RES-01-RSK-01</t>
  </si>
  <si>
    <t xml:space="preserve">RES-01-VO-01</t>
  </si>
  <si>
    <t xml:space="preserve">Portfolio Director</t>
  </si>
  <si>
    <t xml:space="preserve">RES-01-CR-02</t>
  </si>
  <si>
    <t xml:space="preserve">PMC Area Manager</t>
  </si>
  <si>
    <t xml:space="preserve">Site Condition</t>
  </si>
  <si>
    <t xml:space="preserve">Unforeseen ground conditions requiring a revised construction methodology by the contractor</t>
  </si>
  <si>
    <t xml:space="preserve">RES-01-RSK-02</t>
  </si>
  <si>
    <t xml:space="preserve">RES-01-VO-02</t>
  </si>
  <si>
    <t xml:space="preserve">Project Manager</t>
  </si>
  <si>
    <t xml:space="preserve">RES-01-CR-03</t>
  </si>
  <si>
    <t xml:space="preserve">PMC Planning Manager</t>
  </si>
  <si>
    <t xml:space="preserve">Contractor extension-of-time claim submitted for developer-caused delay events</t>
  </si>
  <si>
    <t xml:space="preserve">RES-01-RSK-03</t>
  </si>
  <si>
    <t xml:space="preserve">RES-01-VO-03</t>
  </si>
  <si>
    <t xml:space="preserve">RES-02-CR-01</t>
  </si>
  <si>
    <t xml:space="preserve">RES-02-RSK-01</t>
  </si>
  <si>
    <t xml:space="preserve">RES-02-VO-01</t>
  </si>
  <si>
    <t xml:space="preserve">RES-02-CR-02</t>
  </si>
  <si>
    <t xml:space="preserve">RES-02-RSK-02</t>
  </si>
  <si>
    <t xml:space="preserve">RES-02-VO-02</t>
  </si>
  <si>
    <t xml:space="preserve">RES-02-CR-03</t>
  </si>
  <si>
    <t xml:space="preserve">RES-02-RSK-03</t>
  </si>
  <si>
    <t xml:space="preserve">RES-02-VO-03</t>
  </si>
  <si>
    <t xml:space="preserve">COM-01-CR-01</t>
  </si>
  <si>
    <t xml:space="preserve">COM-01-RSK-01</t>
  </si>
  <si>
    <t xml:space="preserve">COM-01-VO-01</t>
  </si>
  <si>
    <t xml:space="preserve">COM-01-CR-02</t>
  </si>
  <si>
    <t xml:space="preserve">COM-01-RSK-02</t>
  </si>
  <si>
    <t xml:space="preserve">COM-01-VO-02</t>
  </si>
  <si>
    <t xml:space="preserve">COM-01-CR-03</t>
  </si>
  <si>
    <t xml:space="preserve">COM-01-RSK-03</t>
  </si>
  <si>
    <t xml:space="preserve">COM-01-VO-03</t>
  </si>
  <si>
    <t xml:space="preserve">COM-02-CR-01</t>
  </si>
  <si>
    <t xml:space="preserve">COM-02-RSK-01</t>
  </si>
  <si>
    <t xml:space="preserve">COM-02-VO-01</t>
  </si>
  <si>
    <t xml:space="preserve">COM-02-CR-02</t>
  </si>
  <si>
    <t xml:space="preserve">COM-02-RSK-02</t>
  </si>
  <si>
    <t xml:space="preserve">COM-02-VO-02</t>
  </si>
  <si>
    <t xml:space="preserve">COM-02-CR-03</t>
  </si>
  <si>
    <t xml:space="preserve">COM-02-RSK-03</t>
  </si>
  <si>
    <t xml:space="preserve">COM-02-VO-03</t>
  </si>
  <si>
    <t xml:space="preserve">MXU-01-CR-01</t>
  </si>
  <si>
    <t xml:space="preserve">MXU-01-RSK-01</t>
  </si>
  <si>
    <t xml:space="preserve">MXU-01-VO-01</t>
  </si>
  <si>
    <t xml:space="preserve">MXU-01-CR-02</t>
  </si>
  <si>
    <t xml:space="preserve">MXU-01-RSK-02</t>
  </si>
  <si>
    <t xml:space="preserve">MXU-01-VO-02</t>
  </si>
  <si>
    <t xml:space="preserve">MXU-01-CR-03</t>
  </si>
  <si>
    <t xml:space="preserve">MXU-01-RSK-03</t>
  </si>
  <si>
    <t xml:space="preserve">MXU-01-VO-03</t>
  </si>
  <si>
    <t xml:space="preserve">MXU-02-CR-01</t>
  </si>
  <si>
    <t xml:space="preserve">MXU-02-RSK-01</t>
  </si>
  <si>
    <t xml:space="preserve">MXU-02-VO-01</t>
  </si>
  <si>
    <t xml:space="preserve">MXU-02-CR-02</t>
  </si>
  <si>
    <t xml:space="preserve">MXU-02-RSK-02</t>
  </si>
  <si>
    <t xml:space="preserve">MXU-02-VO-02</t>
  </si>
  <si>
    <t xml:space="preserve">MXU-02-CR-03</t>
  </si>
  <si>
    <t xml:space="preserve">MXU-02-RSK-03</t>
  </si>
  <si>
    <t xml:space="preserve">MXU-02-VO-03</t>
  </si>
  <si>
    <t xml:space="preserve">LND-01-CR-01</t>
  </si>
  <si>
    <t xml:space="preserve">LND-01-RSK-01</t>
  </si>
  <si>
    <t xml:space="preserve">LND-01-VO-01</t>
  </si>
  <si>
    <t xml:space="preserve">LND-01-CR-02</t>
  </si>
  <si>
    <t xml:space="preserve">LND-01-RSK-02</t>
  </si>
  <si>
    <t xml:space="preserve">LND-01-VO-02</t>
  </si>
  <si>
    <t xml:space="preserve">LND-01-CR-03</t>
  </si>
  <si>
    <t xml:space="preserve">LND-01-RSK-03</t>
  </si>
  <si>
    <t xml:space="preserve">LND-01-VO-03</t>
  </si>
  <si>
    <t xml:space="preserve">LND-02-CR-01</t>
  </si>
  <si>
    <t xml:space="preserve">LND-02-RSK-01</t>
  </si>
  <si>
    <t xml:space="preserve">LND-02-VO-01</t>
  </si>
  <si>
    <t xml:space="preserve">LND-02-CR-02</t>
  </si>
  <si>
    <t xml:space="preserve">LND-02-RSK-02</t>
  </si>
  <si>
    <t xml:space="preserve">LND-02-VO-02</t>
  </si>
  <si>
    <t xml:space="preserve">LND-02-CR-03</t>
  </si>
  <si>
    <t xml:space="preserve">LND-02-RSK-03</t>
  </si>
  <si>
    <t xml:space="preserve">LND-02-VO-03</t>
  </si>
  <si>
    <t xml:space="preserve">CHANGE CONTROL SUMMARY — SELECTED SCOPE</t>
  </si>
  <si>
    <t xml:space="preserve">Changes open or under assessment (No.)</t>
  </si>
  <si>
    <t xml:space="preserve">Cost impact — open changes (SAR)</t>
  </si>
  <si>
    <t xml:space="preserve">Chargeable changes with no variation (No.)</t>
  </si>
  <si>
    <t xml:space="preserve">Changes approved or implemented (No.)</t>
  </si>
  <si>
    <t xml:space="preserve">Schedule impact — open changes (days)</t>
  </si>
  <si>
    <t xml:space="preserve">Average days open — all changes</t>
  </si>
  <si>
    <t xml:space="preserve">Changes rejected (No.)</t>
  </si>
  <si>
    <t xml:space="preserve">Cost impact — implemented changes (SAR)</t>
  </si>
  <si>
    <t xml:space="preserve">Change control RAG</t>
  </si>
  <si>
    <t xml:space="preserve">CONTROL RULE — the summary counts approved chargeable changes carrying no variation reference. Each one is cost the developer has effectively authorised without a priced, instructed variation to control it. Days Open runs to the decision date once a change is closed and to the data date while it remains open.</t>
  </si>
  <si>
    <t xml:space="preserve">VARIATION ORDER REGISTER — ALL PROJECTS</t>
  </si>
  <si>
    <t xml:space="preserve">Tazayud Real Estate Development — Owner PMO  |  contractor variations and claims</t>
  </si>
  <si>
    <t xml:space="preserve">Status is the control. Only 'Approved' variations increase the approved development budget and the contractor's award; everything else is tracked as cost exposure to the developer.</t>
  </si>
  <si>
    <t xml:space="preserve">VARIATION ORDER LOG</t>
  </si>
  <si>
    <t xml:space="preserve">Every variation must trace to a change request in Change_Log and to a contract package in WBS_Register.</t>
  </si>
  <si>
    <t xml:space="preserve">VO No.</t>
  </si>
  <si>
    <t xml:space="preserve">Variation Title / Description</t>
  </si>
  <si>
    <t xml:space="preserve">Origin</t>
  </si>
  <si>
    <t xml:space="preserve">Change
Ref</t>
  </si>
  <si>
    <t xml:space="preserve">WBS</t>
  </si>
  <si>
    <t xml:space="preserve">Budget Uplift
(SAR)</t>
  </si>
  <si>
    <t xml:space="preserve">Contract Award
Impact (SAR)</t>
  </si>
  <si>
    <t xml:space="preserve">Budget Var.
Impact (SAR)</t>
  </si>
  <si>
    <t xml:space="preserve">Var.
%</t>
  </si>
  <si>
    <t xml:space="preserve">Time
Impact</t>
  </si>
  <si>
    <t xml:space="preserve">Days
Pending</t>
  </si>
  <si>
    <t xml:space="preserve">Approval Authority</t>
  </si>
  <si>
    <t xml:space="preserve">Approved
Date</t>
  </si>
  <si>
    <t xml:space="preserve">In
IPC</t>
  </si>
  <si>
    <t xml:space="preserve">Rank</t>
  </si>
  <si>
    <t xml:space="preserve">Client-instructed additional scope following design development</t>
  </si>
  <si>
    <t xml:space="preserve">Client Instruction</t>
  </si>
  <si>
    <t xml:space="preserve">Yes</t>
  </si>
  <si>
    <t xml:space="preserve">Unforeseen ground conditions — additional excavation &amp; dewatering</t>
  </si>
  <si>
    <t xml:space="preserve">Scope realignment per revised authority requirements</t>
  </si>
  <si>
    <t xml:space="preserve">Design Change</t>
  </si>
  <si>
    <t xml:space="preserve">No</t>
  </si>
  <si>
    <t xml:space="preserve">Specification upgrade instructed by the Owner</t>
  </si>
  <si>
    <t xml:space="preserve">Omission of scope transferred to a separate contract</t>
  </si>
  <si>
    <t xml:space="preserve">Contractual</t>
  </si>
  <si>
    <t xml:space="preserve">Acceleration proposal to recover programme slippage</t>
  </si>
  <si>
    <t xml:space="preserve">CORPORATE TOTAL — ALL VARIATIONS</t>
  </si>
  <si>
    <t xml:space="preserve">VARIATION SUMMARY — SELECTED SCOPE  (drives the approved development budget on Projects)</t>
  </si>
  <si>
    <t xml:space="preserve">Count — approved</t>
  </si>
  <si>
    <t xml:space="preserve">Pending variations — budget exposure (SAR)</t>
  </si>
  <si>
    <t xml:space="preserve">Pending contract award impact (SAR)</t>
  </si>
  <si>
    <t xml:space="preserve">Count — pending</t>
  </si>
  <si>
    <t xml:space="preserve">Approved variations — contract award impact (SAR)</t>
  </si>
  <si>
    <t xml:space="preserve">Pending time impact (days)</t>
  </si>
  <si>
    <t xml:space="preserve">Count — rejected or withdrawn</t>
  </si>
  <si>
    <t xml:space="preserve">Approved variations — budget variance impact (SAR)</t>
  </si>
  <si>
    <t xml:space="preserve">Average days pending (open variations)</t>
  </si>
  <si>
    <t xml:space="preserve">Approved variation variance %</t>
  </si>
  <si>
    <t xml:space="preserve">Budget growth vs original sanction</t>
  </si>
  <si>
    <t xml:space="preserve">Potential growth including pending</t>
  </si>
  <si>
    <t xml:space="preserve">Commercial exposure RAG</t>
  </si>
  <si>
    <t xml:space="preserve">CONTROL RULE — changing a status cell in column T immediately re-prices the approved development budget, the revised control budget, the variation work package in WBS_Register, the budget variance and every forecast in the workbook. Days Pending runs to the data date while a variation is open, so contractor claims sitting undetermined cannot be hidden.</t>
  </si>
  <si>
    <t xml:space="preserve">CONTRACT AWARD &amp; PROCUREMENT REGISTER — ALL PROJECTS</t>
  </si>
  <si>
    <t xml:space="preserve">Tazayud Real Estate Development — Owner PMO  |  contract award is the schedule</t>
  </si>
  <si>
    <t xml:space="preserve">Committed value is cost the developer can no longer avoid. Late award and late completion both consume float, so the performance index penalises both.</t>
  </si>
  <si>
    <t xml:space="preserve">CONTRACT PACKAGE AWARD LOG</t>
  </si>
  <si>
    <t xml:space="preserve">Commitments to contractors reconcile to WBS_Register through control REC-03.</t>
  </si>
  <si>
    <t xml:space="preserve">Pkg No.</t>
  </si>
  <si>
    <t xml:space="preserve">Contract Package / Scope</t>
  </si>
  <si>
    <t xml:space="preserve">Crit.</t>
  </si>
  <si>
    <t xml:space="preserve">Contractor / Vendor</t>
  </si>
  <si>
    <t xml:space="preserve">Tender
Issued</t>
  </si>
  <si>
    <t xml:space="preserve">Award
Planned</t>
  </si>
  <si>
    <t xml:space="preserve">Award
Actual</t>
  </si>
  <si>
    <t xml:space="preserve">Award Value
(SAR)</t>
  </si>
  <si>
    <t xml:space="preserve">Completion
Planned</t>
  </si>
  <si>
    <t xml:space="preserve">Completion
Actual</t>
  </si>
  <si>
    <t xml:space="preserve">Award Var.
(days)</t>
  </si>
  <si>
    <t xml:space="preserve">Compl. Var.
(days)</t>
  </si>
  <si>
    <t xml:space="preserve">RES-01-PKG-01</t>
  </si>
  <si>
    <t xml:space="preserve">Main Works Contract — Civil &amp; Structural Package</t>
  </si>
  <si>
    <t xml:space="preserve">Awarded Contractor</t>
  </si>
  <si>
    <t xml:space="preserve">RES-01-PKG-02</t>
  </si>
  <si>
    <t xml:space="preserve">MEP &amp; Specialist Works Contract</t>
  </si>
  <si>
    <t xml:space="preserve">RES-01-PKG-03</t>
  </si>
  <si>
    <t xml:space="preserve">Owner-Supplied Long-Lead Equipment Package</t>
  </si>
  <si>
    <t xml:space="preserve">Under Tender — TBC</t>
  </si>
  <si>
    <t xml:space="preserve">RES-01-PKG-04</t>
  </si>
  <si>
    <t xml:space="preserve">Finishes, Fit-Out &amp; External Works Contract</t>
  </si>
  <si>
    <t xml:space="preserve">RES-02-PKG-01</t>
  </si>
  <si>
    <t xml:space="preserve">RES-02-PKG-02</t>
  </si>
  <si>
    <t xml:space="preserve">RES-02-PKG-03</t>
  </si>
  <si>
    <t xml:space="preserve">RES-02-PKG-04</t>
  </si>
  <si>
    <t xml:space="preserve">COM-01-PKG-01</t>
  </si>
  <si>
    <t xml:space="preserve">COM-01-PKG-02</t>
  </si>
  <si>
    <t xml:space="preserve">COM-01-PKG-03</t>
  </si>
  <si>
    <t xml:space="preserve">COM-01-PKG-04</t>
  </si>
  <si>
    <t xml:space="preserve">COM-02-PKG-01</t>
  </si>
  <si>
    <t xml:space="preserve">COM-02-PKG-02</t>
  </si>
  <si>
    <t xml:space="preserve">COM-02-PKG-03</t>
  </si>
  <si>
    <t xml:space="preserve">COM-02-PKG-04</t>
  </si>
  <si>
    <t xml:space="preserve">MXU-01-PKG-01</t>
  </si>
  <si>
    <t xml:space="preserve">MXU-01-PKG-02</t>
  </si>
  <si>
    <t xml:space="preserve">MXU-01-PKG-03</t>
  </si>
  <si>
    <t xml:space="preserve">MXU-01-PKG-04</t>
  </si>
  <si>
    <t xml:space="preserve">MXU-02-PKG-01</t>
  </si>
  <si>
    <t xml:space="preserve">MXU-02-PKG-02</t>
  </si>
  <si>
    <t xml:space="preserve">MXU-02-PKG-03</t>
  </si>
  <si>
    <t xml:space="preserve">MXU-02-PKG-04</t>
  </si>
  <si>
    <t xml:space="preserve">LND-01-PKG-01</t>
  </si>
  <si>
    <t xml:space="preserve">LND-01-PKG-02</t>
  </si>
  <si>
    <t xml:space="preserve">LND-01-PKG-03</t>
  </si>
  <si>
    <t xml:space="preserve">LND-01-PKG-04</t>
  </si>
  <si>
    <t xml:space="preserve">LND-02-PKG-01</t>
  </si>
  <si>
    <t xml:space="preserve">LND-02-PKG-02</t>
  </si>
  <si>
    <t xml:space="preserve">LND-02-PKG-03</t>
  </si>
  <si>
    <t xml:space="preserve">LND-02-PKG-04</t>
  </si>
  <si>
    <t xml:space="preserve">CONTRACT AWARD &amp; DELIVERY PERFORMANCE SUMMARY — SELECTED SCOPE</t>
  </si>
  <si>
    <t xml:space="preserve">Committed as % of revised control budget</t>
  </si>
  <si>
    <t xml:space="preserve">Contracts awarded on time (%)</t>
  </si>
  <si>
    <t xml:space="preserve">Packages with completion slippage (No.)</t>
  </si>
  <si>
    <t xml:space="preserve">Average completion slippage (days)</t>
  </si>
  <si>
    <t xml:space="preserve">Contract Award &amp; Delivery Index</t>
  </si>
  <si>
    <t xml:space="preserve">Contract Award RAG</t>
  </si>
  <si>
    <t xml:space="preserve">CONTROL LOGIC — award variance is measured to the actual award date, or to the data date where no contract has been awarded, so tender ageing cannot hide. Completion variance behaves the same way. The index penalises late award and late completion equally, because both consume float on the developer's programme.</t>
  </si>
  <si>
    <t xml:space="preserve">CONTRACTOR &amp; PMC WORKFORCE REGISTER — ALL PROJECTS</t>
  </si>
  <si>
    <t xml:space="preserve">Tazayud Real Estate Development — Owner PMO  |  resource availability &amp; utilisation</t>
  </si>
  <si>
    <t xml:space="preserve">The developer monitors whether the contractor and PMC have the people on site and whether those people are productive. This is a resource-availability control, not a cost ledger.</t>
  </si>
  <si>
    <t xml:space="preserve">WORKFORCE DEPLOYED BY CONTRACTORS AND THE PMC — AVAILABILITY &amp; UTILISATION</t>
  </si>
  <si>
    <t xml:space="preserve">Trade / Resource Category</t>
  </si>
  <si>
    <t xml:space="preserve">Contractor / PMC</t>
  </si>
  <si>
    <t xml:space="preserve">Direct /
Indirect</t>
  </si>
  <si>
    <t xml:space="preserve">Planned
Headcount</t>
  </si>
  <si>
    <t xml:space="preserve">Actual
Headcount</t>
  </si>
  <si>
    <t xml:space="preserve">Headcount
Variance</t>
  </si>
  <si>
    <t xml:space="preserve">Availability
% (vs plan)</t>
  </si>
  <si>
    <t xml:space="preserve">Planned
Man-hours</t>
  </si>
  <si>
    <t xml:space="preserve">Attended
Man-hours</t>
  </si>
  <si>
    <t xml:space="preserve">Productive
Man-hours</t>
  </si>
  <si>
    <t xml:space="preserve">Utilisation
%</t>
  </si>
  <si>
    <t xml:space="preserve">Resource
Status</t>
  </si>
  <si>
    <t xml:space="preserve">Project Management Consultancy Staff</t>
  </si>
  <si>
    <t xml:space="preserve">PMC / Owner</t>
  </si>
  <si>
    <t xml:space="preserve">Indirect</t>
  </si>
  <si>
    <t xml:space="preserve">Owner HSE, Quality &amp; Document Control</t>
  </si>
  <si>
    <t xml:space="preserve">Contractor Supervision, Surveying &amp; Setting Out</t>
  </si>
  <si>
    <t xml:space="preserve">Contractor</t>
  </si>
  <si>
    <t xml:space="preserve">Direct</t>
  </si>
  <si>
    <t xml:space="preserve">Contractor Direct Trades (steel, carpentry, concrete)</t>
  </si>
  <si>
    <t xml:space="preserve">Principal Works Contractor Crews</t>
  </si>
  <si>
    <t xml:space="preserve">Specialist &amp; MEP Contractor Crews</t>
  </si>
  <si>
    <t xml:space="preserve">RESOURCE AVAILABILITY &amp; UTILISATION SUMMARY — SELECTED SCOPE</t>
  </si>
  <si>
    <t xml:space="preserve">Contractor direct workforce — planned (No.)</t>
  </si>
  <si>
    <t xml:space="preserve">Contractor direct workforce — actual (No.)</t>
  </si>
  <si>
    <t xml:space="preserve">Contractor workforce availability (%)</t>
  </si>
  <si>
    <t xml:space="preserve">PMC &amp; supervisory staff — planned (No.)</t>
  </si>
  <si>
    <t xml:space="preserve">PMC &amp; supervisory staff — actual (No.)</t>
  </si>
  <si>
    <t xml:space="preserve">Supervision ratio (supervisory / direct)</t>
  </si>
  <si>
    <t xml:space="preserve">Attended man-hours to date</t>
  </si>
  <si>
    <t xml:space="preserve">Productive man-hours to date</t>
  </si>
  <si>
    <t xml:space="preserve">Workforce utilisation (%)</t>
  </si>
  <si>
    <t xml:space="preserve">Planned man-hours to date</t>
  </si>
  <si>
    <t xml:space="preserve">Labour productivity — earned SAR per productive man-hour</t>
  </si>
  <si>
    <t xml:space="preserve">Resource RAG</t>
  </si>
  <si>
    <t xml:space="preserve">CONTROL LOGIC — this register tracks whether the contractor and PMC have the planned resources on site (availability) and whether those resources are productive (utilisation = productive hours / attended hours). It carries no rates or cost: for a developer, the contractor's labour cost sits inside the priced contract and is controlled through the WBS and cost registers, not here. Total attended man-hours must equal HSE exposure hours (REC-08). Productivity is earned value per productive man-hour, the only measure that survives scope change.</t>
  </si>
  <si>
    <t xml:space="preserve">CONTRACTOR PLANT &amp; EQUIPMENT REGISTER — ALL PROJECTS</t>
  </si>
  <si>
    <t xml:space="preserve">Tazayud Real Estate Development — Owner PMO  |  monitored, not paid directly</t>
  </si>
  <si>
    <t xml:space="preserve">Plant sits inside the contractors' priced rates. The developer monitors it because low utilisation with high availability is a planning failure that arrives later as schedule loss.</t>
  </si>
  <si>
    <t xml:space="preserve">CONTRACTOR FLEET DEPLOYMENT &amp; UTILISATION — CUMULATIVE TO THE DATA DATE</t>
  </si>
  <si>
    <t xml:space="preserve">Cost shown is indicative exposure inside the contractors' rates, not a direct developer payment.</t>
  </si>
  <si>
    <t xml:space="preserve">Eq. ID</t>
  </si>
  <si>
    <t xml:space="preserve">Description / Type</t>
  </si>
  <si>
    <t xml:space="preserve">Owned /
Hired</t>
  </si>
  <si>
    <t xml:space="preserve">Qty
Planned</t>
  </si>
  <si>
    <t xml:space="preserve">Qty on
Site</t>
  </si>
  <si>
    <t xml:space="preserve">Mobilised</t>
  </si>
  <si>
    <t xml:space="preserve">Demob.</t>
  </si>
  <si>
    <t xml:space="preserve">Planned
Hours</t>
  </si>
  <si>
    <t xml:space="preserve">Operating
Hours</t>
  </si>
  <si>
    <t xml:space="preserve">Idle
Hours</t>
  </si>
  <si>
    <t xml:space="preserve">Breakdown
Hours</t>
  </si>
  <si>
    <t xml:space="preserve">Availability
%</t>
  </si>
  <si>
    <t xml:space="preserve">Rate
(SAR/hr)</t>
  </si>
  <si>
    <t xml:space="preserve">Indicative Plant
Cost Exposure (SAR)</t>
  </si>
  <si>
    <t xml:space="preserve">Certification</t>
  </si>
  <si>
    <t xml:space="preserve">RES-01-EQ-01</t>
  </si>
  <si>
    <t xml:space="preserve">Contractor Earthmoving Fleet (excavators, loaders, trucks)</t>
  </si>
  <si>
    <t xml:space="preserve">Valid</t>
  </si>
  <si>
    <t xml:space="preserve">RES-01-EQ-02</t>
  </si>
  <si>
    <t xml:space="preserve">Contractor Lifting Equipment (tower &amp; mobile cranes)</t>
  </si>
  <si>
    <t xml:space="preserve">RES-01-EQ-03</t>
  </si>
  <si>
    <t xml:space="preserve">Contractor Concrete &amp; Formwork Plant</t>
  </si>
  <si>
    <t xml:space="preserve">Expiring &lt;30d</t>
  </si>
  <si>
    <t xml:space="preserve">RES-01-EQ-04</t>
  </si>
  <si>
    <t xml:space="preserve">Site Power, Dewatering &amp; Support Plant</t>
  </si>
  <si>
    <t xml:space="preserve">RES-02-EQ-01</t>
  </si>
  <si>
    <t xml:space="preserve">RES-02-EQ-02</t>
  </si>
  <si>
    <t xml:space="preserve">RES-02-EQ-03</t>
  </si>
  <si>
    <t xml:space="preserve">RES-02-EQ-04</t>
  </si>
  <si>
    <t xml:space="preserve">COM-01-EQ-01</t>
  </si>
  <si>
    <t xml:space="preserve">COM-01-EQ-02</t>
  </si>
  <si>
    <t xml:space="preserve">COM-01-EQ-03</t>
  </si>
  <si>
    <t xml:space="preserve">COM-01-EQ-04</t>
  </si>
  <si>
    <t xml:space="preserve">COM-02-EQ-01</t>
  </si>
  <si>
    <t xml:space="preserve">COM-02-EQ-02</t>
  </si>
  <si>
    <t xml:space="preserve">COM-02-EQ-03</t>
  </si>
  <si>
    <t xml:space="preserve">COM-02-EQ-04</t>
  </si>
  <si>
    <t xml:space="preserve">MXU-01-EQ-01</t>
  </si>
  <si>
    <t xml:space="preserve">MXU-01-EQ-02</t>
  </si>
  <si>
    <t xml:space="preserve">MXU-01-EQ-03</t>
  </si>
  <si>
    <t xml:space="preserve">MXU-01-EQ-04</t>
  </si>
  <si>
    <t xml:space="preserve">MXU-02-EQ-01</t>
  </si>
  <si>
    <t xml:space="preserve">MXU-02-EQ-02</t>
  </si>
  <si>
    <t xml:space="preserve">MXU-02-EQ-03</t>
  </si>
  <si>
    <t xml:space="preserve">MXU-02-EQ-04</t>
  </si>
  <si>
    <t xml:space="preserve">LND-01-EQ-01</t>
  </si>
  <si>
    <t xml:space="preserve">LND-01-EQ-02</t>
  </si>
  <si>
    <t xml:space="preserve">LND-01-EQ-03</t>
  </si>
  <si>
    <t xml:space="preserve">LND-01-EQ-04</t>
  </si>
  <si>
    <t xml:space="preserve">LND-02-EQ-01</t>
  </si>
  <si>
    <t xml:space="preserve">LND-02-EQ-02</t>
  </si>
  <si>
    <t xml:space="preserve">LND-02-EQ-03</t>
  </si>
  <si>
    <t xml:space="preserve">LND-02-EQ-04</t>
  </si>
  <si>
    <t xml:space="preserve">FLEET TOTAL — IN SCOPE</t>
  </si>
  <si>
    <t xml:space="preserve">FLEET PERFORMANCE SUMMARY — SELECTED SCOPE</t>
  </si>
  <si>
    <t xml:space="preserve">Fleet availability (%)</t>
  </si>
  <si>
    <t xml:space="preserve">Items with certification risk (No.)</t>
  </si>
  <si>
    <t xml:space="preserve">Fleet shortfall vs plan (units)</t>
  </si>
  <si>
    <t xml:space="preserve">Fleet utilisation (%)</t>
  </si>
  <si>
    <t xml:space="preserve">Idle cost exposure (SAR)</t>
  </si>
  <si>
    <t xml:space="preserve">Breakdown hours as % of fleet hours</t>
  </si>
  <si>
    <t xml:space="preserve">Indicative plant cost exposure (SAR)</t>
  </si>
  <si>
    <t xml:space="preserve">Plant exposure as % of cost incurred</t>
  </si>
  <si>
    <t xml:space="preserve">Contractor Plant RAG</t>
  </si>
  <si>
    <t xml:space="preserve">CONTROL LOGIC — availability = (operating + idle) / (operating + idle + breakdown): whether the plant was fit to work. Utilisation = operating / total: whether the contractor's programme gave it work to do. Idle cost exposure prices the gap. The developer does not pay these amounts directly — they sit inside the contract rates — so this register is a productivity control, not a cost ledger.</t>
  </si>
  <si>
    <t xml:space="preserve">QUALITY CONTROL REGISTER — ALL PROJECTS</t>
  </si>
  <si>
    <t xml:space="preserve">Tazayud Real Estate Development — Owner PMO  |  inspections certified through the PMC</t>
  </si>
  <si>
    <t xml:space="preserve">First-time-right counts approvals against DECIDED inspections only, so a large pending queue cannot flatter the number.</t>
  </si>
  <si>
    <t xml:space="preserve">1.  CONTRACTOR INSPECTION &amp; SUBMITTAL PERFORMANCE BY PROJECT</t>
  </si>
  <si>
    <t xml:space="preserve">WIR
Submitted</t>
  </si>
  <si>
    <t xml:space="preserve">WIR
Approved</t>
  </si>
  <si>
    <t xml:space="preserve">WIR
Rejected</t>
  </si>
  <si>
    <t xml:space="preserve">WIR
Pending</t>
  </si>
  <si>
    <t xml:space="preserve">MIR
Submitted</t>
  </si>
  <si>
    <t xml:space="preserve">MIR
Approved</t>
  </si>
  <si>
    <t xml:space="preserve">MIR
Rejected</t>
  </si>
  <si>
    <t xml:space="preserve">MIR
Pending</t>
  </si>
  <si>
    <t xml:space="preserve">Approval
Rate %</t>
  </si>
  <si>
    <t xml:space="preserve">First-Time-
Right %</t>
  </si>
  <si>
    <t xml:space="preserve">Rejection
Rate %</t>
  </si>
  <si>
    <t xml:space="preserve">Pending
Ratio %</t>
  </si>
  <si>
    <t xml:space="preserve">Open
NCRs</t>
  </si>
  <si>
    <t xml:space="preserve">2.  QUALITY PERFORMANCE INDICATORS — SELECTED SCOPE</t>
  </si>
  <si>
    <t xml:space="preserve">Inspection rejection rate (%)</t>
  </si>
  <si>
    <t xml:space="preserve">QPI = 1 − (rejected inspections + open NCRs) ÷ (total inspections + total NCRs). Green at 0.95 and above, Amber 0.85 to 0.95, Red below 0.85.</t>
  </si>
  <si>
    <t xml:space="preserve">Non-conformance reports raised (No.)</t>
  </si>
  <si>
    <t xml:space="preserve">Non-conformance reports open (No.)</t>
  </si>
  <si>
    <t xml:space="preserve">NCR closure rate (%)</t>
  </si>
  <si>
    <t xml:space="preserve">Average days to close an NCR</t>
  </si>
  <si>
    <t xml:space="preserve">Rework &amp; re-inspection cost to date (SAR)</t>
  </si>
  <si>
    <t xml:space="preserve">Quality Performance Index — QPI</t>
  </si>
  <si>
    <t xml:space="preserve">3.  NON-CONFORMANCE REPORT LOG — ALL PROJECTS</t>
  </si>
  <si>
    <t xml:space="preserve">NCRs raised by the PMC, the owner PMO or the authority against contractor work.</t>
  </si>
  <si>
    <t xml:space="preserve">NCR No.</t>
  </si>
  <si>
    <t xml:space="preserve">Source</t>
  </si>
  <si>
    <t xml:space="preserve">Non-Conformance Description</t>
  </si>
  <si>
    <t xml:space="preserve">Severity</t>
  </si>
  <si>
    <t xml:space="preserve">Root Cause Category</t>
  </si>
  <si>
    <t xml:space="preserve">Actual
Close</t>
  </si>
  <si>
    <t xml:space="preserve">Rework Cost
(SAR)</t>
  </si>
  <si>
    <t xml:space="preserve">RES-01-NCR-01</t>
  </si>
  <si>
    <t xml:space="preserve">Test results below the specified acceptance criteria</t>
  </si>
  <si>
    <t xml:space="preserve">Major</t>
  </si>
  <si>
    <t xml:space="preserve">Workmanship / Method</t>
  </si>
  <si>
    <t xml:space="preserve">Closed</t>
  </si>
  <si>
    <t xml:space="preserve">RES-01-NCR-02</t>
  </si>
  <si>
    <t xml:space="preserve">Owner PMO</t>
  </si>
  <si>
    <t xml:space="preserve">Installation not in accordance with the approved shop drawing</t>
  </si>
  <si>
    <t xml:space="preserve">Minor</t>
  </si>
  <si>
    <t xml:space="preserve">Documentation / Control</t>
  </si>
  <si>
    <t xml:space="preserve">Open</t>
  </si>
  <si>
    <t xml:space="preserve">RES-01-NCR-03</t>
  </si>
  <si>
    <t xml:space="preserve">Authority</t>
  </si>
  <si>
    <t xml:space="preserve">Material delivered does not match the approved submittal</t>
  </si>
  <si>
    <t xml:space="preserve">Material Quality</t>
  </si>
  <si>
    <t xml:space="preserve">PMC Procurement Lead</t>
  </si>
  <si>
    <t xml:space="preserve">RES-02-NCR-01</t>
  </si>
  <si>
    <t xml:space="preserve">RES-02-NCR-02</t>
  </si>
  <si>
    <t xml:space="preserve">RES-02-NCR-03</t>
  </si>
  <si>
    <t xml:space="preserve">COM-01-NCR-01</t>
  </si>
  <si>
    <t xml:space="preserve">COM-01-NCR-02</t>
  </si>
  <si>
    <t xml:space="preserve">COM-01-NCR-03</t>
  </si>
  <si>
    <t xml:space="preserve">COM-02-NCR-01</t>
  </si>
  <si>
    <t xml:space="preserve">COM-02-NCR-02</t>
  </si>
  <si>
    <t xml:space="preserve">COM-02-NCR-03</t>
  </si>
  <si>
    <t xml:space="preserve">MXU-01-NCR-01</t>
  </si>
  <si>
    <t xml:space="preserve">MXU-01-NCR-02</t>
  </si>
  <si>
    <t xml:space="preserve">MXU-01-NCR-03</t>
  </si>
  <si>
    <t xml:space="preserve">MXU-02-NCR-01</t>
  </si>
  <si>
    <t xml:space="preserve">MXU-02-NCR-02</t>
  </si>
  <si>
    <t xml:space="preserve">MXU-02-NCR-03</t>
  </si>
  <si>
    <t xml:space="preserve">LND-01-NCR-01</t>
  </si>
  <si>
    <t xml:space="preserve">LND-01-NCR-02</t>
  </si>
  <si>
    <t xml:space="preserve">LND-01-NCR-03</t>
  </si>
  <si>
    <t xml:space="preserve">LND-02-NCR-01</t>
  </si>
  <si>
    <t xml:space="preserve">LND-02-NCR-02</t>
  </si>
  <si>
    <t xml:space="preserve">LND-02-NCR-03</t>
  </si>
  <si>
    <t xml:space="preserve">CONTROL LOGIC — Days Open runs to the data date while an NCR is open, so ageing cannot be reset by changing a status. Rework cost is a real cost and is included in the actual cost reported on Cost_Financials; it is also reported separately as the Rework Cost Index on Performance_Indices.</t>
  </si>
  <si>
    <t xml:space="preserve">HEALTH, SAFETY &amp; ENVIRONMENT REGISTER — ALL PROJECTS</t>
  </si>
  <si>
    <t xml:space="preserve">Tazayud Real Estate Development — Owner PMO  |  contractor exposure on the developer's sites</t>
  </si>
  <si>
    <t xml:space="preserve">TRIR is per 200,000 exposure hours, LTIFR per 1,000,000. A lost-time injury should override the calculated project RAG as a matter of policy, not of calculation.</t>
  </si>
  <si>
    <t xml:space="preserve">1.  CONTRACTOR HSE STATISTICS BY PROJECT — CUMULATIVE TO THE DATA DATE</t>
  </si>
  <si>
    <t xml:space="preserve">Exposure
Man-hours</t>
  </si>
  <si>
    <t xml:space="preserve">Safe
Man-hours</t>
  </si>
  <si>
    <t xml:space="preserve">LTI</t>
  </si>
  <si>
    <t xml:space="preserve">MTC</t>
  </si>
  <si>
    <t xml:space="preserve">RWC</t>
  </si>
  <si>
    <t xml:space="preserve">FAC</t>
  </si>
  <si>
    <t xml:space="preserve">Near
Misses</t>
  </si>
  <si>
    <t xml:space="preserve">Obs.
Raised</t>
  </si>
  <si>
    <t xml:space="preserve">Obs.
Closed</t>
  </si>
  <si>
    <t xml:space="preserve">Toolbox
Talks</t>
  </si>
  <si>
    <t xml:space="preserve">Inductions</t>
  </si>
  <si>
    <t xml:space="preserve">Audit
Score %</t>
  </si>
  <si>
    <t xml:space="preserve">Training
%</t>
  </si>
  <si>
    <t xml:space="preserve">2.  HSE PERFORMANCE INDICATORS — SELECTED SCOPE</t>
  </si>
  <si>
    <t xml:space="preserve">Total exposure man-hours</t>
  </si>
  <si>
    <t xml:space="preserve">Lost time injuries (LTI)</t>
  </si>
  <si>
    <t xml:space="preserve">HPI weights zero-LTI at 40%, incident rate at 20%, observation closure at 20% and training compliance at 20%.</t>
  </si>
  <si>
    <t xml:space="preserve">Total Recordable Incident Rate — TRIR</t>
  </si>
  <si>
    <t xml:space="preserve">Lost Time Injury Frequency Rate — LTIFR</t>
  </si>
  <si>
    <t xml:space="preserve">Safety observation closure (%)</t>
  </si>
  <si>
    <t xml:space="preserve">Total recordable incidents (No.)</t>
  </si>
  <si>
    <t xml:space="preserve">HSE Performance Index — HPI</t>
  </si>
  <si>
    <t xml:space="preserve">3.  INCIDENT &amp; OBSERVATION LOG — ALL PROJECTS</t>
  </si>
  <si>
    <t xml:space="preserve">Incidents on contractor-operated sites remain the developer's reputational and legal exposure.</t>
  </si>
  <si>
    <t xml:space="preserve">Date</t>
  </si>
  <si>
    <t xml:space="preserve">Incident Type</t>
  </si>
  <si>
    <t xml:space="preserve">Location / Area</t>
  </si>
  <si>
    <t xml:space="preserve">Description</t>
  </si>
  <si>
    <t xml:space="preserve">Action Owner</t>
  </si>
  <si>
    <t xml:space="preserve">Lost
Days</t>
  </si>
  <si>
    <t xml:space="preserve">RES-01-HSE-01</t>
  </si>
  <si>
    <t xml:space="preserve">Near Miss</t>
  </si>
  <si>
    <t xml:space="preserve">Unprotected leading edge identified during a routine inspection</t>
  </si>
  <si>
    <t xml:space="preserve">Low</t>
  </si>
  <si>
    <t xml:space="preserve">Barricading / Access Control</t>
  </si>
  <si>
    <t xml:space="preserve">PMC HSE Manager</t>
  </si>
  <si>
    <t xml:space="preserve">RES-01-HSE-02</t>
  </si>
  <si>
    <t xml:space="preserve">First Aid</t>
  </si>
  <si>
    <t xml:space="preserve">Minor hand injury during material handling</t>
  </si>
  <si>
    <t xml:space="preserve">PPE / Manual Handling</t>
  </si>
  <si>
    <t xml:space="preserve">RES-01-HSE-03</t>
  </si>
  <si>
    <t xml:space="preserve">Plant and pedestrian interaction in a shared access route</t>
  </si>
  <si>
    <t xml:space="preserve">Medium</t>
  </si>
  <si>
    <t xml:space="preserve">Traffic Management</t>
  </si>
  <si>
    <t xml:space="preserve">RES-02-HSE-01</t>
  </si>
  <si>
    <t xml:space="preserve">RES-02-HSE-02</t>
  </si>
  <si>
    <t xml:space="preserve">RES-02-HSE-03</t>
  </si>
  <si>
    <t xml:space="preserve">COM-01-HSE-01</t>
  </si>
  <si>
    <t xml:space="preserve">COM-01-HSE-02</t>
  </si>
  <si>
    <t xml:space="preserve">COM-01-HSE-03</t>
  </si>
  <si>
    <t xml:space="preserve">COM-02-HSE-01</t>
  </si>
  <si>
    <t xml:space="preserve">COM-02-HSE-02</t>
  </si>
  <si>
    <t xml:space="preserve">COM-02-HSE-03</t>
  </si>
  <si>
    <t xml:space="preserve">MXU-01-HSE-01</t>
  </si>
  <si>
    <t xml:space="preserve">MXU-01-HSE-02</t>
  </si>
  <si>
    <t xml:space="preserve">MXU-01-HSE-03</t>
  </si>
  <si>
    <t xml:space="preserve">MXU-02-HSE-01</t>
  </si>
  <si>
    <t xml:space="preserve">MXU-02-HSE-02</t>
  </si>
  <si>
    <t xml:space="preserve">MXU-02-HSE-03</t>
  </si>
  <si>
    <t xml:space="preserve">LND-01-HSE-01</t>
  </si>
  <si>
    <t xml:space="preserve">LND-01-HSE-02</t>
  </si>
  <si>
    <t xml:space="preserve">LND-01-HSE-03</t>
  </si>
  <si>
    <t xml:space="preserve">LND-02-HSE-01</t>
  </si>
  <si>
    <t xml:space="preserve">LND-02-HSE-02</t>
  </si>
  <si>
    <t xml:space="preserve">LND-02-HSE-03</t>
  </si>
  <si>
    <t xml:space="preserve">CONTROL LOGIC — exposure hours entered here must equal the actual man-hours in Manpower_Register; control REC-08 tests it corporate-wide. If the two disagree, either the timesheets or the safety statistics are wrong, and neither TRIR nor productivity can be trusted until it is resolved.</t>
  </si>
  <si>
    <t xml:space="preserve">RISK REGISTER — ALL PROJECTS</t>
  </si>
  <si>
    <t xml:space="preserve">Tazayud Real Estate Development — Owner PMO  |  risk retained by the developer</t>
  </si>
  <si>
    <t xml:space="preserve">Probability 1-5 maps to 10 / 30 / 50 / 70 / 90 percent. EMV = probability x exposure, and is compared directly against the management reserve.</t>
  </si>
  <si>
    <t xml:space="preserve">PROJECT RISK REGISTER — INHERENT AND RESIDUAL</t>
  </si>
  <si>
    <t xml:space="preserve">Risk ID</t>
  </si>
  <si>
    <t xml:space="preserve">Risk Description</t>
  </si>
  <si>
    <t xml:space="preserve">Cause → Potential Effect</t>
  </si>
  <si>
    <t xml:space="preserve">Prob
(1-5)</t>
  </si>
  <si>
    <t xml:space="preserve">Impact
(1-5)</t>
  </si>
  <si>
    <t xml:space="preserve">Inherent
Score</t>
  </si>
  <si>
    <t xml:space="preserve">Inherent
Level</t>
  </si>
  <si>
    <t xml:space="preserve">Cost Exposure
(SAR)</t>
  </si>
  <si>
    <t xml:space="preserve">Prob
%</t>
  </si>
  <si>
    <t xml:space="preserve">EMV — Cost
(SAR)</t>
  </si>
  <si>
    <t xml:space="preserve">EMV —
Days</t>
  </si>
  <si>
    <t xml:space="preserve">Mitigation / Control Action</t>
  </si>
  <si>
    <t xml:space="preserve">Target
Date</t>
  </si>
  <si>
    <t xml:space="preserve">Res.
P</t>
  </si>
  <si>
    <t xml:space="preserve">Res.
I</t>
  </si>
  <si>
    <t xml:space="preserve">Residual
Score</t>
  </si>
  <si>
    <t xml:space="preserve">Residual
Level</t>
  </si>
  <si>
    <t xml:space="preserve">Rank
Key</t>
  </si>
  <si>
    <t xml:space="preserve">Design and approval cycle slippage delays contractor mobilisation and works</t>
  </si>
  <si>
    <t xml:space="preserve">Late issue of IFC documentation and third-party verification by the design consultant → Critical path delay to the principal works contracts</t>
  </si>
  <si>
    <t xml:space="preserve">Mitigate</t>
  </si>
  <si>
    <t xml:space="preserve">Weekly design recovery forum chaired by the PMC; escalate outstanding approvals to the developer</t>
  </si>
  <si>
    <t xml:space="preserve">PMC Design Manager</t>
  </si>
  <si>
    <t xml:space="preserve">Resource</t>
  </si>
  <si>
    <t xml:space="preserve">Contractor workforce shortfall limits achievable production rates on site</t>
  </si>
  <si>
    <t xml:space="preserve">Contractor mobilisation, visa processing and regional labour-market shortage → Sustained erosion of the schedule performance index across packages</t>
  </si>
  <si>
    <t xml:space="preserve">Enforce the contractual ramp-up plan; instruct the contractor to package additional trades</t>
  </si>
  <si>
    <t xml:space="preserve">PMC Construction Manager</t>
  </si>
  <si>
    <t xml:space="preserve">Unresolved contractor claims and variation entitlement inflate the final account</t>
  </si>
  <si>
    <t xml:space="preserve">Extended assessment and determination cycle between the contractor, PMC and the developer → Erosion of budget headroom and uncontrolled cost commitment</t>
  </si>
  <si>
    <t xml:space="preserve">Fortnightly commercial review; variation ageing tracker with defined escalation triggers</t>
  </si>
  <si>
    <t xml:space="preserve">RES-01-RSK-04</t>
  </si>
  <si>
    <t xml:space="preserve">Contract packages not awarded within the programme window</t>
  </si>
  <si>
    <t xml:space="preserve">Late tender issue and extended bid evaluation by the developer and PMC → Delay to site mobilisation, testing, commissioning and asset handover</t>
  </si>
  <si>
    <t xml:space="preserve">Contract award gate review each week against the master procurement programme</t>
  </si>
  <si>
    <t xml:space="preserve">Owner Procurement Manager</t>
  </si>
  <si>
    <t xml:space="preserve">Mitigating</t>
  </si>
  <si>
    <t xml:space="preserve">RES-02-RSK-04</t>
  </si>
  <si>
    <t xml:space="preserve">COM-01-RSK-04</t>
  </si>
  <si>
    <t xml:space="preserve">COM-02-RSK-04</t>
  </si>
  <si>
    <t xml:space="preserve">MXU-01-RSK-04</t>
  </si>
  <si>
    <t xml:space="preserve">MXU-02-RSK-04</t>
  </si>
  <si>
    <t xml:space="preserve">LND-01-RSK-04</t>
  </si>
  <si>
    <t xml:space="preserve">LND-02-RSK-04</t>
  </si>
  <si>
    <t xml:space="preserve">TOTAL EXPOSURE — IN SCOPE</t>
  </si>
  <si>
    <t xml:space="preserve">RISK EXPOSURE SUMMARY — SELECTED SCOPE</t>
  </si>
  <si>
    <t xml:space="preserve">Expected schedule exposure — open risk (days)</t>
  </si>
  <si>
    <t xml:space="preserve">EMV as % of management reserve</t>
  </si>
  <si>
    <t xml:space="preserve">Residual EMV after mitigation (SAR)</t>
  </si>
  <si>
    <t xml:space="preserve">Risk register RAG</t>
  </si>
  <si>
    <t xml:space="preserve">Total open risks (No.)</t>
  </si>
  <si>
    <t xml:space="preserve">Risks past target mitigation date (No.)</t>
  </si>
  <si>
    <t xml:space="preserve">Total risks logged (No.)</t>
  </si>
  <si>
    <t xml:space="preserve">CONTROL LOGIC — inherent score is assessed before mitigation, residual after. Comparing expected monetary value of open risk against the management reserve held in the cost categories is the single most useful test of whether contingency is adequate. Residual EMV excludes only closed risks, so a risk still being mitigated continues to carry exposure.</t>
  </si>
  <si>
    <t xml:space="preserve">ISSUES REGISTER — ALL PROJECTS</t>
  </si>
  <si>
    <t xml:space="preserve">Tazayud Real Estate Development — Owner PMO  |  issues escalated by the PMC and contractors</t>
  </si>
  <si>
    <t xml:space="preserve">Ageing — not count — is the control measure. Open issues with no linked risk are counted explicitly: each one is a gap in risk identification.</t>
  </si>
  <si>
    <t xml:space="preserve">PROJECT ISSUES LOG</t>
  </si>
  <si>
    <t xml:space="preserve">Issue ID</t>
  </si>
  <si>
    <t xml:space="preserve">Issue Description</t>
  </si>
  <si>
    <t xml:space="preserve">Impact if Unresolved</t>
  </si>
  <si>
    <t xml:space="preserve">Owner / Responsibility</t>
  </si>
  <si>
    <t xml:space="preserve">Action Taken / Current Position</t>
  </si>
  <si>
    <t xml:space="preserve">Ageing Band</t>
  </si>
  <si>
    <t xml:space="preserve">RES-01-ISS-01</t>
  </si>
  <si>
    <t xml:space="preserve">Outstanding design verification reports prevent release of inspection hold points</t>
  </si>
  <si>
    <t xml:space="preserve">Contractor cannot progress works at held inspection points</t>
  </si>
  <si>
    <t xml:space="preserve">PMC Design Office</t>
  </si>
  <si>
    <t xml:space="preserve">Recovery action agreed and being tracked at the weekly project review</t>
  </si>
  <si>
    <t xml:space="preserve">RES-01-ISS-02</t>
  </si>
  <si>
    <t xml:space="preserve">Contractor labour shortfall against the approved mobilisation plan</t>
  </si>
  <si>
    <t xml:space="preserve">Production rates below the contract baseline requirement</t>
  </si>
  <si>
    <t xml:space="preserve">Contractor Resourcing</t>
  </si>
  <si>
    <t xml:space="preserve">RES-01-ISS-03</t>
  </si>
  <si>
    <t xml:space="preserve">Delay in issuing tender documents for a long-lead contract package</t>
  </si>
  <si>
    <t xml:space="preserve">Award and installation window at risk</t>
  </si>
  <si>
    <t xml:space="preserve">PMC Technical Office</t>
  </si>
  <si>
    <t xml:space="preserve">Escalated</t>
  </si>
  <si>
    <t xml:space="preserve">RES-01-ISS-04</t>
  </si>
  <si>
    <t xml:space="preserve">Contractor variation entitlement submitted but not yet determined</t>
  </si>
  <si>
    <t xml:space="preserve">Uncontrolled cost commitment and budget headroom erosion</t>
  </si>
  <si>
    <t xml:space="preserve">RES-02-ISS-01</t>
  </si>
  <si>
    <t xml:space="preserve">RES-02-ISS-02</t>
  </si>
  <si>
    <t xml:space="preserve">RES-02-ISS-03</t>
  </si>
  <si>
    <t xml:space="preserve">RES-02-ISS-04</t>
  </si>
  <si>
    <t xml:space="preserve">COM-01-ISS-01</t>
  </si>
  <si>
    <t xml:space="preserve">COM-01-ISS-02</t>
  </si>
  <si>
    <t xml:space="preserve">COM-01-ISS-03</t>
  </si>
  <si>
    <t xml:space="preserve">COM-01-ISS-04</t>
  </si>
  <si>
    <t xml:space="preserve">COM-02-ISS-01</t>
  </si>
  <si>
    <t xml:space="preserve">COM-02-ISS-02</t>
  </si>
  <si>
    <t xml:space="preserve">COM-02-ISS-03</t>
  </si>
  <si>
    <t xml:space="preserve">COM-02-ISS-04</t>
  </si>
  <si>
    <t xml:space="preserve">MXU-01-ISS-01</t>
  </si>
  <si>
    <t xml:space="preserve">MXU-01-ISS-02</t>
  </si>
  <si>
    <t xml:space="preserve">MXU-01-ISS-03</t>
  </si>
  <si>
    <t xml:space="preserve">MXU-01-ISS-04</t>
  </si>
  <si>
    <t xml:space="preserve">MXU-02-ISS-01</t>
  </si>
  <si>
    <t xml:space="preserve">MXU-02-ISS-02</t>
  </si>
  <si>
    <t xml:space="preserve">MXU-02-ISS-03</t>
  </si>
  <si>
    <t xml:space="preserve">MXU-02-ISS-04</t>
  </si>
  <si>
    <t xml:space="preserve">LND-01-ISS-01</t>
  </si>
  <si>
    <t xml:space="preserve">LND-01-ISS-02</t>
  </si>
  <si>
    <t xml:space="preserve">LND-01-ISS-03</t>
  </si>
  <si>
    <t xml:space="preserve">LND-01-ISS-04</t>
  </si>
  <si>
    <t xml:space="preserve">LND-02-ISS-01</t>
  </si>
  <si>
    <t xml:space="preserve">LND-02-ISS-02</t>
  </si>
  <si>
    <t xml:space="preserve">LND-02-ISS-03</t>
  </si>
  <si>
    <t xml:space="preserve">LND-02-ISS-04</t>
  </si>
  <si>
    <t xml:space="preserve">ISSUE MANAGEMENT SUMMARY — SELECTED SCOPE</t>
  </si>
  <si>
    <t xml:space="preserve">Schedule impact of open issues (days)</t>
  </si>
  <si>
    <t xml:space="preserve">Average age of open issues (days)</t>
  </si>
  <si>
    <t xml:space="preserve">Issues closed to date (No.)</t>
  </si>
  <si>
    <t xml:space="preserve">Open issues rated Critical or High (No.)</t>
  </si>
  <si>
    <t xml:space="preserve">Open issues with no linked risk (No.)</t>
  </si>
  <si>
    <t xml:space="preserve">Issue register RAG</t>
  </si>
  <si>
    <t xml:space="preserve">CONTROL LOGIC — Days Open runs to the data date while an issue is open and to the actual close date once closed, so ageing cannot be reset by editing status alone.</t>
  </si>
  <si>
    <t xml:space="preserve">PERFORMANCE INDICES — INTEGRATED SCORECARD (SCOPE-AWARE)</t>
  </si>
  <si>
    <t xml:space="preserve">Tazayud Real Estate Development — Owner PMO  |  eighteen indices, each from one register</t>
  </si>
  <si>
    <t xml:space="preserve">Every index recalculates for the corporate, portfolio or project view selected on the Dashboard.</t>
  </si>
  <si>
    <t xml:space="preserve">INDEX SCORECARD</t>
  </si>
  <si>
    <t xml:space="preserve">Indices carrying zero weight are diagnostics: they explain the weighted indices rather than duplicating them, so nothing is counted twice in the composite.</t>
  </si>
  <si>
    <t xml:space="preserve">Index</t>
  </si>
  <si>
    <t xml:space="preserve">Definition / Calculation Basis</t>
  </si>
  <si>
    <t xml:space="preserve">Target</t>
  </si>
  <si>
    <t xml:space="preserve">Value</t>
  </si>
  <si>
    <t xml:space="preserve">Variance
vs Target</t>
  </si>
  <si>
    <t xml:space="preserve">Green
≥</t>
  </si>
  <si>
    <t xml:space="preserve">Amber
≥</t>
  </si>
  <si>
    <t xml:space="preserve">Weight</t>
  </si>
  <si>
    <t xml:space="preserve">SPI — Schedule Performance Index</t>
  </si>
  <si>
    <t xml:space="preserve">Earned value ÷ planned value</t>
  </si>
  <si>
    <t xml:space="preserve">SPI(t) — Earned Schedule Index</t>
  </si>
  <si>
    <t xml:space="preserve">Earned schedule ÷ actual time elapsed</t>
  </si>
  <si>
    <t xml:space="preserve">CPI — Cost Performance Index</t>
  </si>
  <si>
    <t xml:space="preserve">Earned value ÷ actual cost</t>
  </si>
  <si>
    <t xml:space="preserve">CSI — Cost-Schedule Index</t>
  </si>
  <si>
    <t xml:space="preserve">SPI × CPI — combined recoverability</t>
  </si>
  <si>
    <t xml:space="preserve">TCPI (BAC) — To-Complete Index</t>
  </si>
  <si>
    <t xml:space="preserve">(BAC − EV) ÷ (BAC − AC) — efficiency needed to hit budget</t>
  </si>
  <si>
    <t xml:space="preserve">TCPI (EAC) — To-Complete Index</t>
  </si>
  <si>
    <t xml:space="preserve">(BAC − EV) ÷ (EAC − AC) — efficiency needed to hold forecast</t>
  </si>
  <si>
    <t xml:space="preserve">Cost Variance %</t>
  </si>
  <si>
    <t xml:space="preserve">Cost variance ÷ earned value</t>
  </si>
  <si>
    <t xml:space="preserve">Schedule Variance %</t>
  </si>
  <si>
    <t xml:space="preserve">Schedule variance ÷ planned value</t>
  </si>
  <si>
    <t xml:space="preserve">EPI — Estimate Performance Index</t>
  </si>
  <si>
    <t xml:space="preserve">Revised control budget ÷ anticipated final cost</t>
  </si>
  <si>
    <t xml:space="preserve">BVI — Budget Variance Index</t>
  </si>
  <si>
    <t xml:space="preserve">PDI — Payment Discipline Index</t>
  </si>
  <si>
    <t xml:space="preserve">Contractor IPC paid ÷ IPC certified to date</t>
  </si>
  <si>
    <t xml:space="preserve">Commitment Index</t>
  </si>
  <si>
    <t xml:space="preserve">Committed to contractors ÷ revised control budget</t>
  </si>
  <si>
    <t xml:space="preserve">QPI — Quality Performance Index</t>
  </si>
  <si>
    <t xml:space="preserve">1 − (rejected inspections + open NCRs) ÷ (inspections + NCRs)</t>
  </si>
  <si>
    <t xml:space="preserve">RCI — Rework Cost Index</t>
  </si>
  <si>
    <t xml:space="preserve">1 − rework cost ÷ cost incurred to date</t>
  </si>
  <si>
    <t xml:space="preserve">HPI — HSE Performance Index</t>
  </si>
  <si>
    <t xml:space="preserve">Zero-LTI 40%, incident rate 20%, observation closure 20%, training 20%</t>
  </si>
  <si>
    <t xml:space="preserve">CAI — Contract Award &amp; Delivery Index</t>
  </si>
  <si>
    <t xml:space="preserve">Packages awarded and completed on time, weighted equally</t>
  </si>
  <si>
    <t xml:space="preserve">WFI — Contractor Workforce Fulfilment Index</t>
  </si>
  <si>
    <t xml:space="preserve">Actual contractor direct workforce ÷ planned</t>
  </si>
  <si>
    <t xml:space="preserve">PAI — Contractor Plant Availability Index</t>
  </si>
  <si>
    <t xml:space="preserve">(Operating + idle hours) ÷ total fleet hours</t>
  </si>
  <si>
    <t xml:space="preserve">COMPOSITE PROJECT HEALTH INDEX — WEIGHTED, EACH INDEX CAPPED AT 1.00</t>
  </si>
  <si>
    <t xml:space="preserve">Sum of applied weights (must equal 100%)</t>
  </si>
  <si>
    <t xml:space="preserve">Governance check — if this is not 100%, the composite is not comparable period to period.</t>
  </si>
  <si>
    <t xml:space="preserve">Composite Project Health Index</t>
  </si>
  <si>
    <t xml:space="preserve">This is the number to report upward. It moves only when a register moves.</t>
  </si>
  <si>
    <t xml:space="preserve">Overall Index RAG</t>
  </si>
  <si>
    <t xml:space="preserve">Green at or above 0.95, Amber at or above 0.85, Red below.</t>
  </si>
  <si>
    <t xml:space="preserve">WHY THESE EIGHTEEN — each index answers a different question and draws on a different register. The weights are input cells: change them to match your own governance policy, but keep the sum at 100% or the composite stops being interpretable. At corporate level this index is the single number the board should be shown; at project level it is the number the PMC and the internal project manager own jointly.</t>
  </si>
  <si>
    <t xml:space="preserve">MONTHLY TREND — TIME-PHASED INPUT SHEET (ALL PROJECTS)</t>
  </si>
  <si>
    <t xml:space="preserve">Tazayud Real Estate Development — Owner PMO  |  24 reporting periods x 8 projects</t>
  </si>
  <si>
    <t xml:space="preserve">This is the only sheet where time-phased money is typed. Cumulative_Trend, Regression_Analysis and every trend chart on the Dashboard are derived from it.</t>
  </si>
  <si>
    <t xml:space="preserve">MONTH-BY-MONTH PLANNED VALUE, EARNED VALUE, ACTUAL COST &amp; PRODUCTION DATA</t>
  </si>
  <si>
    <t xml:space="preserve">Enter incremental (not cumulative) figures. The elapsed flag switches on for every period up to the reporting period number set on the Dashboard.</t>
  </si>
  <si>
    <t xml:space="preserve">Period
No.</t>
  </si>
  <si>
    <t xml:space="preserve">Month</t>
  </si>
  <si>
    <t xml:space="preserve">Period
End</t>
  </si>
  <si>
    <t xml:space="preserve">Elapsed
Flag</t>
  </si>
  <si>
    <t xml:space="preserve">Monthly PV
(SAR)</t>
  </si>
  <si>
    <t xml:space="preserve">Monthly EV
(SAR)</t>
  </si>
  <si>
    <t xml:space="preserve">Monthly AC
(SAR)</t>
  </si>
  <si>
    <t xml:space="preserve">Monthly IPC
Certified (SAR)</t>
  </si>
  <si>
    <t xml:space="preserve">Actual
Man-hours</t>
  </si>
  <si>
    <t xml:space="preserve">NCRs
Raised</t>
  </si>
  <si>
    <t xml:space="preserve">Recordable
Incidents</t>
  </si>
  <si>
    <t xml:space="preserve">Period
SPI</t>
  </si>
  <si>
    <t xml:space="preserve">Period
CPI</t>
  </si>
  <si>
    <t xml:space="preserve">SAR Earned
per Man-hr</t>
  </si>
  <si>
    <t xml:space="preserve">Apr-26</t>
  </si>
  <si>
    <t xml:space="preserve">May-26</t>
  </si>
  <si>
    <t xml:space="preserve">Jun-26</t>
  </si>
  <si>
    <t xml:space="preserve">Jul-26</t>
  </si>
  <si>
    <t xml:space="preserve">Aug-26</t>
  </si>
  <si>
    <t xml:space="preserve">Sep-26</t>
  </si>
  <si>
    <t xml:space="preserve">Oct-26</t>
  </si>
  <si>
    <t xml:space="preserve">Nov-26</t>
  </si>
  <si>
    <t xml:space="preserve">Dec-26</t>
  </si>
  <si>
    <t xml:space="preserve">Jan-27</t>
  </si>
  <si>
    <t xml:space="preserve">Feb-27</t>
  </si>
  <si>
    <t xml:space="preserve">Mar-27</t>
  </si>
  <si>
    <t xml:space="preserve">Apr-27</t>
  </si>
  <si>
    <t xml:space="preserve">May-27</t>
  </si>
  <si>
    <t xml:space="preserve">Jun-27</t>
  </si>
  <si>
    <t xml:space="preserve">Jul-27</t>
  </si>
  <si>
    <t xml:space="preserve">Aug-27</t>
  </si>
  <si>
    <t xml:space="preserve">Sep-27</t>
  </si>
  <si>
    <t xml:space="preserve">Oct-27</t>
  </si>
  <si>
    <t xml:space="preserve">Nov-27</t>
  </si>
  <si>
    <t xml:space="preserve">Dec-27</t>
  </si>
  <si>
    <t xml:space="preserve">Jan-28</t>
  </si>
  <si>
    <t xml:space="preserve">Feb-28</t>
  </si>
  <si>
    <t xml:space="preserve">Mar-28</t>
  </si>
  <si>
    <t xml:space="preserve">CORPORATE TOTAL — ALL PROJECTS, ALL PERIODS</t>
  </si>
  <si>
    <t xml:space="preserve">CONTROL RULE — cumulative planned, earned and actual value at the reporting period must equal the WBS roll-up; controls REC-04, REC-05 and REC-06 on Master_Tracker test this every time the file recalculates. The full planned-value curve must also land exactly on the revised budget at completion — that is REC-07. Rows beyond the reporting period carry baseline planned value only.</t>
  </si>
  <si>
    <t xml:space="preserve">CUMULATIVE TREND &amp; S-CURVE — FULLY DERIVED, SCOPE-AWARE</t>
  </si>
  <si>
    <t xml:space="preserve">Tazayud Real Estate Development — Owner PMO  |  actual to the data date, forecast thereafter</t>
  </si>
  <si>
    <t xml:space="preserve">Nothing on this sheet is typed. Actual periods aggregate the in-scope projects from Monthly_Trend; forecast periods are projected using the recovery factor and forecast CPI on Cost_Financials.</t>
  </si>
  <si>
    <t xml:space="preserve">CUMULATIVE POSITION FOR THE SELECTED SCOPE</t>
  </si>
  <si>
    <t xml:space="preserve">Cum PV —
Baseline (SAR)</t>
  </si>
  <si>
    <t xml:space="preserve">Cum EV —
Actual / Fcst (SAR)</t>
  </si>
  <si>
    <t xml:space="preserve">Cum AC —
Actual / Fcst (SAR)</t>
  </si>
  <si>
    <t xml:space="preserve">Earned
%</t>
  </si>
  <si>
    <t xml:space="preserve">Spend
%</t>
  </si>
  <si>
    <t xml:space="preserve">Progress
Variance</t>
  </si>
  <si>
    <t xml:space="preserve">Cum
SPI</t>
  </si>
  <si>
    <t xml:space="preserve">Data
Flag</t>
  </si>
  <si>
    <t xml:space="preserve">Cum
CPI</t>
  </si>
  <si>
    <t xml:space="preserve">Cum Certified
(SAR)</t>
  </si>
  <si>
    <t xml:space="preserve">Cum Actual
Man-hours</t>
  </si>
  <si>
    <t xml:space="preserve">Remaining
Budget (SAR)</t>
  </si>
  <si>
    <t xml:space="preserve">Months
Left</t>
  </si>
  <si>
    <t xml:space="preserve">Required Monthly
EV to Finish (SAR)</t>
  </si>
  <si>
    <t xml:space="preserve">EARNED SCHEDULE &amp; TIME-BASED FORECAST — SPI(t) IS THE HONEST SCHEDULE INDEX</t>
  </si>
  <si>
    <t xml:space="preserve">Earned Schedule — ES (periods earned)</t>
  </si>
  <si>
    <t xml:space="preserve">Actual Time — AT (periods elapsed)</t>
  </si>
  <si>
    <t xml:space="preserve">METHOD — Earned Schedule finds the point on the baseline curve where planned value equals today's earned value, interpolating between months. SPI(t) = ES / AT. Because it is measured in time rather than money it does not drift back towards 1.00 as a project approaches completion, which is exactly when the classic SPI stops being useful. The independent duration estimate divides the average contract duration in scope by SPI(t); the regression sheet produces a second, entirely separate view of the same question.</t>
  </si>
  <si>
    <t xml:space="preserve">Schedule Performance Index — SPI(t)</t>
  </si>
  <si>
    <t xml:space="preserve">Time Variance (periods, negative = behind)</t>
  </si>
  <si>
    <t xml:space="preserve">Independent Estimate of Duration (months)</t>
  </si>
  <si>
    <t xml:space="preserve">Forecast Completion Date (earned-schedule basis)</t>
  </si>
  <si>
    <t xml:space="preserve">Average revised completion across in-scope projects</t>
  </si>
  <si>
    <t xml:space="preserve">Forecast Slip vs Average Revised Completion (days)</t>
  </si>
  <si>
    <t xml:space="preserve">Schedule RAG</t>
  </si>
  <si>
    <t xml:space="preserve">Cost RAG</t>
  </si>
  <si>
    <t xml:space="preserve">REGRESSION &amp; TREND ANALYSIS — FULLY AUTOMATIC, SCOPE-AWARE</t>
  </si>
  <si>
    <t xml:space="preserve">Tazayud Real Estate Development — Owner PMO  |  no input cells on this sheet</t>
  </si>
  <si>
    <t xml:space="preserve">Every figure is regressed from the reported periods on Cumulative_Trend using a masked least-squares fit, so it follows the corporate, portfolio or project view selected on the Dashboard.</t>
  </si>
  <si>
    <t xml:space="preserve">1.  REGRESSION DATA WINDOW (DETECTED AUTOMATICALLY)</t>
  </si>
  <si>
    <t xml:space="preserve">Reported periods included in every model (n)</t>
  </si>
  <si>
    <t xml:space="preserve">A least-squares fit needs at least three reported periods to mean anything and at least five to be trusted. The fit-quality column below states plainly whether each model can be relied on.</t>
  </si>
  <si>
    <t xml:space="preserve">Scope in force</t>
  </si>
  <si>
    <t xml:space="preserve">Last reported period in the window</t>
  </si>
  <si>
    <t xml:space="preserve">2.  LEAST-SQUARES MODELS — RAW STATISTICS</t>
  </si>
  <si>
    <t xml:space="preserve">Slope, intercept and correlation are computed from masked sums, so unreported periods and out-of-scope projects are excluded without anyone re-selecting a range.</t>
  </si>
  <si>
    <t xml:space="preserve">Model</t>
  </si>
  <si>
    <t xml:space="preserve">Regression (y on x)</t>
  </si>
  <si>
    <t xml:space="preserve">n</t>
  </si>
  <si>
    <t xml:space="preserve">Σx</t>
  </si>
  <si>
    <t xml:space="preserve">Σy</t>
  </si>
  <si>
    <t xml:space="preserve">Σxy</t>
  </si>
  <si>
    <t xml:space="preserve">Σx²</t>
  </si>
  <si>
    <t xml:space="preserve">Σy²</t>
  </si>
  <si>
    <t xml:space="preserve">Slope (b)</t>
  </si>
  <si>
    <t xml:space="preserve">Intercept (a)</t>
  </si>
  <si>
    <t xml:space="preserve">r</t>
  </si>
  <si>
    <t xml:space="preserve">R²</t>
  </si>
  <si>
    <t xml:space="preserve">Std Error</t>
  </si>
  <si>
    <t xml:space="preserve">Fit Quality</t>
  </si>
  <si>
    <t xml:space="preserve">A — Schedule performance</t>
  </si>
  <si>
    <t xml:space="preserve">Cumulative EV on Cumulative PV</t>
  </si>
  <si>
    <t xml:space="preserve">B — Cost efficiency</t>
  </si>
  <si>
    <t xml:space="preserve">Cumulative AC on Cumulative EV</t>
  </si>
  <si>
    <t xml:space="preserve">C — CPI trend</t>
  </si>
  <si>
    <t xml:space="preserve">Cumulative CPI on Period No.</t>
  </si>
  <si>
    <t xml:space="preserve">D — SPI trend</t>
  </si>
  <si>
    <t xml:space="preserve">Cumulative SPI on Period No.</t>
  </si>
  <si>
    <t xml:space="preserve">E — Labour productivity</t>
  </si>
  <si>
    <t xml:space="preserve">Cumulative EV on Cumulative Man-hours</t>
  </si>
  <si>
    <t xml:space="preserve">F — Value burn rate</t>
  </si>
  <si>
    <t xml:space="preserve">Cumulative EV on Period No.</t>
  </si>
  <si>
    <t xml:space="preserve">3.  FORECASTS DERIVED FROM THE MODELS</t>
  </si>
  <si>
    <t xml:space="preserve">Each forecast is a straight algebraic consequence of the slope and intercept above — no judgement has been applied to any of them.</t>
  </si>
  <si>
    <t xml:space="preserve">Model A — schedule performance factor (EV earned per SAR of PV)</t>
  </si>
  <si>
    <t xml:space="preserve">The regressed slope of earned value against planned value. Below 1.00 means value is being earned more slowly than the baseline requires.</t>
  </si>
  <si>
    <t xml:space="preserve">Model A — independent estimate of duration (months)</t>
  </si>
  <si>
    <t xml:space="preserve">Average contract duration in scope divided by the performance factor.</t>
  </si>
  <si>
    <t xml:space="preserve">Model A — regression forecast completion date</t>
  </si>
  <si>
    <t xml:space="preserve">A second, independent view of the completion date — read it alongside the earned-schedule forecast.</t>
  </si>
  <si>
    <t xml:space="preserve">Model A — forecast slip vs average revised completion (days)</t>
  </si>
  <si>
    <t xml:space="preserve">Positive means late. This is the schedule consequence of the current performance factor.</t>
  </si>
  <si>
    <t xml:space="preserve">Model F — earned value run-rate (SAR per month)</t>
  </si>
  <si>
    <t xml:space="preserve">The straight-line rate at which value is currently being earned — a production diagnostic, not a forecast.</t>
  </si>
  <si>
    <t xml:space="preserve">Model F — months of remaining work at the current run-rate</t>
  </si>
  <si>
    <t xml:space="preserve">How long the outstanding budget would take at today's rate, ignoring the shape of the S-curve.</t>
  </si>
  <si>
    <t xml:space="preserve">Model B — actual cost per SAR of earned value</t>
  </si>
  <si>
    <t xml:space="preserve">Above 1.00 means every riyal of value is costing more than a riyal to produce.</t>
  </si>
  <si>
    <t xml:space="preserve">Model B — implied trend CPI</t>
  </si>
  <si>
    <t xml:space="preserve">The cost efficiency the regression sees, independent of the reported cumulative CPI.</t>
  </si>
  <si>
    <t xml:space="preserve">Model B — regression Anticipated Final Cost (SAR)</t>
  </si>
  <si>
    <t xml:space="preserve">Extrapolates the cost-versus-value relationship out to full budget delivery.</t>
  </si>
  <si>
    <t xml:space="preserve">Model B — regression variance vs control budget (SAR)</t>
  </si>
  <si>
    <t xml:space="preserve">Negative is a forecast overrun. Compare against the four AFC methods on Cost_Financials.</t>
  </si>
  <si>
    <t xml:space="preserve">Model C — CPI trend per month</t>
  </si>
  <si>
    <t xml:space="preserve">Positive means cost efficiency is improving month on month; negative means it is decaying.</t>
  </si>
  <si>
    <t xml:space="preserve">Model C — forecast CPI at the final period</t>
  </si>
  <si>
    <t xml:space="preserve">Where the CPI trend line lands at completion of the reporting horizon.</t>
  </si>
  <si>
    <t xml:space="preserve">Model C — Anticipated Final Cost from CPI trend (SAR)</t>
  </si>
  <si>
    <t xml:space="preserve">A trend-aware alternative to the classic BAC divided by CPI forecast.</t>
  </si>
  <si>
    <t xml:space="preserve">Model D — SPI trend per month</t>
  </si>
  <si>
    <t xml:space="preserve">The rate at which schedule performance is recovering or deteriorating.</t>
  </si>
  <si>
    <t xml:space="preserve">Model D — forecast SPI at the final period</t>
  </si>
  <si>
    <t xml:space="preserve">Below 1.00 means the current recovery rate is not sufficient to finish on time.</t>
  </si>
  <si>
    <t xml:space="preserve">Model E — earned value per man-hour (SAR)</t>
  </si>
  <si>
    <t xml:space="preserve">Labour productivity expressed in value terms — immune to scope change.</t>
  </si>
  <si>
    <t xml:space="preserve">Model E — forecast man-hours to complete the scope</t>
  </si>
  <si>
    <t xml:space="preserve">Total man-hours the current productivity implies, compared against the planned man-hour curve.</t>
  </si>
  <si>
    <t xml:space="preserve">Model E — man-hours still required from the data date</t>
  </si>
  <si>
    <t xml:space="preserve">Divide by the months remaining to size the workforce needed for recovery.</t>
  </si>
  <si>
    <t xml:space="preserve">4.  ANTICIPATED FINAL COST — TRIANGULATION</t>
  </si>
  <si>
    <t xml:space="preserve">Six independent forecasts of the same number. The spread between them is the honest measure of forecast confidence.</t>
  </si>
  <si>
    <t xml:space="preserve">Forecast Method</t>
  </si>
  <si>
    <t xml:space="preserve">Variance vs Control
Budget (SAR)</t>
  </si>
  <si>
    <t xml:space="preserve">Forecast
Variance %</t>
  </si>
  <si>
    <t xml:space="preserve">Assessment</t>
  </si>
  <si>
    <t xml:space="preserve">Performance-adjusted — BAC ÷ CPI</t>
  </si>
  <si>
    <t xml:space="preserve">Cost_Financials method 1</t>
  </si>
  <si>
    <t xml:space="preserve">Remaining work at budget</t>
  </si>
  <si>
    <t xml:space="preserve">Cost_Financials method 2</t>
  </si>
  <si>
    <t xml:space="preserve">Cost_Financials method 3</t>
  </si>
  <si>
    <t xml:space="preserve">Cost_Financials method 4</t>
  </si>
  <si>
    <t xml:space="preserve">Regression of actual cost on earned value</t>
  </si>
  <si>
    <t xml:space="preserve">Regression model B</t>
  </si>
  <si>
    <t xml:space="preserve">Regression of CPI trend to completion</t>
  </si>
  <si>
    <t xml:space="preserve">Regression model C</t>
  </si>
  <si>
    <t xml:space="preserve">Lowest forecast (most optimistic)</t>
  </si>
  <si>
    <t xml:space="preserve">Highest forecast (most conservative)</t>
  </si>
  <si>
    <t xml:space="preserve">Mean of all six forecasts</t>
  </si>
  <si>
    <t xml:space="preserve">Spread — highest less lowest (SAR)</t>
  </si>
  <si>
    <t xml:space="preserve">Spread as % of the control budget</t>
  </si>
  <si>
    <t xml:space="preserve">Recommended reporting position</t>
  </si>
  <si>
    <t xml:space="preserve">5.  REGRESSION PROJECTION — NEXT SIX PERIODS</t>
  </si>
  <si>
    <t xml:space="preserve">Fitted values from models A and B projected forward against the baseline planned value for the same months.</t>
  </si>
  <si>
    <t xml:space="preserve">Projected Period</t>
  </si>
  <si>
    <t xml:space="preserve">Baseline
Cum PV (SAR)</t>
  </si>
  <si>
    <t xml:space="preserve">Regression
Cum EV (SAR)</t>
  </si>
  <si>
    <t xml:space="preserve">Regression
Cum AC (SAR)</t>
  </si>
  <si>
    <t xml:space="preserve">Projected
SPI</t>
  </si>
  <si>
    <t xml:space="preserve">Projected
CPI</t>
  </si>
  <si>
    <t xml:space="preserve">Projected
% Complete</t>
  </si>
  <si>
    <t xml:space="preserve">Variance vs
Baseline (SAR)</t>
  </si>
  <si>
    <t xml:space="preserve">Position</t>
  </si>
  <si>
    <t xml:space="preserve">METHOD — every statistic is a masked least-squares fit: n, Σx, Σy, Σxy, Σx² and Σy² are computed with SUMPRODUCT against the data flag on Cumulative_Trend, which itself follows the scope selector. Adding a month of actuals extends every model without touching a formula, and switching from corporate to a single project re-fits all six models to that project alone. Slope b = (nΣxy − ΣxΣy) / (nΣx² − (Σx)²); intercept a = (Σy − bΣx) / n; r is the Pearson coefficient and R² its square; standard error is the residual standard deviation with n−2 degrees of freedom. MODEL DESIGN — Model A regresses earned value against PLANNED value rather than against time, because a straight line fitted to time against an S-curve badly under-forecasts mid-project; value-on-value yields a performance factor that is stable across the whole curve. Model F keeps the time-based burn rate as a production diagnostic only, and no completion date is derived from it.</t>
  </si>
  <si>
    <t xml:space="preserve">PROJECT DATA TEMPLATE — RES-01</t>
  </si>
  <si>
    <t xml:space="preserve">Tazayud Riyadh Residences — Towers B &amp; C</t>
  </si>
  <si>
    <t xml:space="preserve">Project Manager entry sheet. Fill the cream cells each reporting period. Every input here maps directly onto the consolidated master workbook, which will pull from this sheet once linked. Do not add or delete rows without telling the PMO — the consolidation depends on this layout.</t>
  </si>
  <si>
    <t xml:space="preserve">1.  PROJECT IDENTITY &amp; CONTRACT DELIVERY</t>
  </si>
  <si>
    <t xml:space="preserve">PMC-Delivered</t>
  </si>
  <si>
    <t xml:space="preserve">PMC Firm / Internal PM</t>
  </si>
  <si>
    <t xml:space="preserve">Client / Owner Entity</t>
  </si>
  <si>
    <t xml:space="preserve">Tazayud Real Estate Development</t>
  </si>
  <si>
    <t xml:space="preserve">Contract Strategy</t>
  </si>
  <si>
    <t xml:space="preserve">Start Date</t>
  </si>
  <si>
    <t xml:space="preserve">Original Completion</t>
  </si>
  <si>
    <t xml:space="preserve">Approved EOT (days)</t>
  </si>
  <si>
    <t xml:space="preserve">Revised Completion</t>
  </si>
  <si>
    <t xml:space="preserve">2.  APPROVED DEVELOPMENT BUDGET &amp; CONTROL BUDGET  (SAR)  —  approved budget is the board sanction; control budget is the portion allocated to the packages below</t>
  </si>
  <si>
    <t xml:space="preserve">Approved Development Budget (Original)</t>
  </si>
  <si>
    <t xml:space="preserve">Advance Payment %</t>
  </si>
  <si>
    <t xml:space="preserve">Retention %</t>
  </si>
  <si>
    <t xml:space="preserve">Baseline Control Budget (Cost)</t>
  </si>
  <si>
    <t xml:space="preserve">Approved Variations — Budget Uplift</t>
  </si>
  <si>
    <t xml:space="preserve">Approved Variations — Award Impact</t>
  </si>
  <si>
    <t xml:space="preserve">Total Approved Development Budget</t>
  </si>
  <si>
    <t xml:space="preserve">Revised Control Budget at Completion</t>
  </si>
  <si>
    <t xml:space="preserve">Uncommitted Budget (Approved less Control)</t>
  </si>
  <si>
    <t xml:space="preserve">3.  EARNED-VALUE POSITION  (calculated from the work packages in section 4)</t>
  </si>
  <si>
    <t xml:space="preserve">Planned Value — PV</t>
  </si>
  <si>
    <t xml:space="preserve">Earned Value — EV</t>
  </si>
  <si>
    <t xml:space="preserve">Cost Incurred — AC</t>
  </si>
  <si>
    <t xml:space="preserve">Committed to Contractors</t>
  </si>
  <si>
    <t xml:space="preserve">Schedule Variance — SV</t>
  </si>
  <si>
    <t xml:space="preserve">Cost Variance — CV</t>
  </si>
  <si>
    <t xml:space="preserve">SPI (EV / PV)</t>
  </si>
  <si>
    <t xml:space="preserve">CPI (EV / AC)</t>
  </si>
  <si>
    <t xml:space="preserve">Anticipated Final Cost (BAC / CPI)</t>
  </si>
  <si>
    <t xml:space="preserve">Budget Variance (Control less AFC)</t>
  </si>
  <si>
    <t xml:space="preserve">Cost to Complete (AFC less AC)</t>
  </si>
  <si>
    <t xml:space="preserve">4.  WORK-PACKAGE / CONTRACT-PACKAGE REGISTER  (the earned-value engine)</t>
  </si>
  <si>
    <t xml:space="preserve">Enter the package budget, planned %, actual % and cost. PV = budget x planned%. EV = budget x actual%.</t>
  </si>
  <si>
    <t xml:space="preserve">Package / Scope</t>
  </si>
  <si>
    <t xml:space="preserve">Committed
(SAR)</t>
  </si>
  <si>
    <t xml:space="preserve">In Progress</t>
  </si>
  <si>
    <t xml:space="preserve">Not Started</t>
  </si>
  <si>
    <t xml:space="preserve">PROJECT TOTAL</t>
  </si>
  <si>
    <t xml:space="preserve">5.  DEVELOPMENT COST CATEGORIES  (SAR)  —  ties to work-package cost incurred</t>
  </si>
  <si>
    <t xml:space="preserve">Cost-type view of the same money. The Cost Incurred total must equal the work-package Cost Incurred total.</t>
  </si>
  <si>
    <t xml:space="preserve">Baseline
Budget</t>
  </si>
  <si>
    <t xml:space="preserve">Variation
Uplift</t>
  </si>
  <si>
    <t xml:space="preserve">Cost Incurred
to Date</t>
  </si>
  <si>
    <t xml:space="preserve">Committed to
Contractors</t>
  </si>
  <si>
    <t xml:space="preserve">Forecast Final
Cost</t>
  </si>
  <si>
    <t xml:space="preserve">TOTAL</t>
  </si>
  <si>
    <t xml:space="preserve">6.  VARIATION ORDERS &amp; CHANGE REQUESTS</t>
  </si>
  <si>
    <t xml:space="preserve">Only Approved variations increase the approved budget and the contractor's award. Others are exposure.</t>
  </si>
  <si>
    <t xml:space="preserve">VO / CR No.</t>
  </si>
  <si>
    <t xml:space="preserve">Award Impact
(SAR)</t>
  </si>
  <si>
    <t xml:space="preserve">Time
(days)</t>
  </si>
  <si>
    <t xml:space="preserve">Approved</t>
  </si>
  <si>
    <t xml:space="preserve">Under Review</t>
  </si>
  <si>
    <t xml:space="preserve">Change Description</t>
  </si>
  <si>
    <t xml:space="preserve">Implemented</t>
  </si>
  <si>
    <t xml:space="preserve">Under Assessment</t>
  </si>
  <si>
    <t xml:space="preserve">7.  CONTRACT AWARD &amp; PROCUREMENT</t>
  </si>
  <si>
    <t xml:space="preserve">Package No.</t>
  </si>
  <si>
    <t xml:space="preserve">Contract / Scope</t>
  </si>
  <si>
    <t xml:space="preserve">Tender Issued</t>
  </si>
  <si>
    <t xml:space="preserve">8.  WORKFORCE AVAILABILITY &amp; UTILISATION  (no cost — resource control only)</t>
  </si>
  <si>
    <t xml:space="preserve">Trade / Resource</t>
  </si>
  <si>
    <t xml:space="preserve">Contractor
/ PMC</t>
  </si>
  <si>
    <t xml:space="preserve">Planned
HC</t>
  </si>
  <si>
    <t xml:space="preserve">Actual
HC</t>
  </si>
  <si>
    <t xml:space="preserve">Attended
MHrs</t>
  </si>
  <si>
    <t xml:space="preserve">Productive
MHrs</t>
  </si>
  <si>
    <t xml:space="preserve">9.  QUALITY &amp; HSE SNAPSHOT</t>
  </si>
  <si>
    <t xml:space="preserve">WIR Submitted</t>
  </si>
  <si>
    <t xml:space="preserve">WIR Approved</t>
  </si>
  <si>
    <t xml:space="preserve">WIR Rejected</t>
  </si>
  <si>
    <t xml:space="preserve">MIR Submitted</t>
  </si>
  <si>
    <t xml:space="preserve">MIR Approved</t>
  </si>
  <si>
    <t xml:space="preserve">First-Time-Right %</t>
  </si>
  <si>
    <t xml:space="preserve">Exposure Man-hours</t>
  </si>
  <si>
    <t xml:space="preserve">Lost Time Injuries (LTI)</t>
  </si>
  <si>
    <t xml:space="preserve">HSE Training Compliance %</t>
  </si>
  <si>
    <t xml:space="preserve">Recordable Incidents</t>
  </si>
  <si>
    <t xml:space="preserve">Observations Raised</t>
  </si>
  <si>
    <t xml:space="preserve">Observations Closed</t>
  </si>
  <si>
    <t xml:space="preserve">Root Cause</t>
  </si>
  <si>
    <t xml:space="preserve">10.  RISK &amp; ISSUES RETAINED BY THE DEVELOPER</t>
  </si>
  <si>
    <t xml:space="preserve">P</t>
  </si>
  <si>
    <t xml:space="preserve">I</t>
  </si>
  <si>
    <t xml:space="preserve">EMV
(SAR)</t>
  </si>
  <si>
    <t xml:space="preserve">High</t>
  </si>
  <si>
    <t xml:space="preserve">Critical</t>
  </si>
  <si>
    <t xml:space="preserve">CONSOLIDATION NOTE — this template mirrors the consolidated master one-to-one: section 4 feeds the WBS register, section 5 the cost categories, section 6 the variation and change logs, section 7 procurement, section 8 the workforce register, section 9 quality and HSE, section 10 risk and issues. Once linking is switched on, the consolidated sheet will read these cells directly and no manual entry into the master will be permitted. Keep the row positions of the section headers and the PROJECT TOTAL row fixed.</t>
  </si>
  <si>
    <t xml:space="preserve">PROJECT DATA TEMPLATE — RES-02</t>
  </si>
  <si>
    <t xml:space="preserve">Tazayud Buraydah Residential Compound — Phase 2 (180 Villas)</t>
  </si>
  <si>
    <t xml:space="preserve">Self-Execution</t>
  </si>
  <si>
    <t xml:space="preserve">Draft</t>
  </si>
  <si>
    <t xml:space="preserve">PROJECT DATA TEMPLATE — COM-01</t>
  </si>
  <si>
    <t xml:space="preserve">Tazayud Business Park — Tower A Shell, Core &amp; MEP</t>
  </si>
  <si>
    <t xml:space="preserve">Complete</t>
  </si>
  <si>
    <t xml:space="preserve">PROJECT DATA TEMPLATE — COM-02</t>
  </si>
  <si>
    <t xml:space="preserve">Tazayud Commercial Offices — Block B</t>
  </si>
  <si>
    <t xml:space="preserve">PROJECT DATA TEMPLATE — MXU-01</t>
  </si>
  <si>
    <t xml:space="preserve">Tazayud Mixed-Use District — Podium, Retail &amp; Residences</t>
  </si>
  <si>
    <t xml:space="preserve">PROJECT DATA TEMPLATE — MXU-02</t>
  </si>
  <si>
    <t xml:space="preserve">Tazayud Boulevard — Hospitality, Retail &amp; Serviced Apartments</t>
  </si>
  <si>
    <t xml:space="preserve">PROJECT DATA TEMPLATE — LND-01</t>
  </si>
  <si>
    <t xml:space="preserve">Tazayud Master Community — Infrastructure Works (Phases 04 &amp; 05)</t>
  </si>
  <si>
    <t xml:space="preserve">PROJECT DATA TEMPLATE — LND-02</t>
  </si>
  <si>
    <t xml:space="preserve">Tazayud Land Development — Utility &amp; Road Network</t>
  </si>
  <si>
    <t xml:space="preserve">ProjectIDs</t>
  </si>
  <si>
    <t xml:space="preserve">Portfolios</t>
  </si>
</sst>
</file>

<file path=xl/styles.xml><?xml version="1.0" encoding="utf-8"?>
<styleSheet xmlns="http://schemas.openxmlformats.org/spreadsheetml/2006/main">
  <numFmts count="15">
    <numFmt numFmtId="164" formatCode="General"/>
    <numFmt numFmtId="165" formatCode="@"/>
    <numFmt numFmtId="166" formatCode="dd\-mmm\-yy"/>
    <numFmt numFmtId="167" formatCode="#,##0;\(#,##0\);\-"/>
    <numFmt numFmtId="168" formatCode="0.0%;\(0.0%\);\-"/>
    <numFmt numFmtId="169" formatCode="0.000"/>
    <numFmt numFmtId="170" formatCode="#,##0.0;\(#,##0.0\);\-"/>
    <numFmt numFmtId="171" formatCode="#,##0,,\m"/>
    <numFmt numFmtId="172" formatCode="0.00"/>
    <numFmt numFmtId="173" formatCode="0.00%;\(0.00%\);\-"/>
    <numFmt numFmtId="174" formatCode="0.0"/>
    <numFmt numFmtId="175" formatCode="0.000E+00"/>
    <numFmt numFmtId="176" formatCode="0.00000"/>
    <numFmt numFmtId="177" formatCode="0.0000"/>
    <numFmt numFmtId="178" formatCode="#,##0.00"/>
  </numFmts>
  <fonts count="55">
    <font>
      <sz val="11"/>
      <color theme="1"/>
      <name val="Calibri"/>
      <family val="2"/>
      <charset val="1"/>
    </font>
    <font>
      <sz val="10"/>
      <name val="Arial"/>
      <family val="0"/>
    </font>
    <font>
      <sz val="10"/>
      <name val="Arial"/>
      <family val="0"/>
    </font>
    <font>
      <sz val="10"/>
      <name val="Arial"/>
      <family val="0"/>
    </font>
    <font>
      <b val="true"/>
      <sz val="19"/>
      <color rgb="FFFFFFFF"/>
      <name val="Arial"/>
      <family val="0"/>
      <charset val="1"/>
    </font>
    <font>
      <b val="true"/>
      <sz val="10"/>
      <color rgb="FFFFFFFF"/>
      <name val="Arial"/>
      <family val="0"/>
      <charset val="1"/>
    </font>
    <font>
      <b val="true"/>
      <sz val="10.5"/>
      <color rgb="FFFFFFFF"/>
      <name val="Arial"/>
      <family val="0"/>
      <charset val="1"/>
    </font>
    <font>
      <b val="true"/>
      <sz val="9"/>
      <color rgb="FFFFFFFF"/>
      <name val="Arial"/>
      <family val="0"/>
      <charset val="1"/>
    </font>
    <font>
      <b val="true"/>
      <sz val="11"/>
      <color rgb="FF0000FF"/>
      <name val="Arial"/>
      <family val="0"/>
      <charset val="1"/>
    </font>
    <font>
      <b val="true"/>
      <sz val="9"/>
      <color rgb="FF0B2545"/>
      <name val="Arial"/>
      <family val="0"/>
      <charset val="1"/>
    </font>
    <font>
      <b val="true"/>
      <sz val="8.5"/>
      <color rgb="FF13315C"/>
      <name val="Arial"/>
      <family val="0"/>
      <charset val="1"/>
    </font>
    <font>
      <b val="true"/>
      <sz val="17"/>
      <color rgb="FF0B2545"/>
      <name val="Arial"/>
      <family val="0"/>
      <charset val="1"/>
    </font>
    <font>
      <i val="true"/>
      <sz val="8"/>
      <color rgb="FF5A6774"/>
      <name val="Arial"/>
      <family val="0"/>
      <charset val="1"/>
    </font>
    <font>
      <b val="true"/>
      <sz val="14"/>
      <color rgb="FF0B2545"/>
      <name val="Arial"/>
      <family val="0"/>
      <charset val="1"/>
    </font>
    <font>
      <b val="true"/>
      <sz val="13"/>
      <color rgb="FF0B2545"/>
      <name val="Arial"/>
      <family val="0"/>
      <charset val="1"/>
    </font>
    <font>
      <b val="true"/>
      <sz val="8.5"/>
      <color rgb="FFFFFFFF"/>
      <name val="Arial"/>
      <family val="0"/>
      <charset val="1"/>
    </font>
    <font>
      <sz val="8.5"/>
      <color rgb="FF000000"/>
      <name val="Arial"/>
      <family val="0"/>
      <charset val="1"/>
    </font>
    <font>
      <b val="true"/>
      <sz val="8.5"/>
      <color rgb="FF000000"/>
      <name val="Arial"/>
      <family val="0"/>
      <charset val="1"/>
    </font>
    <font>
      <sz val="8"/>
      <color rgb="FF000000"/>
      <name val="Arial"/>
      <family val="0"/>
      <charset val="1"/>
    </font>
    <font>
      <b val="true"/>
      <sz val="8"/>
      <color rgb="FF000000"/>
      <name val="Arial"/>
      <family val="0"/>
      <charset val="1"/>
    </font>
    <font>
      <b val="true"/>
      <sz val="8"/>
      <color rgb="FF13315C"/>
      <name val="Arial"/>
      <family val="0"/>
      <charset val="1"/>
    </font>
    <font>
      <b val="true"/>
      <sz val="9"/>
      <color rgb="FF000000"/>
      <name val="Arial"/>
      <family val="0"/>
      <charset val="1"/>
    </font>
    <font>
      <b val="true"/>
      <sz val="18"/>
      <color rgb="FF000000"/>
      <name val="Calibri"/>
      <family val="2"/>
    </font>
    <font>
      <sz val="10"/>
      <color rgb="FF000000"/>
      <name val="Calibri"/>
      <family val="2"/>
    </font>
    <font>
      <b val="true"/>
      <sz val="10"/>
      <color rgb="FF000000"/>
      <name val="Calibri"/>
      <family val="2"/>
    </font>
    <font>
      <b val="true"/>
      <sz val="15"/>
      <color rgb="FFFFFFFF"/>
      <name val="Arial"/>
      <family val="0"/>
      <charset val="1"/>
    </font>
    <font>
      <b val="true"/>
      <sz val="9.5"/>
      <color rgb="FFFFFFFF"/>
      <name val="Arial"/>
      <family val="0"/>
      <charset val="1"/>
    </font>
    <font>
      <sz val="8.5"/>
      <color rgb="FF5A6774"/>
      <name val="Arial"/>
      <family val="0"/>
      <charset val="1"/>
    </font>
    <font>
      <b val="true"/>
      <sz val="8"/>
      <color rgb="FFFFFFFF"/>
      <name val="Arial"/>
      <family val="0"/>
      <charset val="1"/>
    </font>
    <font>
      <b val="true"/>
      <sz val="9"/>
      <color rgb="FF0000FF"/>
      <name val="Arial"/>
      <family val="0"/>
      <charset val="1"/>
    </font>
    <font>
      <b val="true"/>
      <sz val="9"/>
      <color rgb="FF008000"/>
      <name val="Arial"/>
      <family val="0"/>
      <charset val="1"/>
    </font>
    <font>
      <b val="true"/>
      <sz val="9"/>
      <color rgb="FF006100"/>
      <name val="Arial"/>
      <family val="0"/>
      <charset val="1"/>
    </font>
    <font>
      <b val="true"/>
      <sz val="9"/>
      <color rgb="FF9C5700"/>
      <name val="Arial"/>
      <family val="0"/>
      <charset val="1"/>
    </font>
    <font>
      <b val="true"/>
      <sz val="9"/>
      <color rgb="FF9C0006"/>
      <name val="Arial"/>
      <family val="0"/>
      <charset val="1"/>
    </font>
    <font>
      <sz val="8"/>
      <color rgb="FF5A6774"/>
      <name val="Arial"/>
      <family val="0"/>
      <charset val="1"/>
    </font>
    <font>
      <b val="true"/>
      <sz val="10.5"/>
      <color rgb="FFFFFFFF"/>
      <name val="Cambria"/>
      <family val="0"/>
      <charset val="1"/>
    </font>
    <font>
      <b val="true"/>
      <sz val="9"/>
      <color rgb="FF1F4E79"/>
      <name val="Cambria"/>
      <family val="0"/>
      <charset val="1"/>
    </font>
    <font>
      <sz val="8.5"/>
      <name val="Cambria"/>
      <family val="0"/>
      <charset val="1"/>
    </font>
    <font>
      <b val="true"/>
      <sz val="9"/>
      <color rgb="FF000000"/>
      <name val="Cambria"/>
      <family val="0"/>
      <charset val="1"/>
    </font>
    <font>
      <b val="true"/>
      <sz val="9"/>
      <color rgb="FF0E6B6B"/>
      <name val="Cambria"/>
      <family val="0"/>
      <charset val="1"/>
    </font>
    <font>
      <b val="true"/>
      <sz val="9"/>
      <color rgb="FFFFFFFF"/>
      <name val="Cambria"/>
      <family val="0"/>
      <charset val="1"/>
    </font>
    <font>
      <i val="true"/>
      <sz val="8.5"/>
      <color rgb="FF5A6774"/>
      <name val="Arial"/>
      <family val="0"/>
      <charset val="1"/>
    </font>
    <font>
      <b val="true"/>
      <sz val="8"/>
      <color rgb="FF0E6B6B"/>
      <name val="Arial"/>
      <family val="0"/>
      <charset val="1"/>
    </font>
    <font>
      <b val="true"/>
      <sz val="8"/>
      <color rgb="FF0000FF"/>
      <name val="Arial"/>
      <family val="0"/>
      <charset val="1"/>
    </font>
    <font>
      <sz val="8"/>
      <color rgb="FF008000"/>
      <name val="Arial"/>
      <family val="0"/>
      <charset val="1"/>
    </font>
    <font>
      <b val="true"/>
      <sz val="11"/>
      <color rgb="FFFFFFFF"/>
      <name val="Cambria"/>
      <family val="0"/>
      <charset val="1"/>
    </font>
    <font>
      <i val="true"/>
      <sz val="8"/>
      <color rgb="FF808080"/>
      <name val="Cambria"/>
      <family val="0"/>
      <charset val="1"/>
    </font>
    <font>
      <b val="true"/>
      <sz val="10"/>
      <color rgb="FFFFFFFF"/>
      <name val="Cambria"/>
      <family val="0"/>
      <charset val="1"/>
    </font>
    <font>
      <b val="true"/>
      <sz val="8.5"/>
      <color rgb="FF008000"/>
      <name val="Arial"/>
      <family val="0"/>
      <charset val="1"/>
    </font>
    <font>
      <b val="true"/>
      <sz val="8"/>
      <color rgb="FF008000"/>
      <name val="Arial"/>
      <family val="0"/>
      <charset val="1"/>
    </font>
    <font>
      <i val="true"/>
      <sz val="8"/>
      <color rgb="FFFFFFFF"/>
      <name val="Arial"/>
      <family val="0"/>
      <charset val="1"/>
    </font>
    <font>
      <b val="true"/>
      <sz val="8.5"/>
      <color rgb="FF0000FF"/>
      <name val="Arial"/>
      <family val="0"/>
      <charset val="1"/>
    </font>
    <font>
      <b val="true"/>
      <sz val="9"/>
      <color rgb="FF13315C"/>
      <name val="Arial"/>
      <family val="0"/>
      <charset val="1"/>
    </font>
    <font>
      <b val="true"/>
      <sz val="11"/>
      <color rgb="FF000000"/>
      <name val="Arial"/>
      <family val="0"/>
      <charset val="1"/>
    </font>
    <font>
      <b val="true"/>
      <sz val="11"/>
      <name val="Cambria"/>
      <family val="0"/>
      <charset val="1"/>
    </font>
  </fonts>
  <fills count="17">
    <fill>
      <patternFill patternType="none"/>
    </fill>
    <fill>
      <patternFill patternType="gray125"/>
    </fill>
    <fill>
      <patternFill patternType="solid">
        <fgColor rgb="FFC9A227"/>
        <bgColor rgb="FF99CC00"/>
      </patternFill>
    </fill>
    <fill>
      <patternFill patternType="solid">
        <fgColor rgb="FF0B2545"/>
        <bgColor rgb="FF13315C"/>
      </patternFill>
    </fill>
    <fill>
      <patternFill patternType="solid">
        <fgColor rgb="FF13315C"/>
        <bgColor rgb="FF0B2545"/>
      </patternFill>
    </fill>
    <fill>
      <patternFill patternType="solid">
        <fgColor rgb="FFFFF7DC"/>
        <bgColor rgb="FFF7F9FC"/>
      </patternFill>
    </fill>
    <fill>
      <patternFill patternType="solid">
        <fgColor rgb="FFFFFFFF"/>
        <bgColor rgb="FFF7F9FC"/>
      </patternFill>
    </fill>
    <fill>
      <patternFill patternType="solid">
        <fgColor rgb="FFEEF2F7"/>
        <bgColor rgb="FFE8F1FB"/>
      </patternFill>
    </fill>
    <fill>
      <patternFill patternType="solid">
        <fgColor rgb="FF1B4965"/>
        <bgColor rgb="FF1F4E79"/>
      </patternFill>
    </fill>
    <fill>
      <patternFill patternType="solid">
        <fgColor rgb="FF5FA8D3"/>
        <bgColor rgb="FF9DB8D2"/>
      </patternFill>
    </fill>
    <fill>
      <patternFill patternType="solid">
        <fgColor rgb="FFF7F9FC"/>
        <bgColor rgb="FFFFFFFF"/>
      </patternFill>
    </fill>
    <fill>
      <patternFill patternType="solid">
        <fgColor rgb="FFC6EFCE"/>
        <bgColor rgb="FFD9D9D9"/>
      </patternFill>
    </fill>
    <fill>
      <patternFill patternType="solid">
        <fgColor rgb="FFFFEB9C"/>
        <bgColor rgb="FFFFF7DC"/>
      </patternFill>
    </fill>
    <fill>
      <patternFill patternType="solid">
        <fgColor rgb="FFFFC7CE"/>
        <bgColor rgb="FFD9D9D9"/>
      </patternFill>
    </fill>
    <fill>
      <patternFill patternType="solid">
        <fgColor rgb="FFE8F1FB"/>
        <bgColor rgb="FFEEF2F7"/>
      </patternFill>
    </fill>
    <fill>
      <patternFill patternType="solid">
        <fgColor rgb="FF2E7D32"/>
        <bgColor rgb="FF0E6B6B"/>
      </patternFill>
    </fill>
    <fill>
      <patternFill patternType="solid">
        <fgColor rgb="FFC62828"/>
        <bgColor rgb="FF993366"/>
      </patternFill>
    </fill>
  </fills>
  <borders count="4">
    <border diagonalUp="false" diagonalDown="false">
      <left/>
      <right/>
      <top/>
      <bottom/>
      <diagonal/>
    </border>
    <border diagonalUp="false" diagonalDown="false">
      <left style="thin">
        <color rgb="FFAAB7C4"/>
      </left>
      <right style="thin">
        <color rgb="FFAAB7C4"/>
      </right>
      <top style="thin">
        <color rgb="FFAAB7C4"/>
      </top>
      <bottom style="thin">
        <color rgb="FFAAB7C4"/>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color rgb="FFFFFFFF"/>
      </left>
      <right style="medium">
        <color rgb="FFFFFFFF"/>
      </right>
      <top style="medium">
        <color rgb="FFFFFFFF"/>
      </top>
      <bottom style="medium">
        <color rgb="FFFFFFFF"/>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3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2" borderId="0" xfId="0" applyFont="false" applyBorder="true" applyAlignment="true" applyProtection="true">
      <alignment horizontal="general" vertical="bottom" textRotation="0" wrapText="false" indent="0" shrinkToFit="false"/>
      <protection locked="false" hidden="false"/>
    </xf>
    <xf numFmtId="164" fontId="4" fillId="3" borderId="0" xfId="0" applyFont="true" applyBorder="true" applyAlignment="true" applyProtection="true">
      <alignment horizontal="left" vertical="center" textRotation="0" wrapText="false" indent="1" shrinkToFit="false"/>
      <protection locked="false" hidden="false"/>
    </xf>
    <xf numFmtId="164" fontId="5" fillId="4" borderId="0" xfId="0" applyFont="true" applyBorder="true" applyAlignment="true" applyProtection="true">
      <alignment horizontal="left" vertical="center" textRotation="0" wrapText="false" indent="1"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6" fillId="2" borderId="0" xfId="0" applyFont="true" applyBorder="true" applyAlignment="true" applyProtection="true">
      <alignment horizontal="left" vertical="center" textRotation="0" wrapText="false" indent="1" shrinkToFit="false"/>
      <protection locked="false" hidden="false"/>
    </xf>
    <xf numFmtId="164" fontId="7" fillId="4" borderId="1" xfId="0" applyFont="true" applyBorder="true" applyAlignment="true" applyProtection="true">
      <alignment horizontal="left" vertical="center" textRotation="0" wrapText="false" indent="1" shrinkToFit="false"/>
      <protection locked="false" hidden="false"/>
    </xf>
    <xf numFmtId="165" fontId="8" fillId="5" borderId="1" xfId="0" applyFont="true" applyBorder="true" applyAlignment="true" applyProtection="true">
      <alignment horizontal="center" vertical="center"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6" fontId="8" fillId="5" borderId="1" xfId="0" applyFont="true" applyBorder="true" applyAlignment="true" applyProtection="true">
      <alignment horizontal="center" vertical="center" textRotation="0" wrapText="false" indent="0" shrinkToFit="false"/>
      <protection locked="false" hidden="false"/>
    </xf>
    <xf numFmtId="167" fontId="8" fillId="5" borderId="1" xfId="0" applyFont="true" applyBorder="true" applyAlignment="true" applyProtection="true">
      <alignment horizontal="center" vertical="center" textRotation="0" wrapText="false" indent="0" shrinkToFit="false"/>
      <protection locked="false" hidden="false"/>
    </xf>
    <xf numFmtId="164" fontId="9" fillId="7" borderId="1" xfId="0" applyFont="true" applyBorder="true" applyAlignment="true" applyProtection="true">
      <alignment horizontal="left" vertical="center" textRotation="0" wrapText="false" indent="1" shrinkToFit="false"/>
      <protection locked="false" hidden="false"/>
    </xf>
    <xf numFmtId="164" fontId="6" fillId="8" borderId="0" xfId="0" applyFont="true" applyBorder="true" applyAlignment="true" applyProtection="true">
      <alignment horizontal="left" vertical="center" textRotation="0" wrapText="false" indent="1"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9" borderId="1" xfId="0" applyFont="false" applyBorder="true" applyAlignment="true" applyProtection="true">
      <alignment horizontal="general" vertical="bottom" textRotation="0" wrapText="false" indent="0" shrinkToFit="false"/>
      <protection locked="false" hidden="false"/>
    </xf>
    <xf numFmtId="164" fontId="10" fillId="10" borderId="1" xfId="0" applyFont="true" applyBorder="true" applyAlignment="true" applyProtection="true">
      <alignment horizontal="center" vertical="center" textRotation="0" wrapText="true" indent="0" shrinkToFit="false"/>
      <protection locked="false" hidden="false"/>
    </xf>
    <xf numFmtId="168" fontId="11" fillId="10" borderId="1" xfId="0" applyFont="true" applyBorder="true" applyAlignment="true" applyProtection="true">
      <alignment horizontal="center" vertical="center" textRotation="0" wrapText="false" indent="0" shrinkToFit="false"/>
      <protection locked="false" hidden="false"/>
    </xf>
    <xf numFmtId="169" fontId="11" fillId="10" borderId="1" xfId="0" applyFont="true" applyBorder="true" applyAlignment="true" applyProtection="true">
      <alignment horizontal="center" vertical="center" textRotation="0" wrapText="false" indent="0" shrinkToFit="false"/>
      <protection locked="false" hidden="false"/>
    </xf>
    <xf numFmtId="164" fontId="12" fillId="10" borderId="1" xfId="0" applyFont="true" applyBorder="true" applyAlignment="true" applyProtection="true">
      <alignment horizontal="center" vertical="center" textRotation="0" wrapText="true" indent="0" shrinkToFit="false"/>
      <protection locked="false" hidden="false"/>
    </xf>
    <xf numFmtId="167" fontId="13" fillId="10" borderId="1" xfId="0" applyFont="true" applyBorder="true" applyAlignment="true" applyProtection="true">
      <alignment horizontal="center" vertical="center" textRotation="0" wrapText="false" indent="0" shrinkToFit="false"/>
      <protection locked="false" hidden="false"/>
    </xf>
    <xf numFmtId="164" fontId="0" fillId="8" borderId="1" xfId="0" applyFont="false" applyBorder="true" applyAlignment="true" applyProtection="true">
      <alignment horizontal="general" vertical="bottom" textRotation="0" wrapText="false" indent="0" shrinkToFit="false"/>
      <protection locked="false" hidden="false"/>
    </xf>
    <xf numFmtId="167" fontId="14" fillId="10" borderId="1" xfId="0" applyFont="true" applyBorder="true" applyAlignment="true" applyProtection="true">
      <alignment horizontal="center" vertical="center" textRotation="0" wrapText="false" indent="0" shrinkToFit="false"/>
      <protection locked="false" hidden="false"/>
    </xf>
    <xf numFmtId="164" fontId="15" fillId="4" borderId="1" xfId="0" applyFont="true" applyBorder="true" applyAlignment="true" applyProtection="true">
      <alignment horizontal="center" vertical="center" textRotation="0" wrapText="true" indent="0" shrinkToFit="false"/>
      <protection locked="false" hidden="false"/>
    </xf>
    <xf numFmtId="164" fontId="10" fillId="0" borderId="1" xfId="0" applyFont="true" applyBorder="true" applyAlignment="true" applyProtection="true">
      <alignment horizontal="left" vertical="center" textRotation="0" wrapText="false" indent="1" shrinkToFit="false"/>
      <protection locked="false" hidden="false"/>
    </xf>
    <xf numFmtId="167" fontId="16" fillId="0" borderId="1" xfId="0" applyFont="true" applyBorder="true" applyAlignment="true" applyProtection="true">
      <alignment horizontal="right" vertical="center" textRotation="0" wrapText="false" indent="0" shrinkToFit="false"/>
      <protection locked="false" hidden="false"/>
    </xf>
    <xf numFmtId="169" fontId="17" fillId="0" borderId="1" xfId="0" applyFont="true" applyBorder="true" applyAlignment="true" applyProtection="true">
      <alignment horizontal="right" vertical="center" textRotation="0" wrapText="false" indent="0" shrinkToFit="false"/>
      <protection locked="false" hidden="false"/>
    </xf>
    <xf numFmtId="164" fontId="7" fillId="3" borderId="1" xfId="0" applyFont="true" applyBorder="true" applyAlignment="true" applyProtection="true">
      <alignment horizontal="left" vertical="center" textRotation="0" wrapText="false" indent="1" shrinkToFit="false"/>
      <protection locked="false" hidden="false"/>
    </xf>
    <xf numFmtId="167" fontId="7" fillId="3" borderId="1" xfId="0" applyFont="true" applyBorder="true" applyAlignment="true" applyProtection="true">
      <alignment horizontal="right" vertical="center" textRotation="0" wrapText="false" indent="0" shrinkToFit="false"/>
      <protection locked="false" hidden="false"/>
    </xf>
    <xf numFmtId="169" fontId="7" fillId="3" borderId="1" xfId="0" applyFont="true" applyBorder="true" applyAlignment="true" applyProtection="true">
      <alignment horizontal="right" vertical="center" textRotation="0" wrapText="false" indent="0" shrinkToFit="false"/>
      <protection locked="false" hidden="false"/>
    </xf>
    <xf numFmtId="164" fontId="18" fillId="0" borderId="1" xfId="0" applyFont="true" applyBorder="true" applyAlignment="true" applyProtection="true">
      <alignment horizontal="left" vertical="center" textRotation="0" wrapText="false" indent="1" shrinkToFit="false"/>
      <protection locked="false" hidden="false"/>
    </xf>
    <xf numFmtId="167" fontId="18" fillId="0" borderId="1" xfId="0" applyFont="true" applyBorder="true" applyAlignment="true" applyProtection="true">
      <alignment horizontal="right" vertical="center" textRotation="0" wrapText="false" indent="0" shrinkToFit="false"/>
      <protection locked="false" hidden="false"/>
    </xf>
    <xf numFmtId="169" fontId="19" fillId="0" borderId="1" xfId="0" applyFont="true" applyBorder="true" applyAlignment="true" applyProtection="true">
      <alignment horizontal="right" vertical="center" textRotation="0" wrapText="false" indent="0" shrinkToFit="false"/>
      <protection locked="false" hidden="false"/>
    </xf>
    <xf numFmtId="164" fontId="7" fillId="8" borderId="1" xfId="0" applyFont="true" applyBorder="true" applyAlignment="true" applyProtection="true">
      <alignment horizontal="left" vertical="center" textRotation="0" wrapText="false" indent="1" shrinkToFit="false"/>
      <protection locked="false" hidden="false"/>
    </xf>
    <xf numFmtId="164" fontId="18" fillId="6" borderId="1" xfId="0" applyFont="true" applyBorder="true" applyAlignment="true" applyProtection="true">
      <alignment horizontal="left" vertical="center" textRotation="0" wrapText="false" indent="1" shrinkToFit="false"/>
      <protection locked="false" hidden="false"/>
    </xf>
    <xf numFmtId="167" fontId="19" fillId="6" borderId="1" xfId="0" applyFont="true" applyBorder="true" applyAlignment="true" applyProtection="true">
      <alignment horizontal="right" vertical="center" textRotation="0" wrapText="false" indent="0" shrinkToFit="false"/>
      <protection locked="false" hidden="false"/>
    </xf>
    <xf numFmtId="168" fontId="19" fillId="6" borderId="1" xfId="0" applyFont="true" applyBorder="true" applyAlignment="true" applyProtection="true">
      <alignment horizontal="right" vertical="center" textRotation="0" wrapText="false" indent="0" shrinkToFit="false"/>
      <protection locked="false" hidden="false"/>
    </xf>
    <xf numFmtId="164" fontId="18" fillId="10" borderId="1" xfId="0" applyFont="true" applyBorder="true" applyAlignment="true" applyProtection="true">
      <alignment horizontal="left" vertical="center" textRotation="0" wrapText="false" indent="1" shrinkToFit="false"/>
      <protection locked="false" hidden="false"/>
    </xf>
    <xf numFmtId="167" fontId="19" fillId="10" borderId="1" xfId="0" applyFont="true" applyBorder="true" applyAlignment="true" applyProtection="true">
      <alignment horizontal="right" vertical="center" textRotation="0" wrapText="false" indent="0" shrinkToFit="false"/>
      <protection locked="false" hidden="false"/>
    </xf>
    <xf numFmtId="170" fontId="19" fillId="6" borderId="1" xfId="0" applyFont="true" applyBorder="true" applyAlignment="true" applyProtection="true">
      <alignment horizontal="right" vertical="center" textRotation="0" wrapText="false" indent="0" shrinkToFit="false"/>
      <protection locked="false" hidden="false"/>
    </xf>
    <xf numFmtId="168" fontId="19" fillId="10" borderId="1" xfId="0" applyFont="true" applyBorder="true" applyAlignment="true" applyProtection="true">
      <alignment horizontal="right" vertical="center" textRotation="0" wrapText="false" indent="0" shrinkToFit="false"/>
      <protection locked="false" hidden="false"/>
    </xf>
    <xf numFmtId="169" fontId="19" fillId="10" borderId="1" xfId="0" applyFont="true" applyBorder="true" applyAlignment="true" applyProtection="true">
      <alignment horizontal="right" vertical="center" textRotation="0" wrapText="false" indent="0" shrinkToFit="false"/>
      <protection locked="false" hidden="false"/>
    </xf>
    <xf numFmtId="164" fontId="20" fillId="0" borderId="1" xfId="0" applyFont="true" applyBorder="true" applyAlignment="true" applyProtection="true">
      <alignment horizontal="center" vertical="center" textRotation="0" wrapText="false" indent="0" shrinkToFit="false"/>
      <protection locked="false" hidden="false"/>
    </xf>
    <xf numFmtId="167" fontId="19" fillId="0" borderId="1" xfId="0" applyFont="true" applyBorder="true" applyAlignment="true" applyProtection="true">
      <alignment horizontal="center" vertical="center" textRotation="0" wrapText="false" indent="0" shrinkToFit="false"/>
      <protection locked="false" hidden="false"/>
    </xf>
    <xf numFmtId="170" fontId="18" fillId="0" borderId="1" xfId="0" applyFont="true" applyBorder="true" applyAlignment="true" applyProtection="true">
      <alignment horizontal="right" vertical="center" textRotation="0" wrapText="false" indent="0" shrinkToFit="false"/>
      <protection locked="false" hidden="false"/>
    </xf>
    <xf numFmtId="164" fontId="18" fillId="0" borderId="1" xfId="0" applyFont="true" applyBorder="true" applyAlignment="true" applyProtection="true">
      <alignment horizontal="center" vertical="center" textRotation="0" wrapText="false" indent="0" shrinkToFit="false"/>
      <protection locked="false" hidden="false"/>
    </xf>
    <xf numFmtId="164" fontId="19" fillId="0" borderId="1" xfId="0" applyFont="true" applyBorder="true" applyAlignment="true" applyProtection="true">
      <alignment horizontal="center" vertical="center" textRotation="0" wrapText="false" indent="0" shrinkToFit="false"/>
      <protection locked="false" hidden="false"/>
    </xf>
    <xf numFmtId="164" fontId="20" fillId="10" borderId="1" xfId="0" applyFont="true" applyBorder="true" applyAlignment="true" applyProtection="true">
      <alignment horizontal="center" vertical="center" textRotation="0" wrapText="false" indent="0" shrinkToFit="false"/>
      <protection locked="false" hidden="false"/>
    </xf>
    <xf numFmtId="167" fontId="19" fillId="10" borderId="1" xfId="0" applyFont="true" applyBorder="true" applyAlignment="true" applyProtection="true">
      <alignment horizontal="center" vertical="center" textRotation="0" wrapText="false" indent="0" shrinkToFit="false"/>
      <protection locked="false" hidden="false"/>
    </xf>
    <xf numFmtId="167" fontId="18" fillId="10" borderId="1" xfId="0" applyFont="true" applyBorder="true" applyAlignment="true" applyProtection="true">
      <alignment horizontal="right" vertical="center" textRotation="0" wrapText="false" indent="0" shrinkToFit="false"/>
      <protection locked="false" hidden="false"/>
    </xf>
    <xf numFmtId="170" fontId="18" fillId="10" borderId="1" xfId="0" applyFont="true" applyBorder="true" applyAlignment="true" applyProtection="true">
      <alignment horizontal="right" vertical="center" textRotation="0" wrapText="false" indent="0" shrinkToFit="false"/>
      <protection locked="false" hidden="false"/>
    </xf>
    <xf numFmtId="164" fontId="18" fillId="10" borderId="1" xfId="0" applyFont="true" applyBorder="true" applyAlignment="true" applyProtection="true">
      <alignment horizontal="center" vertical="center" textRotation="0" wrapText="false" indent="0" shrinkToFit="false"/>
      <protection locked="false" hidden="false"/>
    </xf>
    <xf numFmtId="164" fontId="19" fillId="10" borderId="1" xfId="0" applyFont="true" applyBorder="true" applyAlignment="true" applyProtection="true">
      <alignment horizontal="center" vertical="center" textRotation="0" wrapText="false" indent="0" shrinkToFit="false"/>
      <protection locked="false" hidden="false"/>
    </xf>
    <xf numFmtId="164" fontId="10" fillId="7" borderId="1" xfId="0" applyFont="true" applyBorder="true" applyAlignment="true" applyProtection="true">
      <alignment horizontal="left" vertical="center" textRotation="0" wrapText="false" indent="1" shrinkToFit="false"/>
      <protection locked="false" hidden="false"/>
    </xf>
    <xf numFmtId="165" fontId="21" fillId="0" borderId="1" xfId="0" applyFont="true" applyBorder="true" applyAlignment="true" applyProtection="true">
      <alignment horizontal="center" vertical="center" textRotation="0" wrapText="false" indent="0" shrinkToFit="false"/>
      <protection locked="false" hidden="false"/>
    </xf>
    <xf numFmtId="164" fontId="12" fillId="0" borderId="1" xfId="0" applyFont="true" applyBorder="true" applyAlignment="true" applyProtection="true">
      <alignment horizontal="left" vertical="center" textRotation="0" wrapText="false" indent="1" shrinkToFit="false"/>
      <protection locked="false" hidden="false"/>
    </xf>
    <xf numFmtId="166" fontId="21" fillId="0" borderId="1" xfId="0" applyFont="true" applyBorder="true" applyAlignment="true" applyProtection="true">
      <alignment horizontal="center" vertical="center" textRotation="0" wrapText="false" indent="0" shrinkToFit="false"/>
      <protection locked="false" hidden="false"/>
    </xf>
    <xf numFmtId="167" fontId="21" fillId="0" borderId="1" xfId="0" applyFont="true" applyBorder="true" applyAlignment="true" applyProtection="true">
      <alignment horizontal="center" vertical="center" textRotation="0" wrapText="false" indent="0" shrinkToFit="false"/>
      <protection locked="false" hidden="false"/>
    </xf>
    <xf numFmtId="164" fontId="12" fillId="10" borderId="0" xfId="0" applyFont="true" applyBorder="true" applyAlignment="true" applyProtection="true">
      <alignment horizontal="left" vertical="top" textRotation="0" wrapText="true" indent="1" shrinkToFit="false"/>
      <protection locked="false" hidden="false"/>
    </xf>
    <xf numFmtId="164" fontId="25" fillId="3" borderId="0" xfId="0" applyFont="true" applyBorder="true" applyAlignment="true" applyProtection="true">
      <alignment horizontal="left" vertical="center" textRotation="0" wrapText="false" indent="1" shrinkToFit="false"/>
      <protection locked="false" hidden="false"/>
    </xf>
    <xf numFmtId="164" fontId="26" fillId="4" borderId="0" xfId="0" applyFont="true" applyBorder="true" applyAlignment="true" applyProtection="true">
      <alignment horizontal="left" vertical="center" textRotation="0" wrapText="false" indent="1" shrinkToFit="false"/>
      <protection locked="false" hidden="false"/>
    </xf>
    <xf numFmtId="164" fontId="27" fillId="10" borderId="0" xfId="0" applyFont="true" applyBorder="true" applyAlignment="true" applyProtection="true">
      <alignment horizontal="left" vertical="center" textRotation="0" wrapText="false" indent="1" shrinkToFit="false"/>
      <protection locked="false" hidden="false"/>
    </xf>
    <xf numFmtId="164" fontId="28" fillId="2" borderId="1" xfId="0" applyFont="true" applyBorder="true" applyAlignment="true" applyProtection="true">
      <alignment horizontal="center" vertical="center" textRotation="0" wrapText="false" indent="0" shrinkToFit="false"/>
      <protection locked="false" hidden="false"/>
    </xf>
    <xf numFmtId="164" fontId="16" fillId="0" borderId="1" xfId="0" applyFont="true" applyBorder="true" applyAlignment="true" applyProtection="true">
      <alignment horizontal="left" vertical="center" textRotation="0" wrapText="true" indent="1" shrinkToFit="false"/>
      <protection locked="false" hidden="false"/>
    </xf>
    <xf numFmtId="164" fontId="29" fillId="5" borderId="1" xfId="0" applyFont="true" applyBorder="true" applyAlignment="true" applyProtection="true">
      <alignment horizontal="center" vertical="center" textRotation="0" wrapText="false" indent="0" shrinkToFit="false"/>
      <protection locked="false" hidden="false"/>
    </xf>
    <xf numFmtId="164" fontId="16" fillId="0" borderId="1" xfId="0" applyFont="true" applyBorder="true" applyAlignment="true" applyProtection="true">
      <alignment horizontal="left" vertical="center" textRotation="0" wrapText="false" indent="1" shrinkToFit="false"/>
      <protection locked="false" hidden="false"/>
    </xf>
    <xf numFmtId="164" fontId="21" fillId="6" borderId="1" xfId="0" applyFont="true" applyBorder="true" applyAlignment="true" applyProtection="true">
      <alignment horizontal="center" vertical="center" textRotation="0" wrapText="false" indent="0" shrinkToFit="false"/>
      <protection locked="false" hidden="false"/>
    </xf>
    <xf numFmtId="164" fontId="30" fillId="6" borderId="1" xfId="0" applyFont="true" applyBorder="true" applyAlignment="true" applyProtection="true">
      <alignment horizontal="center" vertical="center" textRotation="0" wrapText="false" indent="0" shrinkToFit="false"/>
      <protection locked="false" hidden="false"/>
    </xf>
    <xf numFmtId="164" fontId="31" fillId="11" borderId="1" xfId="0" applyFont="true" applyBorder="true" applyAlignment="true" applyProtection="true">
      <alignment horizontal="center" vertical="center" textRotation="0" wrapText="false" indent="0" shrinkToFit="false"/>
      <protection locked="false" hidden="false"/>
    </xf>
    <xf numFmtId="164" fontId="32" fillId="12" borderId="1" xfId="0" applyFont="true" applyBorder="true" applyAlignment="true" applyProtection="true">
      <alignment horizontal="center" vertical="center" textRotation="0" wrapText="false" indent="0" shrinkToFit="false"/>
      <protection locked="false" hidden="false"/>
    </xf>
    <xf numFmtId="164" fontId="33" fillId="13" borderId="1" xfId="0" applyFont="true" applyBorder="true" applyAlignment="true" applyProtection="true">
      <alignment horizontal="center" vertical="center" textRotation="0" wrapText="false" indent="0" shrinkToFit="false"/>
      <protection locked="false" hidden="false"/>
    </xf>
    <xf numFmtId="164" fontId="18" fillId="0" borderId="1" xfId="0" applyFont="true" applyBorder="true" applyAlignment="true" applyProtection="true">
      <alignment horizontal="left" vertical="center" textRotation="0" wrapText="true" indent="1" shrinkToFit="false"/>
      <protection locked="false" hidden="false"/>
    </xf>
    <xf numFmtId="164" fontId="34" fillId="0" borderId="1" xfId="0" applyFont="true" applyBorder="true" applyAlignment="true" applyProtection="true">
      <alignment horizontal="left" vertical="center" textRotation="0" wrapText="true" indent="1" shrinkToFit="false"/>
      <protection locked="false" hidden="false"/>
    </xf>
    <xf numFmtId="164" fontId="15" fillId="8" borderId="1" xfId="0" applyFont="true" applyBorder="true" applyAlignment="true" applyProtection="true">
      <alignment horizontal="center" vertical="center" textRotation="0" wrapText="false" indent="0" shrinkToFit="false"/>
      <protection locked="false" hidden="false"/>
    </xf>
    <xf numFmtId="164" fontId="35" fillId="8" borderId="0" xfId="0" applyFont="true" applyBorder="true" applyAlignment="true" applyProtection="true">
      <alignment horizontal="general" vertical="bottom" textRotation="0" wrapText="false" indent="0" shrinkToFit="false"/>
      <protection locked="false" hidden="false"/>
    </xf>
    <xf numFmtId="164" fontId="36" fillId="5" borderId="2" xfId="0" applyFont="true" applyBorder="true" applyAlignment="true" applyProtection="true">
      <alignment horizontal="center" vertical="center" textRotation="0" wrapText="false" indent="0" shrinkToFit="false"/>
      <protection locked="false" hidden="false"/>
    </xf>
    <xf numFmtId="164" fontId="37" fillId="0" borderId="2" xfId="0" applyFont="true" applyBorder="true" applyAlignment="true" applyProtection="true">
      <alignment horizontal="left" vertical="center" textRotation="0" wrapText="false" indent="1" shrinkToFit="false"/>
      <protection locked="false" hidden="false"/>
    </xf>
    <xf numFmtId="164" fontId="38" fillId="6" borderId="2" xfId="0" applyFont="true" applyBorder="true" applyAlignment="true" applyProtection="true">
      <alignment horizontal="center" vertical="center" textRotation="0" wrapText="false" indent="0" shrinkToFit="false"/>
      <protection locked="false" hidden="false"/>
    </xf>
    <xf numFmtId="164" fontId="39" fillId="14" borderId="2" xfId="0" applyFont="true" applyBorder="true" applyAlignment="true" applyProtection="true">
      <alignment horizontal="center" vertical="center" textRotation="0" wrapText="false" indent="0" shrinkToFit="false"/>
      <protection locked="false" hidden="false"/>
    </xf>
    <xf numFmtId="164" fontId="40" fillId="3" borderId="2" xfId="0" applyFont="true" applyBorder="true" applyAlignment="true" applyProtection="true">
      <alignment horizontal="center" vertical="center" textRotation="0" wrapText="false" indent="0" shrinkToFit="false"/>
      <protection locked="false" hidden="false"/>
    </xf>
    <xf numFmtId="164" fontId="41" fillId="10" borderId="0" xfId="0" applyFont="true" applyBorder="true" applyAlignment="true" applyProtection="true">
      <alignment horizontal="left" vertical="center" textRotation="0" wrapText="false" indent="1" shrinkToFit="false"/>
      <protection locked="false" hidden="false"/>
    </xf>
    <xf numFmtId="164" fontId="20" fillId="5" borderId="1" xfId="0" applyFont="true" applyBorder="true" applyAlignment="true" applyProtection="true">
      <alignment horizontal="center" vertical="center" textRotation="0" wrapText="false" indent="1" shrinkToFit="false"/>
      <protection locked="false" hidden="false"/>
    </xf>
    <xf numFmtId="164" fontId="18" fillId="5" borderId="1" xfId="0" applyFont="true" applyBorder="true" applyAlignment="true" applyProtection="true">
      <alignment horizontal="left" vertical="center" textRotation="0" wrapText="false" indent="1" shrinkToFit="false"/>
      <protection locked="false" hidden="false"/>
    </xf>
    <xf numFmtId="166" fontId="42" fillId="14" borderId="1" xfId="0" applyFont="true" applyBorder="true" applyAlignment="true" applyProtection="true">
      <alignment horizontal="center" vertical="center" textRotation="0" wrapText="false" indent="0" shrinkToFit="false"/>
      <protection locked="false" hidden="false"/>
    </xf>
    <xf numFmtId="167" fontId="43" fillId="5" borderId="1" xfId="0" applyFont="true" applyBorder="true" applyAlignment="true" applyProtection="true">
      <alignment horizontal="center" vertical="center" textRotation="0" wrapText="false" indent="0" shrinkToFit="false"/>
      <protection locked="false" hidden="false"/>
    </xf>
    <xf numFmtId="166" fontId="18" fillId="0" borderId="1" xfId="0" applyFont="true" applyBorder="true" applyAlignment="true" applyProtection="true">
      <alignment horizontal="center" vertical="center" textRotation="0" wrapText="false" indent="0" shrinkToFit="false"/>
      <protection locked="false" hidden="false"/>
    </xf>
    <xf numFmtId="167" fontId="42" fillId="14" borderId="1" xfId="0" applyFont="true" applyBorder="true" applyAlignment="true" applyProtection="true">
      <alignment horizontal="right" vertical="center" textRotation="0" wrapText="false" indent="0" shrinkToFit="false"/>
      <protection locked="false" hidden="false"/>
    </xf>
    <xf numFmtId="168" fontId="18" fillId="0" borderId="1" xfId="0" applyFont="true" applyBorder="true" applyAlignment="true" applyProtection="true">
      <alignment horizontal="right" vertical="center" textRotation="0" wrapText="false" indent="0" shrinkToFit="false"/>
      <protection locked="false" hidden="false"/>
    </xf>
    <xf numFmtId="167" fontId="44" fillId="0" borderId="1" xfId="0" applyFont="true" applyBorder="true" applyAlignment="true" applyProtection="true">
      <alignment horizontal="right" vertical="center" textRotation="0" wrapText="false" indent="0" shrinkToFit="false"/>
      <protection locked="false" hidden="false"/>
    </xf>
    <xf numFmtId="167" fontId="19" fillId="0" borderId="1" xfId="0" applyFont="true" applyBorder="true" applyAlignment="true" applyProtection="true">
      <alignment horizontal="right" vertical="center" textRotation="0" wrapText="false" indent="0" shrinkToFit="false"/>
      <protection locked="false" hidden="false"/>
    </xf>
    <xf numFmtId="168" fontId="19" fillId="0" borderId="1" xfId="0" applyFont="true" applyBorder="true" applyAlignment="true" applyProtection="true">
      <alignment horizontal="right" vertical="center" textRotation="0" wrapText="false" indent="0" shrinkToFit="false"/>
      <protection locked="false" hidden="false"/>
    </xf>
    <xf numFmtId="168" fontId="42" fillId="14" borderId="1" xfId="0" applyFont="true" applyBorder="true" applyAlignment="true" applyProtection="true">
      <alignment horizontal="right" vertical="center" textRotation="0" wrapText="false" indent="0" shrinkToFit="false"/>
      <protection locked="false" hidden="false"/>
    </xf>
    <xf numFmtId="167" fontId="43" fillId="5" borderId="1" xfId="0" applyFont="true" applyBorder="true" applyAlignment="true" applyProtection="true">
      <alignment horizontal="right" vertical="center" textRotation="0" wrapText="false" indent="0" shrinkToFit="false"/>
      <protection locked="false" hidden="false"/>
    </xf>
    <xf numFmtId="164" fontId="43" fillId="5" borderId="1" xfId="0" applyFont="true" applyBorder="true" applyAlignment="true" applyProtection="true">
      <alignment horizontal="center" vertical="center" textRotation="0" wrapText="false" indent="0" shrinkToFit="false"/>
      <protection locked="false" hidden="false"/>
    </xf>
    <xf numFmtId="167" fontId="34" fillId="0" borderId="1" xfId="0" applyFont="true" applyBorder="true" applyAlignment="true" applyProtection="true">
      <alignment horizontal="center" vertical="center" textRotation="0" wrapText="false" indent="0" shrinkToFit="false"/>
      <protection locked="false" hidden="false"/>
    </xf>
    <xf numFmtId="164" fontId="20" fillId="10" borderId="1" xfId="0" applyFont="true" applyBorder="true" applyAlignment="true" applyProtection="true">
      <alignment horizontal="center" vertical="center" textRotation="0" wrapText="false" indent="1" shrinkToFit="false"/>
      <protection locked="false" hidden="false"/>
    </xf>
    <xf numFmtId="166" fontId="43" fillId="10" borderId="1" xfId="0" applyFont="true" applyBorder="true" applyAlignment="true" applyProtection="true">
      <alignment horizontal="center" vertical="center" textRotation="0" wrapText="false" indent="0" shrinkToFit="false"/>
      <protection locked="false" hidden="false"/>
    </xf>
    <xf numFmtId="167" fontId="43" fillId="10" borderId="1" xfId="0" applyFont="true" applyBorder="true" applyAlignment="true" applyProtection="true">
      <alignment horizontal="center" vertical="center" textRotation="0" wrapText="false" indent="0" shrinkToFit="false"/>
      <protection locked="false" hidden="false"/>
    </xf>
    <xf numFmtId="166" fontId="18" fillId="10" borderId="1" xfId="0" applyFont="true" applyBorder="true" applyAlignment="true" applyProtection="true">
      <alignment horizontal="center" vertical="center" textRotation="0" wrapText="false" indent="0" shrinkToFit="false"/>
      <protection locked="false" hidden="false"/>
    </xf>
    <xf numFmtId="167" fontId="43" fillId="10" borderId="1" xfId="0" applyFont="true" applyBorder="true" applyAlignment="true" applyProtection="true">
      <alignment horizontal="right" vertical="center" textRotation="0" wrapText="false" indent="0" shrinkToFit="false"/>
      <protection locked="false" hidden="false"/>
    </xf>
    <xf numFmtId="168" fontId="18" fillId="10" borderId="1" xfId="0" applyFont="true" applyBorder="true" applyAlignment="true" applyProtection="true">
      <alignment horizontal="right" vertical="center" textRotation="0" wrapText="false" indent="0" shrinkToFit="false"/>
      <protection locked="false" hidden="false"/>
    </xf>
    <xf numFmtId="167" fontId="44" fillId="10" borderId="1" xfId="0" applyFont="true" applyBorder="true" applyAlignment="true" applyProtection="true">
      <alignment horizontal="right" vertical="center" textRotation="0" wrapText="false" indent="0" shrinkToFit="false"/>
      <protection locked="false" hidden="false"/>
    </xf>
    <xf numFmtId="168" fontId="43" fillId="10" borderId="1" xfId="0" applyFont="true" applyBorder="true" applyAlignment="true" applyProtection="true">
      <alignment horizontal="right" vertical="center" textRotation="0" wrapText="false" indent="0" shrinkToFit="false"/>
      <protection locked="false" hidden="false"/>
    </xf>
    <xf numFmtId="164" fontId="43" fillId="10" borderId="1" xfId="0" applyFont="true" applyBorder="true" applyAlignment="true" applyProtection="true">
      <alignment horizontal="center" vertical="center" textRotation="0" wrapText="false" indent="0" shrinkToFit="false"/>
      <protection locked="false" hidden="false"/>
    </xf>
    <xf numFmtId="168" fontId="7" fillId="3" borderId="1" xfId="0" applyFont="true" applyBorder="true" applyAlignment="true" applyProtection="true">
      <alignment horizontal="right" vertical="center"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4" fontId="45" fillId="15" borderId="3" xfId="0" applyFont="true" applyBorder="true" applyAlignment="true" applyProtection="true">
      <alignment horizontal="center" vertical="center" textRotation="0" wrapText="false" indent="0" shrinkToFit="false"/>
      <protection locked="false" hidden="false"/>
    </xf>
    <xf numFmtId="164" fontId="45" fillId="16" borderId="3" xfId="0" applyFont="true" applyBorder="true" applyAlignment="true" applyProtection="true">
      <alignment horizontal="center" vertical="center" textRotation="0" wrapText="false" indent="0" shrinkToFit="false"/>
      <protection locked="false" hidden="false"/>
    </xf>
    <xf numFmtId="164" fontId="46" fillId="0" borderId="0" xfId="0" applyFont="true" applyBorder="true" applyAlignment="true" applyProtection="true">
      <alignment horizontal="general" vertical="bottom" textRotation="0" wrapText="false" indent="0" shrinkToFit="false"/>
      <protection locked="false" hidden="false"/>
    </xf>
    <xf numFmtId="164" fontId="47" fillId="2" borderId="0" xfId="0" applyFont="true" applyBorder="true" applyAlignment="true" applyProtection="true">
      <alignment horizontal="left" vertical="center" textRotation="0" wrapText="false" indent="1" shrinkToFit="false"/>
      <protection locked="false" hidden="false"/>
    </xf>
    <xf numFmtId="164" fontId="40" fillId="8" borderId="2" xfId="0" applyFont="true" applyBorder="true" applyAlignment="true" applyProtection="true">
      <alignment horizontal="left" vertical="center" textRotation="0" wrapText="false" indent="1" shrinkToFit="false"/>
      <protection locked="false" hidden="false"/>
    </xf>
    <xf numFmtId="164" fontId="36" fillId="5" borderId="2" xfId="0" applyFont="true" applyBorder="true" applyAlignment="true" applyProtection="true">
      <alignment horizontal="left" vertical="center" textRotation="0" wrapText="false" indent="1" shrinkToFit="false"/>
      <protection locked="false" hidden="false"/>
    </xf>
    <xf numFmtId="164" fontId="47" fillId="16" borderId="0" xfId="0" applyFont="true" applyBorder="true" applyAlignment="true" applyProtection="true">
      <alignment horizontal="left" vertical="center" textRotation="0" wrapText="false" indent="1" shrinkToFit="false"/>
      <protection locked="false" hidden="false"/>
    </xf>
    <xf numFmtId="165" fontId="30" fillId="6" borderId="1" xfId="0" applyFont="true" applyBorder="true" applyAlignment="true" applyProtection="true">
      <alignment horizontal="left" vertical="center" textRotation="0" wrapText="false" indent="1" shrinkToFit="false"/>
      <protection locked="false" hidden="false"/>
    </xf>
    <xf numFmtId="164" fontId="41" fillId="0" borderId="1" xfId="0" applyFont="true" applyBorder="true" applyAlignment="true" applyProtection="true">
      <alignment horizontal="left" vertical="center" textRotation="0" wrapText="true" indent="1" shrinkToFit="false"/>
      <protection locked="false" hidden="false"/>
    </xf>
    <xf numFmtId="166" fontId="30" fillId="6" borderId="1" xfId="0" applyFont="true" applyBorder="true" applyAlignment="true" applyProtection="true">
      <alignment horizontal="left" vertical="center" textRotation="0" wrapText="false" indent="1" shrinkToFit="false"/>
      <protection locked="false" hidden="false"/>
    </xf>
    <xf numFmtId="167" fontId="30" fillId="6" borderId="1" xfId="0" applyFont="true" applyBorder="true" applyAlignment="true" applyProtection="true">
      <alignment horizontal="left" vertical="center" textRotation="0" wrapText="false" indent="1" shrinkToFit="false"/>
      <protection locked="false" hidden="false"/>
    </xf>
    <xf numFmtId="167" fontId="21" fillId="6" borderId="1" xfId="0" applyFont="true" applyBorder="true" applyAlignment="true" applyProtection="true">
      <alignment horizontal="right" vertical="center" textRotation="0" wrapText="false" indent="0" shrinkToFit="false"/>
      <protection locked="false" hidden="false"/>
    </xf>
    <xf numFmtId="167" fontId="30" fillId="6" borderId="1" xfId="0" applyFont="true" applyBorder="true" applyAlignment="true" applyProtection="true">
      <alignment horizontal="right" vertical="center" textRotation="0" wrapText="false" indent="0" shrinkToFit="false"/>
      <protection locked="false" hidden="false"/>
    </xf>
    <xf numFmtId="164" fontId="41" fillId="0" borderId="1" xfId="0" applyFont="true" applyBorder="true" applyAlignment="true" applyProtection="true">
      <alignment horizontal="left" vertical="top" textRotation="0" wrapText="true" indent="1" shrinkToFit="false"/>
      <protection locked="false" hidden="false"/>
    </xf>
    <xf numFmtId="169" fontId="21" fillId="6" borderId="1" xfId="0" applyFont="true" applyBorder="true" applyAlignment="true" applyProtection="true">
      <alignment horizontal="right" vertical="center" textRotation="0" wrapText="false" indent="0" shrinkToFit="false"/>
      <protection locked="false" hidden="false"/>
    </xf>
    <xf numFmtId="168" fontId="21" fillId="6" borderId="1" xfId="0" applyFont="true" applyBorder="true" applyAlignment="true" applyProtection="true">
      <alignment horizontal="right" vertical="center" textRotation="0" wrapText="false" indent="0" shrinkToFit="false"/>
      <protection locked="false" hidden="false"/>
    </xf>
    <xf numFmtId="168" fontId="16" fillId="0" borderId="1" xfId="0" applyFont="true" applyBorder="true" applyAlignment="true" applyProtection="true">
      <alignment horizontal="right" vertical="center" textRotation="0" wrapText="false" indent="0" shrinkToFit="false"/>
      <protection locked="false" hidden="false"/>
    </xf>
    <xf numFmtId="168" fontId="48" fillId="0" borderId="1" xfId="0" applyFont="true" applyBorder="true" applyAlignment="true" applyProtection="true">
      <alignment horizontal="right" vertical="center" textRotation="0" wrapText="false" indent="0" shrinkToFit="false"/>
      <protection locked="false" hidden="false"/>
    </xf>
    <xf numFmtId="169" fontId="16" fillId="0" borderId="1" xfId="0" applyFont="true" applyBorder="true" applyAlignment="true" applyProtection="true">
      <alignment horizontal="right" vertical="center" textRotation="0" wrapText="false" indent="0" shrinkToFit="false"/>
      <protection locked="false" hidden="false"/>
    </xf>
    <xf numFmtId="164" fontId="17" fillId="0" borderId="1" xfId="0" applyFont="true" applyBorder="true" applyAlignment="true" applyProtection="true">
      <alignment horizontal="center" vertical="center" textRotation="0" wrapText="false" indent="0" shrinkToFit="false"/>
      <protection locked="false" hidden="false"/>
    </xf>
    <xf numFmtId="164" fontId="34" fillId="0" borderId="1" xfId="0" applyFont="true" applyBorder="true" applyAlignment="true" applyProtection="true">
      <alignment horizontal="left" vertical="center" textRotation="0" wrapText="false" indent="1" shrinkToFit="false"/>
      <protection locked="false" hidden="false"/>
    </xf>
    <xf numFmtId="164" fontId="10" fillId="10" borderId="1" xfId="0" applyFont="true" applyBorder="true" applyAlignment="true" applyProtection="true">
      <alignment horizontal="left" vertical="center" textRotation="0" wrapText="false" indent="1" shrinkToFit="false"/>
      <protection locked="false" hidden="false"/>
    </xf>
    <xf numFmtId="164" fontId="16" fillId="10" borderId="1" xfId="0" applyFont="true" applyBorder="true" applyAlignment="true" applyProtection="true">
      <alignment horizontal="left" vertical="center" textRotation="0" wrapText="false" indent="1" shrinkToFit="false"/>
      <protection locked="false" hidden="false"/>
    </xf>
    <xf numFmtId="170" fontId="16" fillId="10" borderId="1" xfId="0" applyFont="true" applyBorder="true" applyAlignment="true" applyProtection="true">
      <alignment horizontal="right" vertical="center" textRotation="0" wrapText="false" indent="0" shrinkToFit="false"/>
      <protection locked="false" hidden="false"/>
    </xf>
    <xf numFmtId="170" fontId="48" fillId="10" borderId="1" xfId="0" applyFont="true" applyBorder="true" applyAlignment="true" applyProtection="true">
      <alignment horizontal="right" vertical="center" textRotation="0" wrapText="false" indent="0" shrinkToFit="false"/>
      <protection locked="false" hidden="false"/>
    </xf>
    <xf numFmtId="169" fontId="16" fillId="10" borderId="1" xfId="0" applyFont="true" applyBorder="true" applyAlignment="true" applyProtection="true">
      <alignment horizontal="right" vertical="center" textRotation="0" wrapText="false" indent="0" shrinkToFit="false"/>
      <protection locked="false" hidden="false"/>
    </xf>
    <xf numFmtId="164" fontId="17" fillId="10" borderId="1" xfId="0" applyFont="true" applyBorder="true" applyAlignment="true" applyProtection="true">
      <alignment horizontal="center" vertical="center" textRotation="0" wrapText="false" indent="0" shrinkToFit="false"/>
      <protection locked="false" hidden="false"/>
    </xf>
    <xf numFmtId="164" fontId="34" fillId="10" borderId="1" xfId="0" applyFont="true" applyBorder="true" applyAlignment="true" applyProtection="true">
      <alignment horizontal="left" vertical="center" textRotation="0" wrapText="false" indent="1" shrinkToFit="false"/>
      <protection locked="false" hidden="false"/>
    </xf>
    <xf numFmtId="164" fontId="12" fillId="10" borderId="1" xfId="0" applyFont="true" applyBorder="true" applyAlignment="true" applyProtection="true">
      <alignment horizontal="left" vertical="center" textRotation="0" wrapText="false" indent="1" shrinkToFit="false"/>
      <protection locked="false" hidden="false"/>
    </xf>
    <xf numFmtId="167" fontId="48" fillId="0" borderId="1" xfId="0" applyFont="true" applyBorder="true" applyAlignment="true" applyProtection="true">
      <alignment horizontal="right" vertical="center" textRotation="0" wrapText="false" indent="0" shrinkToFit="false"/>
      <protection locked="false" hidden="false"/>
    </xf>
    <xf numFmtId="167" fontId="16" fillId="10" borderId="1" xfId="0" applyFont="true" applyBorder="true" applyAlignment="true" applyProtection="true">
      <alignment horizontal="right" vertical="center" textRotation="0" wrapText="false" indent="0" shrinkToFit="false"/>
      <protection locked="false" hidden="false"/>
    </xf>
    <xf numFmtId="167" fontId="48" fillId="10" borderId="1" xfId="0" applyFont="true" applyBorder="true" applyAlignment="true" applyProtection="true">
      <alignment horizontal="right" vertical="center" textRotation="0" wrapText="false" indent="0" shrinkToFit="false"/>
      <protection locked="false" hidden="false"/>
    </xf>
    <xf numFmtId="168" fontId="16" fillId="10" borderId="1" xfId="0" applyFont="true" applyBorder="true" applyAlignment="true" applyProtection="true">
      <alignment horizontal="right" vertical="center" textRotation="0" wrapText="false" indent="0" shrinkToFit="false"/>
      <protection locked="false" hidden="false"/>
    </xf>
    <xf numFmtId="168" fontId="48" fillId="10" borderId="1" xfId="0" applyFont="true" applyBorder="true" applyAlignment="true" applyProtection="true">
      <alignment horizontal="right" vertical="center" textRotation="0" wrapText="false" indent="0" shrinkToFit="false"/>
      <protection locked="false" hidden="false"/>
    </xf>
    <xf numFmtId="169" fontId="48" fillId="0" borderId="1" xfId="0" applyFont="true" applyBorder="true" applyAlignment="true" applyProtection="true">
      <alignment horizontal="right" vertical="center" textRotation="0" wrapText="false" indent="0" shrinkToFit="false"/>
      <protection locked="false" hidden="false"/>
    </xf>
    <xf numFmtId="169" fontId="48" fillId="10" borderId="1" xfId="0" applyFont="true" applyBorder="true" applyAlignment="true" applyProtection="true">
      <alignment horizontal="right" vertical="center" textRotation="0" wrapText="false" indent="0" shrinkToFit="false"/>
      <protection locked="false" hidden="false"/>
    </xf>
    <xf numFmtId="167" fontId="16" fillId="0" borderId="1" xfId="0" applyFont="true" applyBorder="true" applyAlignment="true" applyProtection="true">
      <alignment horizontal="center" vertical="center" textRotation="0" wrapText="false" indent="0" shrinkToFit="false"/>
      <protection locked="false" hidden="false"/>
    </xf>
    <xf numFmtId="168" fontId="17" fillId="0" borderId="1" xfId="0" applyFont="true" applyBorder="true" applyAlignment="true" applyProtection="true">
      <alignment horizontal="right" vertical="center" textRotation="0" wrapText="false" indent="0" shrinkToFit="false"/>
      <protection locked="false" hidden="false"/>
    </xf>
    <xf numFmtId="167" fontId="7" fillId="3" borderId="1" xfId="0" applyFont="true" applyBorder="true" applyAlignment="true" applyProtection="true">
      <alignment horizontal="center" vertical="center" textRotation="0" wrapText="false" indent="0" shrinkToFit="false"/>
      <protection locked="false" hidden="false"/>
    </xf>
    <xf numFmtId="164" fontId="7" fillId="3" borderId="1" xfId="0" applyFont="true" applyBorder="true" applyAlignment="true" applyProtection="true">
      <alignment horizontal="center" vertical="center" textRotation="0" wrapText="false" indent="0" shrinkToFit="false"/>
      <protection locked="false" hidden="false"/>
    </xf>
    <xf numFmtId="164" fontId="28" fillId="3" borderId="1" xfId="0" applyFont="true" applyBorder="true" applyAlignment="true" applyProtection="true">
      <alignment horizontal="center" vertical="center" textRotation="0" wrapText="false" indent="0" shrinkToFit="false"/>
      <protection locked="false" hidden="false"/>
    </xf>
    <xf numFmtId="167" fontId="34" fillId="0" borderId="1" xfId="0" applyFont="true" applyBorder="true" applyAlignment="true" applyProtection="true">
      <alignment horizontal="right" vertical="center" textRotation="0" wrapText="false" indent="0" shrinkToFit="false"/>
      <protection locked="false" hidden="false"/>
    </xf>
    <xf numFmtId="167" fontId="34" fillId="10" borderId="1" xfId="0" applyFont="true" applyBorder="true" applyAlignment="true" applyProtection="true">
      <alignment horizontal="right" vertical="center" textRotation="0" wrapText="false" indent="0" shrinkToFit="false"/>
      <protection locked="false" hidden="false"/>
    </xf>
    <xf numFmtId="164" fontId="20" fillId="5" borderId="1" xfId="0" applyFont="true" applyBorder="true" applyAlignment="true" applyProtection="true">
      <alignment horizontal="center" vertical="center" textRotation="0" wrapText="false" indent="0" shrinkToFit="false"/>
      <protection locked="false" hidden="false"/>
    </xf>
    <xf numFmtId="164" fontId="44" fillId="0" borderId="1" xfId="0" applyFont="true" applyBorder="true" applyAlignment="true" applyProtection="true">
      <alignment horizontal="left" vertical="center" textRotation="0" wrapText="false" indent="1" shrinkToFit="false"/>
      <protection locked="false" hidden="false"/>
    </xf>
    <xf numFmtId="164" fontId="18" fillId="0" borderId="1" xfId="0" applyFont="true" applyBorder="true" applyAlignment="true" applyProtection="true">
      <alignment horizontal="center" vertical="center" textRotation="0" wrapText="false" indent="1" shrinkToFit="false"/>
      <protection locked="false" hidden="false"/>
    </xf>
    <xf numFmtId="169" fontId="18" fillId="0" borderId="1" xfId="0" applyFont="true" applyBorder="true" applyAlignment="true" applyProtection="true">
      <alignment horizontal="right" vertical="center" textRotation="0" wrapText="false" indent="0" shrinkToFit="false"/>
      <protection locked="false" hidden="false"/>
    </xf>
    <xf numFmtId="164" fontId="42" fillId="14" borderId="1" xfId="0" applyFont="true" applyBorder="true" applyAlignment="true" applyProtection="true">
      <alignment horizontal="center" vertical="center" textRotation="0" wrapText="false" indent="0" shrinkToFit="false"/>
      <protection locked="false" hidden="false"/>
    </xf>
    <xf numFmtId="164" fontId="44" fillId="10" borderId="1" xfId="0" applyFont="true" applyBorder="true" applyAlignment="true" applyProtection="true">
      <alignment horizontal="left" vertical="center" textRotation="0" wrapText="false" indent="1" shrinkToFit="false"/>
      <protection locked="false" hidden="false"/>
    </xf>
    <xf numFmtId="167" fontId="34" fillId="10" borderId="1" xfId="0" applyFont="true" applyBorder="true" applyAlignment="true" applyProtection="true">
      <alignment horizontal="center" vertical="center" textRotation="0" wrapText="false" indent="0" shrinkToFit="false"/>
      <protection locked="false" hidden="false"/>
    </xf>
    <xf numFmtId="164" fontId="18" fillId="10" borderId="1" xfId="0" applyFont="true" applyBorder="true" applyAlignment="true" applyProtection="true">
      <alignment horizontal="center" vertical="center" textRotation="0" wrapText="false" indent="1" shrinkToFit="false"/>
      <protection locked="false" hidden="false"/>
    </xf>
    <xf numFmtId="169" fontId="18" fillId="10" borderId="1" xfId="0" applyFont="true" applyBorder="true" applyAlignment="true" applyProtection="true">
      <alignment horizontal="right" vertical="center" textRotation="0" wrapText="false" indent="0" shrinkToFit="false"/>
      <protection locked="false" hidden="false"/>
    </xf>
    <xf numFmtId="167" fontId="49" fillId="0" borderId="1" xfId="0" applyFont="true" applyBorder="true" applyAlignment="true" applyProtection="true">
      <alignment horizontal="right" vertical="center" textRotation="0" wrapText="false" indent="0" shrinkToFit="false"/>
      <protection locked="false" hidden="false"/>
    </xf>
    <xf numFmtId="167" fontId="49" fillId="10" borderId="1" xfId="0" applyFont="true" applyBorder="true" applyAlignment="true" applyProtection="true">
      <alignment horizontal="right" vertical="center"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9" fontId="30" fillId="6" borderId="1" xfId="0" applyFont="true" applyBorder="true" applyAlignment="true" applyProtection="true">
      <alignment horizontal="right" vertical="center" textRotation="0" wrapText="false" indent="0" shrinkToFit="false"/>
      <protection locked="false" hidden="false"/>
    </xf>
    <xf numFmtId="169" fontId="29" fillId="5" borderId="1" xfId="0" applyFont="true" applyBorder="true" applyAlignment="true" applyProtection="true">
      <alignment horizontal="right" vertical="center" textRotation="0" wrapText="false" indent="0" shrinkToFit="false"/>
      <protection locked="false" hidden="false"/>
    </xf>
    <xf numFmtId="167" fontId="29" fillId="5" borderId="1" xfId="0" applyFont="true" applyBorder="true" applyAlignment="true" applyProtection="true">
      <alignment horizontal="right" vertical="center" textRotation="0" wrapText="false" indent="0" shrinkToFit="false"/>
      <protection locked="false" hidden="false"/>
    </xf>
    <xf numFmtId="167" fontId="17" fillId="0" borderId="1" xfId="0" applyFont="true" applyBorder="true" applyAlignment="true" applyProtection="true">
      <alignment horizontal="right" vertical="center" textRotation="0" wrapText="false" indent="0" shrinkToFit="false"/>
      <protection locked="false" hidden="false"/>
    </xf>
    <xf numFmtId="173" fontId="7" fillId="3" borderId="1" xfId="0" applyFont="true" applyBorder="true" applyAlignment="true" applyProtection="true">
      <alignment horizontal="right" vertical="center" textRotation="0" wrapText="false" indent="0" shrinkToFit="false"/>
      <protection locked="false" hidden="false"/>
    </xf>
    <xf numFmtId="164" fontId="50" fillId="3" borderId="1" xfId="0" applyFont="true" applyBorder="true" applyAlignment="true" applyProtection="true">
      <alignment horizontal="left" vertical="center" textRotation="0" wrapText="false" indent="1" shrinkToFit="false"/>
      <protection locked="false" hidden="false"/>
    </xf>
    <xf numFmtId="165" fontId="21" fillId="6" borderId="1" xfId="0" applyFont="true" applyBorder="true" applyAlignment="true" applyProtection="true">
      <alignment horizontal="right" vertical="center" textRotation="0" wrapText="false" indent="0" shrinkToFit="false"/>
      <protection locked="false" hidden="false"/>
    </xf>
    <xf numFmtId="164" fontId="0" fillId="10" borderId="1" xfId="0" applyFont="false" applyBorder="true" applyAlignment="true" applyProtection="true">
      <alignment horizontal="general" vertical="bottom" textRotation="0" wrapText="false" indent="0" shrinkToFit="false"/>
      <protection locked="false" hidden="false"/>
    </xf>
    <xf numFmtId="166" fontId="43" fillId="5" borderId="1" xfId="0" applyFont="true" applyBorder="true" applyAlignment="true" applyProtection="true">
      <alignment horizontal="center" vertical="center" textRotation="0" wrapText="false" indent="0" shrinkToFit="false"/>
      <protection locked="false" hidden="false"/>
    </xf>
    <xf numFmtId="170" fontId="17" fillId="0" borderId="1" xfId="0" applyFont="true" applyBorder="true" applyAlignment="true" applyProtection="true">
      <alignment horizontal="right" vertical="center" textRotation="0" wrapText="false" indent="0" shrinkToFit="false"/>
      <protection locked="false" hidden="false"/>
    </xf>
    <xf numFmtId="165" fontId="17" fillId="0" borderId="1" xfId="0" applyFont="true" applyBorder="true" applyAlignment="true" applyProtection="true">
      <alignment horizontal="right" vertical="center" textRotation="0" wrapText="false" indent="0" shrinkToFit="false"/>
      <protection locked="false" hidden="false"/>
    </xf>
    <xf numFmtId="174" fontId="34" fillId="0" borderId="1" xfId="0" applyFont="true" applyBorder="true" applyAlignment="true" applyProtection="true">
      <alignment horizontal="right" vertical="center" textRotation="0" wrapText="false" indent="0" shrinkToFit="false"/>
      <protection locked="false" hidden="false"/>
    </xf>
    <xf numFmtId="174" fontId="34" fillId="10" borderId="1" xfId="0" applyFont="true" applyBorder="true" applyAlignment="true" applyProtection="true">
      <alignment horizontal="right" vertical="center" textRotation="0" wrapText="false" indent="0" shrinkToFit="false"/>
      <protection locked="false" hidden="false"/>
    </xf>
    <xf numFmtId="172" fontId="34" fillId="0" borderId="1" xfId="0" applyFont="true" applyBorder="true" applyAlignment="true" applyProtection="true">
      <alignment horizontal="right" vertical="center" textRotation="0" wrapText="false" indent="0" shrinkToFit="false"/>
      <protection locked="false" hidden="false"/>
    </xf>
    <xf numFmtId="172" fontId="34" fillId="10" borderId="1" xfId="0" applyFont="true" applyBorder="true" applyAlignment="true" applyProtection="true">
      <alignment horizontal="right" vertical="center" textRotation="0" wrapText="false" indent="0" shrinkToFit="false"/>
      <protection locked="false" hidden="false"/>
    </xf>
    <xf numFmtId="170" fontId="43" fillId="5" borderId="1" xfId="0" applyFont="true" applyBorder="true" applyAlignment="true" applyProtection="true">
      <alignment horizontal="right" vertical="center" textRotation="0" wrapText="false" indent="0" shrinkToFit="false"/>
      <protection locked="false" hidden="false"/>
    </xf>
    <xf numFmtId="170" fontId="43" fillId="10" borderId="1" xfId="0" applyFont="true" applyBorder="true" applyAlignment="true" applyProtection="true">
      <alignment horizontal="right" vertical="center" textRotation="0" wrapText="false" indent="0" shrinkToFit="false"/>
      <protection locked="false" hidden="false"/>
    </xf>
    <xf numFmtId="170" fontId="7" fillId="3" borderId="1" xfId="0" applyFont="true" applyBorder="true" applyAlignment="true" applyProtection="true">
      <alignment horizontal="right" vertical="center" textRotation="0" wrapText="false" indent="0" shrinkToFit="false"/>
      <protection locked="false" hidden="false"/>
    </xf>
    <xf numFmtId="168" fontId="21" fillId="0" borderId="1" xfId="0" applyFont="true" applyBorder="true" applyAlignment="true" applyProtection="true">
      <alignment horizontal="right" vertical="center" textRotation="0" wrapText="false" indent="0" shrinkToFit="false"/>
      <protection locked="false" hidden="false"/>
    </xf>
    <xf numFmtId="164" fontId="12" fillId="0" borderId="1" xfId="0" applyFont="true" applyBorder="true" applyAlignment="true" applyProtection="true">
      <alignment horizontal="left" vertical="center" textRotation="0" wrapText="true" indent="1" shrinkToFit="false"/>
      <protection locked="false" hidden="false"/>
    </xf>
    <xf numFmtId="167" fontId="21" fillId="0" borderId="1" xfId="0" applyFont="true" applyBorder="true" applyAlignment="true" applyProtection="true">
      <alignment horizontal="right" vertical="center" textRotation="0" wrapText="false" indent="0" shrinkToFit="false"/>
      <protection locked="false" hidden="false"/>
    </xf>
    <xf numFmtId="170" fontId="21" fillId="0" borderId="1" xfId="0" applyFont="true" applyBorder="true" applyAlignment="true" applyProtection="true">
      <alignment horizontal="right" vertical="center" textRotation="0" wrapText="false" indent="0" shrinkToFit="false"/>
      <protection locked="false" hidden="false"/>
    </xf>
    <xf numFmtId="169" fontId="21" fillId="0" borderId="1" xfId="0" applyFont="true" applyBorder="true" applyAlignment="true" applyProtection="true">
      <alignment horizontal="right" vertical="center" textRotation="0" wrapText="false" indent="0" shrinkToFit="false"/>
      <protection locked="false" hidden="false"/>
    </xf>
    <xf numFmtId="168" fontId="43" fillId="5" borderId="1" xfId="0" applyFont="true" applyBorder="true" applyAlignment="true" applyProtection="true">
      <alignment horizontal="right" vertical="center" textRotation="0" wrapText="false" indent="0" shrinkToFit="false"/>
      <protection locked="false" hidden="false"/>
    </xf>
    <xf numFmtId="167" fontId="42" fillId="14" borderId="1" xfId="0" applyFont="true" applyBorder="true" applyAlignment="true" applyProtection="true">
      <alignment horizontal="center" vertical="center" textRotation="0" wrapText="false" indent="0" shrinkToFit="false"/>
      <protection locked="false" hidden="false"/>
    </xf>
    <xf numFmtId="169" fontId="30" fillId="0" borderId="1" xfId="0" applyFont="true" applyBorder="true" applyAlignment="true" applyProtection="true">
      <alignment horizontal="right" vertical="center" textRotation="0" wrapText="false" indent="0" shrinkToFit="false"/>
      <protection locked="false" hidden="false"/>
    </xf>
    <xf numFmtId="169" fontId="34" fillId="0" borderId="1" xfId="0" applyFont="true" applyBorder="true" applyAlignment="true" applyProtection="true">
      <alignment horizontal="right" vertical="center" textRotation="0" wrapText="false" indent="0" shrinkToFit="false"/>
      <protection locked="false" hidden="false"/>
    </xf>
    <xf numFmtId="168" fontId="51" fillId="5" borderId="1" xfId="0" applyFont="true" applyBorder="true" applyAlignment="true" applyProtection="true">
      <alignment horizontal="right" vertical="center" textRotation="0" wrapText="false" indent="0" shrinkToFit="false"/>
      <protection locked="false" hidden="false"/>
    </xf>
    <xf numFmtId="169" fontId="30" fillId="10" borderId="1" xfId="0" applyFont="true" applyBorder="true" applyAlignment="true" applyProtection="true">
      <alignment horizontal="right" vertical="center" textRotation="0" wrapText="false" indent="0" shrinkToFit="false"/>
      <protection locked="false" hidden="false"/>
    </xf>
    <xf numFmtId="169" fontId="34" fillId="10" borderId="1" xfId="0" applyFont="true" applyBorder="true" applyAlignment="true" applyProtection="true">
      <alignment horizontal="right" vertical="center" textRotation="0" wrapText="false" indent="0" shrinkToFit="false"/>
      <protection locked="false" hidden="false"/>
    </xf>
    <xf numFmtId="168" fontId="51" fillId="10" borderId="1" xfId="0" applyFont="true" applyBorder="true" applyAlignment="true" applyProtection="true">
      <alignment horizontal="right" vertical="center" textRotation="0" wrapText="false" indent="0" shrinkToFit="false"/>
      <protection locked="false" hidden="false"/>
    </xf>
    <xf numFmtId="168" fontId="30" fillId="0" borderId="1" xfId="0" applyFont="true" applyBorder="true" applyAlignment="true" applyProtection="true">
      <alignment horizontal="right" vertical="center" textRotation="0" wrapText="false" indent="0" shrinkToFit="false"/>
      <protection locked="false" hidden="false"/>
    </xf>
    <xf numFmtId="168" fontId="30" fillId="10" borderId="1" xfId="0" applyFont="true" applyBorder="true" applyAlignment="true" applyProtection="true">
      <alignment horizontal="right" vertical="center" textRotation="0" wrapText="false" indent="0" shrinkToFit="false"/>
      <protection locked="false" hidden="false"/>
    </xf>
    <xf numFmtId="164" fontId="52" fillId="7" borderId="1" xfId="0" applyFont="true" applyBorder="true" applyAlignment="true" applyProtection="true">
      <alignment horizontal="left" vertical="center" textRotation="0" wrapText="false" indent="1" shrinkToFit="false"/>
      <protection locked="false" hidden="false"/>
    </xf>
    <xf numFmtId="168" fontId="53" fillId="0" borderId="1" xfId="0" applyFont="true" applyBorder="true" applyAlignment="true" applyProtection="true">
      <alignment horizontal="center" vertical="center" textRotation="0" wrapText="false" indent="0" shrinkToFit="false"/>
      <protection locked="false" hidden="false"/>
    </xf>
    <xf numFmtId="164" fontId="41" fillId="0" borderId="1" xfId="0" applyFont="true" applyBorder="true" applyAlignment="true" applyProtection="true">
      <alignment horizontal="left" vertical="center" textRotation="0" wrapText="false" indent="1" shrinkToFit="false"/>
      <protection locked="false" hidden="false"/>
    </xf>
    <xf numFmtId="169" fontId="53" fillId="0" borderId="1" xfId="0" applyFont="true" applyBorder="true" applyAlignment="true" applyProtection="true">
      <alignment horizontal="center" vertical="center" textRotation="0" wrapText="false" indent="0" shrinkToFit="false"/>
      <protection locked="false" hidden="false"/>
    </xf>
    <xf numFmtId="165" fontId="53" fillId="0" borderId="1" xfId="0" applyFont="true" applyBorder="true" applyAlignment="true" applyProtection="true">
      <alignment horizontal="center" vertical="center" textRotation="0" wrapText="false" indent="0" shrinkToFit="false"/>
      <protection locked="false" hidden="false"/>
    </xf>
    <xf numFmtId="167" fontId="20" fillId="0" borderId="1" xfId="0" applyFont="true" applyBorder="true" applyAlignment="true" applyProtection="true">
      <alignment horizontal="center" vertical="center" textRotation="0" wrapText="false" indent="0" shrinkToFit="false"/>
      <protection locked="false" hidden="false"/>
    </xf>
    <xf numFmtId="167" fontId="20" fillId="10" borderId="1" xfId="0" applyFont="true" applyBorder="true" applyAlignment="true" applyProtection="true">
      <alignment horizontal="center" vertical="center" textRotation="0" wrapText="false" indent="0" shrinkToFit="false"/>
      <protection locked="false" hidden="false"/>
    </xf>
    <xf numFmtId="170" fontId="21" fillId="0" borderId="1" xfId="0" applyFont="true" applyBorder="true" applyAlignment="true" applyProtection="true">
      <alignment horizontal="center" vertical="center" textRotation="0" wrapText="false" indent="0" shrinkToFit="false"/>
      <protection locked="false" hidden="false"/>
    </xf>
    <xf numFmtId="169" fontId="21" fillId="0" borderId="1" xfId="0" applyFont="true" applyBorder="true" applyAlignment="true" applyProtection="true">
      <alignment horizontal="center" vertical="center" textRotation="0" wrapText="false" indent="0" shrinkToFit="false"/>
      <protection locked="false" hidden="false"/>
    </xf>
    <xf numFmtId="175" fontId="18" fillId="0" borderId="1" xfId="0" applyFont="true" applyBorder="true" applyAlignment="true" applyProtection="true">
      <alignment horizontal="right" vertical="center" textRotation="0" wrapText="false" indent="0" shrinkToFit="false"/>
      <protection locked="false" hidden="false"/>
    </xf>
    <xf numFmtId="176" fontId="17" fillId="0" borderId="1" xfId="0" applyFont="true" applyBorder="true" applyAlignment="true" applyProtection="true">
      <alignment horizontal="right" vertical="center" textRotation="0" wrapText="false" indent="0" shrinkToFit="false"/>
      <protection locked="false" hidden="false"/>
    </xf>
    <xf numFmtId="176" fontId="16" fillId="0" borderId="1" xfId="0" applyFont="true" applyBorder="true" applyAlignment="true" applyProtection="true">
      <alignment horizontal="right" vertical="center" textRotation="0" wrapText="false" indent="0" shrinkToFit="false"/>
      <protection locked="false" hidden="false"/>
    </xf>
    <xf numFmtId="177" fontId="16" fillId="0" borderId="1" xfId="0" applyFont="true" applyBorder="true" applyAlignment="true" applyProtection="true">
      <alignment horizontal="right" vertical="center" textRotation="0" wrapText="false" indent="0" shrinkToFit="false"/>
      <protection locked="false" hidden="false"/>
    </xf>
    <xf numFmtId="177" fontId="17" fillId="0" borderId="1" xfId="0" applyFont="true" applyBorder="true" applyAlignment="true" applyProtection="true">
      <alignment horizontal="right" vertical="center" textRotation="0" wrapText="false" indent="0" shrinkToFit="false"/>
      <protection locked="false" hidden="false"/>
    </xf>
    <xf numFmtId="164" fontId="19" fillId="0" borderId="1" xfId="0" applyFont="true" applyBorder="true" applyAlignment="true" applyProtection="true">
      <alignment horizontal="left" vertical="center" textRotation="0" wrapText="false" indent="1" shrinkToFit="false"/>
      <protection locked="false" hidden="false"/>
    </xf>
    <xf numFmtId="167" fontId="16" fillId="10" borderId="1" xfId="0" applyFont="true" applyBorder="true" applyAlignment="true" applyProtection="true">
      <alignment horizontal="center" vertical="center" textRotation="0" wrapText="false" indent="0" shrinkToFit="false"/>
      <protection locked="false" hidden="false"/>
    </xf>
    <xf numFmtId="175" fontId="18" fillId="10" borderId="1" xfId="0" applyFont="true" applyBorder="true" applyAlignment="true" applyProtection="true">
      <alignment horizontal="right" vertical="center" textRotation="0" wrapText="false" indent="0" shrinkToFit="false"/>
      <protection locked="false" hidden="false"/>
    </xf>
    <xf numFmtId="176" fontId="17" fillId="10" borderId="1" xfId="0" applyFont="true" applyBorder="true" applyAlignment="true" applyProtection="true">
      <alignment horizontal="right" vertical="center" textRotation="0" wrapText="false" indent="0" shrinkToFit="false"/>
      <protection locked="false" hidden="false"/>
    </xf>
    <xf numFmtId="176" fontId="16" fillId="10" borderId="1" xfId="0" applyFont="true" applyBorder="true" applyAlignment="true" applyProtection="true">
      <alignment horizontal="right" vertical="center" textRotation="0" wrapText="false" indent="0" shrinkToFit="false"/>
      <protection locked="false" hidden="false"/>
    </xf>
    <xf numFmtId="177" fontId="16" fillId="10" borderId="1" xfId="0" applyFont="true" applyBorder="true" applyAlignment="true" applyProtection="true">
      <alignment horizontal="right" vertical="center" textRotation="0" wrapText="false" indent="0" shrinkToFit="false"/>
      <protection locked="false" hidden="false"/>
    </xf>
    <xf numFmtId="177" fontId="17" fillId="10" borderId="1" xfId="0" applyFont="true" applyBorder="true" applyAlignment="true" applyProtection="true">
      <alignment horizontal="right" vertical="center" textRotation="0" wrapText="false" indent="0" shrinkToFit="false"/>
      <protection locked="false" hidden="false"/>
    </xf>
    <xf numFmtId="164" fontId="19" fillId="10" borderId="1" xfId="0" applyFont="true" applyBorder="true" applyAlignment="true" applyProtection="true">
      <alignment horizontal="left" vertical="center" textRotation="0" wrapText="false" indent="1" shrinkToFit="false"/>
      <protection locked="false" hidden="false"/>
    </xf>
    <xf numFmtId="178" fontId="17" fillId="10" borderId="1" xfId="0" applyFont="true" applyBorder="true" applyAlignment="true" applyProtection="true">
      <alignment horizontal="right" vertical="center" textRotation="0" wrapText="false" indent="0" shrinkToFit="false"/>
      <protection locked="false" hidden="false"/>
    </xf>
    <xf numFmtId="178" fontId="16" fillId="10" borderId="1" xfId="0" applyFont="true" applyBorder="true" applyAlignment="true" applyProtection="true">
      <alignment horizontal="right" vertical="center" textRotation="0" wrapText="false" indent="0" shrinkToFit="false"/>
      <protection locked="false" hidden="false"/>
    </xf>
    <xf numFmtId="170" fontId="17" fillId="10" borderId="1" xfId="0" applyFont="true" applyBorder="true" applyAlignment="true" applyProtection="true">
      <alignment horizontal="right" vertical="center" textRotation="0" wrapText="false" indent="0" shrinkToFit="false"/>
      <protection locked="false" hidden="false"/>
    </xf>
    <xf numFmtId="166" fontId="17" fillId="0" borderId="1" xfId="0" applyFont="true" applyBorder="true" applyAlignment="true" applyProtection="true">
      <alignment horizontal="right" vertical="center" textRotation="0" wrapText="false" indent="0" shrinkToFit="false"/>
      <protection locked="false" hidden="false"/>
    </xf>
    <xf numFmtId="167" fontId="17" fillId="10" borderId="1" xfId="0" applyFont="true" applyBorder="true" applyAlignment="true" applyProtection="true">
      <alignment horizontal="right" vertical="center" textRotation="0" wrapText="false" indent="0" shrinkToFit="false"/>
      <protection locked="false" hidden="false"/>
    </xf>
    <xf numFmtId="169" fontId="17" fillId="10" borderId="1" xfId="0" applyFont="true" applyBorder="true" applyAlignment="true" applyProtection="true">
      <alignment horizontal="right" vertical="center" textRotation="0" wrapText="false" indent="0" shrinkToFit="false"/>
      <protection locked="false" hidden="false"/>
    </xf>
    <xf numFmtId="167" fontId="21" fillId="0" borderId="1" xfId="0" applyFont="true" applyBorder="true" applyAlignment="true" applyProtection="true">
      <alignment horizontal="center" vertical="center" textRotation="0" wrapText="false" indent="1" shrinkToFit="false"/>
      <protection locked="false" hidden="false"/>
    </xf>
    <xf numFmtId="168" fontId="21" fillId="0" borderId="1" xfId="0" applyFont="true" applyBorder="true" applyAlignment="true" applyProtection="true">
      <alignment horizontal="center" vertical="center" textRotation="0" wrapText="false" indent="1" shrinkToFit="false"/>
      <protection locked="false" hidden="false"/>
    </xf>
    <xf numFmtId="165" fontId="21" fillId="0" borderId="1" xfId="0" applyFont="true" applyBorder="true" applyAlignment="true" applyProtection="true">
      <alignment horizontal="left" vertical="center" textRotation="0" wrapText="false" indent="1" shrinkToFit="false"/>
      <protection locked="false" hidden="false"/>
    </xf>
    <xf numFmtId="167" fontId="10" fillId="0" borderId="1" xfId="0" applyFont="true" applyBorder="true" applyAlignment="true" applyProtection="true">
      <alignment horizontal="center" vertical="center" textRotation="0" wrapText="false" indent="0" shrinkToFit="false"/>
      <protection locked="false" hidden="false"/>
    </xf>
    <xf numFmtId="164" fontId="16" fillId="0" borderId="1" xfId="0" applyFont="true" applyBorder="true" applyAlignment="true" applyProtection="true">
      <alignment horizontal="center" vertical="center" textRotation="0" wrapText="false" indent="0" shrinkToFit="false"/>
      <protection locked="false" hidden="false"/>
    </xf>
    <xf numFmtId="167" fontId="10" fillId="10" borderId="1" xfId="0" applyFont="true" applyBorder="true" applyAlignment="true" applyProtection="true">
      <alignment horizontal="center" vertical="center" textRotation="0" wrapText="false" indent="0" shrinkToFit="false"/>
      <protection locked="false" hidden="false"/>
    </xf>
    <xf numFmtId="164" fontId="16" fillId="10" borderId="1" xfId="0" applyFont="true" applyBorder="true" applyAlignment="true" applyProtection="true">
      <alignment horizontal="center" vertical="center" textRotation="0" wrapText="false" indent="0" shrinkToFit="false"/>
      <protection locked="false" hidden="false"/>
    </xf>
    <xf numFmtId="165" fontId="29" fillId="5" borderId="1" xfId="0" applyFont="true" applyBorder="true" applyAlignment="true" applyProtection="true">
      <alignment horizontal="left" vertical="center" textRotation="0" wrapText="false" indent="1" shrinkToFit="false"/>
      <protection locked="false" hidden="false"/>
    </xf>
    <xf numFmtId="167" fontId="18" fillId="0" borderId="0" xfId="0" applyFont="true" applyBorder="false" applyAlignment="true" applyProtection="true">
      <alignment horizontal="general" vertical="bottom" textRotation="0" wrapText="false" indent="0" shrinkToFit="false"/>
      <protection locked="false" hidden="false"/>
    </xf>
    <xf numFmtId="166" fontId="29" fillId="5" borderId="1" xfId="0" applyFont="true" applyBorder="true" applyAlignment="true" applyProtection="true">
      <alignment horizontal="right" vertical="center" textRotation="0" wrapText="false" indent="0" shrinkToFit="false"/>
      <protection locked="false" hidden="false"/>
    </xf>
    <xf numFmtId="166" fontId="21" fillId="6" borderId="1" xfId="0" applyFont="true" applyBorder="true" applyAlignment="true" applyProtection="true">
      <alignment horizontal="right" vertical="center" textRotation="0" wrapText="false" indent="0" shrinkToFit="false"/>
      <protection locked="false" hidden="false"/>
    </xf>
    <xf numFmtId="168" fontId="29" fillId="5" borderId="1" xfId="0" applyFont="true" applyBorder="true" applyAlignment="true" applyProtection="true">
      <alignment horizontal="right" vertical="center" textRotation="0" wrapText="false" indent="0" shrinkToFit="false"/>
      <protection locked="false" hidden="false"/>
    </xf>
    <xf numFmtId="167" fontId="34" fillId="3" borderId="1" xfId="0" applyFont="true" applyBorder="true" applyAlignment="true" applyProtection="true">
      <alignment horizontal="right" vertical="center" textRotation="0" wrapText="false" indent="0" shrinkToFit="false"/>
      <protection locked="false" hidden="false"/>
    </xf>
    <xf numFmtId="164" fontId="54" fillId="0" borderId="0" xfId="0" applyFont="true" applyBorder="false" applyAlignment="true" applyProtection="true">
      <alignment horizontal="general" vertical="bottom" textRotation="0" wrapText="false" indent="0" shrinkToFit="false"/>
      <protection locked="fals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1">
    <dxf>
      <font>
        <name val="Arial"/>
        <charset val="1"/>
        <family val="0"/>
        <b val="1"/>
        <color rgb="FF006100"/>
        <sz val="8"/>
      </font>
      <fill>
        <patternFill>
          <bgColor rgb="FFC6EFCE"/>
        </patternFill>
      </fill>
    </dxf>
    <dxf>
      <font>
        <name val="Arial"/>
        <charset val="1"/>
        <family val="0"/>
        <b val="1"/>
        <color rgb="FF9C5700"/>
        <sz val="8"/>
      </font>
      <fill>
        <patternFill>
          <bgColor rgb="FFFFEB9C"/>
        </patternFill>
      </fill>
    </dxf>
    <dxf>
      <font>
        <name val="Arial"/>
        <charset val="1"/>
        <family val="0"/>
        <b val="1"/>
        <color rgb="FF9C0006"/>
        <sz val="8"/>
      </font>
      <fill>
        <patternFill>
          <bgColor rgb="FFFFC7CE"/>
        </patternFill>
      </fill>
    </dxf>
    <dxf>
      <fill>
        <patternFill patternType="solid">
          <fgColor rgb="FF13315C"/>
          <bgColor rgb="FF000000"/>
        </patternFill>
      </fill>
    </dxf>
    <dxf>
      <fill>
        <patternFill patternType="solid">
          <fgColor rgb="FFF7F9FC"/>
          <bgColor rgb="FF000000"/>
        </patternFill>
      </fill>
    </dxf>
    <dxf>
      <fill>
        <patternFill patternType="solid">
          <fgColor rgb="FFFFF7DC"/>
          <bgColor rgb="FF000000"/>
        </patternFill>
      </fill>
    </dxf>
    <dxf>
      <fill>
        <patternFill patternType="solid">
          <fgColor rgb="FFFFFFFF"/>
          <bgColor rgb="FF000000"/>
        </patternFill>
      </fill>
    </dxf>
    <dxf>
      <fill>
        <patternFill patternType="solid">
          <fgColor rgb="FF000000"/>
          <bgColor rgb="FF000000"/>
        </patternFill>
      </fill>
    </dxf>
    <dxf>
      <fill>
        <patternFill patternType="solid">
          <fgColor rgb="FFE8F1FB"/>
          <bgColor rgb="FF000000"/>
        </patternFill>
      </fill>
    </dxf>
    <dxf>
      <fill>
        <patternFill patternType="solid">
          <fgColor rgb="FF0000FF"/>
          <bgColor rgb="FF000000"/>
        </patternFill>
      </fill>
    </dxf>
    <dxf>
      <fill>
        <patternFill patternType="solid">
          <fgColor rgb="FF0E6B6B"/>
          <bgColor rgb="FF000000"/>
        </patternFill>
      </fill>
    </dxf>
    <dxf>
      <fill>
        <patternFill patternType="solid">
          <bgColor rgb="FF000000"/>
        </patternFill>
      </fill>
    </dxf>
    <dxf>
      <fill>
        <patternFill patternType="solid">
          <fgColor rgb="FF008000"/>
          <bgColor rgb="FF000000"/>
        </patternFill>
      </fill>
    </dxf>
    <dxf>
      <fill>
        <patternFill patternType="solid">
          <fgColor rgb="FFC6EFCE"/>
          <bgColor rgb="FF000000"/>
        </patternFill>
      </fill>
    </dxf>
    <dxf>
      <fill>
        <patternFill patternType="solid">
          <fgColor rgb="FFFFC7CE"/>
          <bgColor rgb="FF000000"/>
        </patternFill>
      </fill>
    </dxf>
    <dxf>
      <fill>
        <patternFill patternType="solid">
          <fgColor rgb="FFFFEB9C"/>
          <bgColor rgb="FF000000"/>
        </patternFill>
      </fill>
    </dxf>
    <dxf>
      <fill>
        <patternFill patternType="solid">
          <fgColor rgb="FF006100"/>
          <bgColor rgb="FF000000"/>
        </patternFill>
      </fill>
    </dxf>
    <dxf>
      <fill>
        <patternFill patternType="solid">
          <fgColor rgb="FF9C0006"/>
          <bgColor rgb="FF000000"/>
        </patternFill>
      </fill>
    </dxf>
    <dxf>
      <fill>
        <patternFill patternType="solid">
          <fgColor rgb="FF9C5700"/>
          <bgColor rgb="FF000000"/>
        </patternFill>
      </fill>
    </dxf>
    <dxf>
      <fill>
        <patternFill patternType="solid">
          <fgColor rgb="FF5A6774"/>
          <bgColor rgb="FF000000"/>
        </patternFill>
      </fill>
    </dxf>
    <dxf>
      <fill>
        <patternFill>
          <bgColor rgb="FFFFF7DC"/>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E6B6B"/>
      <rgbColor rgb="FFBFBFBF"/>
      <rgbColor rgb="FF808080"/>
      <rgbColor rgb="FFAAB7C4"/>
      <rgbColor rgb="FFC62828"/>
      <rgbColor rgb="FFFFF7DC"/>
      <rgbColor rgb="FFE8F1FB"/>
      <rgbColor rgb="FF660066"/>
      <rgbColor rgb="FFFF8080"/>
      <rgbColor rgb="FF1F77B4"/>
      <rgbColor rgb="FFD9D9D9"/>
      <rgbColor rgb="FF000080"/>
      <rgbColor rgb="FFFF00FF"/>
      <rgbColor rgb="FFFFFF00"/>
      <rgbColor rgb="FF00FFFF"/>
      <rgbColor rgb="FF800080"/>
      <rgbColor rgb="FF800000"/>
      <rgbColor rgb="FF1B98E0"/>
      <rgbColor rgb="FF0000FF"/>
      <rgbColor rgb="FF00CCFF"/>
      <rgbColor rgb="FFEEF2F7"/>
      <rgbColor rgb="FFC6EFCE"/>
      <rgbColor rgb="FFFFEB9C"/>
      <rgbColor rgb="FF9DB8D2"/>
      <rgbColor rgb="FFF7F9FC"/>
      <rgbColor rgb="FFB0BEC5"/>
      <rgbColor rgb="FFFFC7CE"/>
      <rgbColor rgb="FF3366FF"/>
      <rgbColor rgb="FF5FA8D3"/>
      <rgbColor rgb="FF99CC00"/>
      <rgbColor rgb="FFFFCC00"/>
      <rgbColor rgb="FFC9A227"/>
      <rgbColor rgb="FFFF6600"/>
      <rgbColor rgb="FF5A6774"/>
      <rgbColor rgb="FF878787"/>
      <rgbColor rgb="FF13315C"/>
      <rgbColor rgb="FF2E7D32"/>
      <rgbColor rgb="FF006100"/>
      <rgbColor rgb="FF1B4965"/>
      <rgbColor rgb="FF9C5700"/>
      <rgbColor rgb="FF993366"/>
      <rgbColor rgb="FF1F4E79"/>
      <rgbColor rgb="FF0B2545"/>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S-Curve — Cumulative Planned Value, Earned Value &amp; Cost Incurred (SAR)</a:t>
            </a:r>
          </a:p>
        </c:rich>
      </c:tx>
      <c:overlay val="0"/>
      <c:spPr>
        <a:noFill/>
        <a:ln w="0">
          <a:noFill/>
        </a:ln>
      </c:spPr>
    </c:title>
    <c:autoTitleDeleted val="0"/>
    <c:plotArea>
      <c:lineChart>
        <c:grouping val="standard"/>
        <c:varyColors val="0"/>
        <c:ser>
          <c:idx val="0"/>
          <c:order val="0"/>
          <c:tx>
            <c:strRef>
              <c:f>Cumulative_Trend!D8</c:f>
              <c:strCache>
                <c:ptCount val="1"/>
                <c:pt idx="0">
                  <c:v>Cum PV —
Baseline (SAR)</c:v>
                </c:pt>
              </c:strCache>
            </c:strRef>
          </c:tx>
          <c:spPr>
            <a:solidFill>
              <a:srgbClr val="1f77b4"/>
            </a:solidFill>
            <a:ln w="21960">
              <a:solidFill>
                <a:srgbClr val="1f77b4"/>
              </a:solidFill>
              <a:round/>
            </a:ln>
          </c:spPr>
          <c:marker>
            <c:symbol val="none"/>
          </c:marker>
          <c:dLbls>
            <c:txPr>
              <a:bodyPr wrap="square"/>
              <a:lstStyle/>
              <a:p>
                <a:pPr>
                  <a:defRPr b="0" sz="1000" spc="-1" strike="noStrike">
                    <a:solidFill>
                      <a:srgbClr val="000000"/>
                    </a:solidFill>
                    <a:latin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Cumulative_Trend!$D$9:$D$32</c:f>
              <c:numCache>
                <c:formatCode>#,##0;\(#,##0\);\-</c:formatCode>
                <c:ptCount val="24"/>
                <c:pt idx="0">
                  <c:v>10700823</c:v>
                </c:pt>
                <c:pt idx="1">
                  <c:v>33605462</c:v>
                </c:pt>
                <c:pt idx="2">
                  <c:v>57149188</c:v>
                </c:pt>
                <c:pt idx="3">
                  <c:v>86817979</c:v>
                </c:pt>
                <c:pt idx="4">
                  <c:v>126214716</c:v>
                </c:pt>
                <c:pt idx="5">
                  <c:v>177971238</c:v>
                </c:pt>
                <c:pt idx="6">
                  <c:v>239857533</c:v>
                </c:pt>
                <c:pt idx="7">
                  <c:v>310097917</c:v>
                </c:pt>
                <c:pt idx="8">
                  <c:v>386378897</c:v>
                </c:pt>
                <c:pt idx="9">
                  <c:v>465743847</c:v>
                </c:pt>
                <c:pt idx="10">
                  <c:v>542424130</c:v>
                </c:pt>
                <c:pt idx="11">
                  <c:v>614236046</c:v>
                </c:pt>
                <c:pt idx="12">
                  <c:v>676477401</c:v>
                </c:pt>
                <c:pt idx="13">
                  <c:v>730052924</c:v>
                </c:pt>
                <c:pt idx="14">
                  <c:v>771549045</c:v>
                </c:pt>
                <c:pt idx="15">
                  <c:v>804705315</c:v>
                </c:pt>
                <c:pt idx="16">
                  <c:v>836349513</c:v>
                </c:pt>
                <c:pt idx="17">
                  <c:v>855103682</c:v>
                </c:pt>
                <c:pt idx="18">
                  <c:v>863355567</c:v>
                </c:pt>
                <c:pt idx="19">
                  <c:v>867966335</c:v>
                </c:pt>
                <c:pt idx="20">
                  <c:v>867966335</c:v>
                </c:pt>
                <c:pt idx="21">
                  <c:v>867966335</c:v>
                </c:pt>
                <c:pt idx="22">
                  <c:v>867966335</c:v>
                </c:pt>
                <c:pt idx="23">
                  <c:v>867966335</c:v>
                </c:pt>
              </c:numCache>
            </c:numRef>
          </c:val>
          <c:smooth val="0"/>
        </c:ser>
        <c:ser>
          <c:idx val="1"/>
          <c:order val="1"/>
          <c:tx>
            <c:strRef>
              <c:f>Cumulative_Trend!E8</c:f>
              <c:strCache>
                <c:ptCount val="1"/>
                <c:pt idx="0">
                  <c:v>Cum EV —
Actual / Fcst (SAR)</c:v>
                </c:pt>
              </c:strCache>
            </c:strRef>
          </c:tx>
          <c:spPr>
            <a:solidFill>
              <a:srgbClr val="2e7d32"/>
            </a:solidFill>
            <a:ln w="21960">
              <a:solidFill>
                <a:srgbClr val="2e7d32"/>
              </a:solidFill>
              <a:round/>
            </a:ln>
          </c:spPr>
          <c:marker>
            <c:symbol val="none"/>
          </c:marker>
          <c:dLbls>
            <c:txPr>
              <a:bodyPr wrap="square"/>
              <a:lstStyle/>
              <a:p>
                <a:pPr>
                  <a:defRPr b="0" sz="1000" spc="-1" strike="noStrike">
                    <a:solidFill>
                      <a:srgbClr val="000000"/>
                    </a:solidFill>
                    <a:latin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Cumulative_Trend!$E$9:$E$32</c:f>
              <c:numCache>
                <c:formatCode>#,##0;\(#,##0\);\-</c:formatCode>
                <c:ptCount val="24"/>
                <c:pt idx="0">
                  <c:v>10233150</c:v>
                </c:pt>
                <c:pt idx="1">
                  <c:v>32481408</c:v>
                </c:pt>
                <c:pt idx="2">
                  <c:v>54705539</c:v>
                </c:pt>
                <c:pt idx="3">
                  <c:v>82669605</c:v>
                </c:pt>
                <c:pt idx="4">
                  <c:v>120378483</c:v>
                </c:pt>
                <c:pt idx="5">
                  <c:v>170064745.962424</c:v>
                </c:pt>
                <c:pt idx="6">
                  <c:v>229475589.162424</c:v>
                </c:pt>
                <c:pt idx="7">
                  <c:v>296906357.802424</c:v>
                </c:pt>
                <c:pt idx="8">
                  <c:v>370136098.602424</c:v>
                </c:pt>
                <c:pt idx="9">
                  <c:v>446326450.602424</c:v>
                </c:pt>
                <c:pt idx="10">
                  <c:v>519939522.282424</c:v>
                </c:pt>
                <c:pt idx="11">
                  <c:v>588878961.642424</c:v>
                </c:pt>
                <c:pt idx="12">
                  <c:v>648630662.442424</c:v>
                </c:pt>
                <c:pt idx="13">
                  <c:v>700063164.522424</c:v>
                </c:pt>
                <c:pt idx="14">
                  <c:v>739899440.682424</c:v>
                </c:pt>
                <c:pt idx="15">
                  <c:v>771729459.882424</c:v>
                </c:pt>
                <c:pt idx="16">
                  <c:v>802107889.962424</c:v>
                </c:pt>
                <c:pt idx="17">
                  <c:v>820111892.202424</c:v>
                </c:pt>
                <c:pt idx="18">
                  <c:v>828033701.802424</c:v>
                </c:pt>
                <c:pt idx="19">
                  <c:v>832460039.082424</c:v>
                </c:pt>
                <c:pt idx="20">
                  <c:v>832460039.082424</c:v>
                </c:pt>
                <c:pt idx="21">
                  <c:v>832460039.082424</c:v>
                </c:pt>
                <c:pt idx="22">
                  <c:v>832460039.082424</c:v>
                </c:pt>
                <c:pt idx="23">
                  <c:v>832460039.082424</c:v>
                </c:pt>
              </c:numCache>
            </c:numRef>
          </c:val>
          <c:smooth val="0"/>
        </c:ser>
        <c:ser>
          <c:idx val="2"/>
          <c:order val="2"/>
          <c:tx>
            <c:strRef>
              <c:f>Cumulative_Trend!F8</c:f>
              <c:strCache>
                <c:ptCount val="1"/>
                <c:pt idx="0">
                  <c:v>Cum AC —
Actual / Fcst (SAR)</c:v>
                </c:pt>
              </c:strCache>
            </c:strRef>
          </c:tx>
          <c:spPr>
            <a:solidFill>
              <a:srgbClr val="c62828"/>
            </a:solidFill>
            <a:ln w="21960">
              <a:solidFill>
                <a:srgbClr val="c62828"/>
              </a:solidFill>
              <a:round/>
            </a:ln>
          </c:spPr>
          <c:marker>
            <c:symbol val="none"/>
          </c:marker>
          <c:dLbls>
            <c:txPr>
              <a:bodyPr wrap="square"/>
              <a:lstStyle/>
              <a:p>
                <a:pPr>
                  <a:defRPr b="0" sz="1000" spc="-1" strike="noStrike">
                    <a:solidFill>
                      <a:srgbClr val="000000"/>
                    </a:solidFill>
                    <a:latin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Cumulative_Trend!$F$9:$F$32</c:f>
              <c:numCache>
                <c:formatCode>#,##0;\(#,##0\);\-</c:formatCode>
                <c:ptCount val="24"/>
                <c:pt idx="0">
                  <c:v>10552288</c:v>
                </c:pt>
                <c:pt idx="1">
                  <c:v>33037775</c:v>
                </c:pt>
                <c:pt idx="2">
                  <c:v>55875173</c:v>
                </c:pt>
                <c:pt idx="3">
                  <c:v>84567705</c:v>
                </c:pt>
                <c:pt idx="4">
                  <c:v>122819465</c:v>
                </c:pt>
                <c:pt idx="5">
                  <c:v>174846963.893638</c:v>
                </c:pt>
                <c:pt idx="6">
                  <c:v>237057270.909345</c:v>
                </c:pt>
                <c:pt idx="7">
                  <c:v>307665405.610915</c:v>
                </c:pt>
                <c:pt idx="8">
                  <c:v>384345762.469554</c:v>
                </c:pt>
                <c:pt idx="9">
                  <c:v>464126235.767983</c:v>
                </c:pt>
                <c:pt idx="10">
                  <c:v>541207986.218245</c:v>
                </c:pt>
                <c:pt idx="11">
                  <c:v>613395880.836046</c:v>
                </c:pt>
                <c:pt idx="12">
                  <c:v>675963106.804633</c:v>
                </c:pt>
                <c:pt idx="13">
                  <c:v>729819129.925051</c:v>
                </c:pt>
                <c:pt idx="14">
                  <c:v>771532508.103062</c:v>
                </c:pt>
                <c:pt idx="15">
                  <c:v>804862371.139711</c:v>
                </c:pt>
                <c:pt idx="16">
                  <c:v>836672245.56903</c:v>
                </c:pt>
                <c:pt idx="17">
                  <c:v>855524603.935523</c:v>
                </c:pt>
                <c:pt idx="18">
                  <c:v>863819692.52191</c:v>
                </c:pt>
                <c:pt idx="19">
                  <c:v>868454600.668507</c:v>
                </c:pt>
                <c:pt idx="20">
                  <c:v>868454600.668507</c:v>
                </c:pt>
                <c:pt idx="21">
                  <c:v>868454600.668507</c:v>
                </c:pt>
                <c:pt idx="22">
                  <c:v>868454600.668507</c:v>
                </c:pt>
                <c:pt idx="23">
                  <c:v>868454600.668507</c:v>
                </c:pt>
              </c:numCache>
            </c:numRef>
          </c:val>
          <c:smooth val="0"/>
        </c:ser>
        <c:hiLowLines>
          <c:spPr>
            <a:ln w="0">
              <a:noFill/>
            </a:ln>
          </c:spPr>
        </c:hiLowLines>
        <c:marker val="0"/>
        <c:axId val="2518698"/>
        <c:axId val="35292428"/>
      </c:lineChart>
      <c:catAx>
        <c:axId val="2518698"/>
        <c:scaling>
          <c:orientation val="minMax"/>
        </c:scaling>
        <c:delete val="0"/>
        <c:axPos val="b"/>
        <c:title>
          <c:tx>
            <c:rich>
              <a:bodyPr rot="0"/>
              <a:lstStyle/>
              <a:p>
                <a:pPr>
                  <a:defRPr b="1" sz="1000" spc="-1" strike="noStrike">
                    <a:solidFill>
                      <a:srgbClr val="000000"/>
                    </a:solidFill>
                    <a:latin typeface="Calibri"/>
                  </a:defRPr>
                </a:pPr>
                <a:r>
                  <a:rPr b="1" sz="1000" spc="-1" strike="noStrike">
                    <a:solidFill>
                      <a:srgbClr val="000000"/>
                    </a:solidFill>
                    <a:latin typeface="Calibri"/>
                  </a:rPr>
                  <a:t>Reporting Period</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35292428"/>
        <c:crosses val="autoZero"/>
        <c:auto val="1"/>
        <c:lblAlgn val="ctr"/>
        <c:lblOffset val="100"/>
        <c:noMultiLvlLbl val="0"/>
      </c:catAx>
      <c:valAx>
        <c:axId val="35292428"/>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defRPr>
                </a:pPr>
                <a:r>
                  <a:rPr b="1" sz="1000" spc="-1" strike="noStrike">
                    <a:solidFill>
                      <a:srgbClr val="000000"/>
                    </a:solidFill>
                    <a:latin typeface="Calibri"/>
                  </a:rPr>
                  <a:t>Cumulative SAR</a:t>
                </a:r>
              </a:p>
            </c:rich>
          </c:tx>
          <c:overlay val="0"/>
          <c:spPr>
            <a:noFill/>
            <a:ln w="0">
              <a:noFill/>
            </a:ln>
          </c:spPr>
        </c:title>
        <c:numFmt formatCode="#,##0,,\m"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518698"/>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Cumulative SPI &amp; CPI — Actual to Data Date, Forecast Thereafter</a:t>
            </a:r>
          </a:p>
        </c:rich>
      </c:tx>
      <c:overlay val="0"/>
      <c:spPr>
        <a:noFill/>
        <a:ln w="0">
          <a:noFill/>
        </a:ln>
      </c:spPr>
    </c:title>
    <c:autoTitleDeleted val="0"/>
    <c:plotArea>
      <c:lineChart>
        <c:grouping val="standard"/>
        <c:varyColors val="0"/>
        <c:ser>
          <c:idx val="0"/>
          <c:order val="0"/>
          <c:tx>
            <c:strRef>
              <c:f>Cumulative_Trend!K8</c:f>
              <c:strCache>
                <c:ptCount val="1"/>
                <c:pt idx="0">
                  <c:v>Cum
SPI</c:v>
                </c:pt>
              </c:strCache>
            </c:strRef>
          </c:tx>
          <c:spPr>
            <a:solidFill>
              <a:srgbClr val="1b98e0"/>
            </a:solidFill>
            <a:ln w="21960">
              <a:solidFill>
                <a:srgbClr val="1b98e0"/>
              </a:solidFill>
              <a:round/>
            </a:ln>
          </c:spPr>
          <c:marker>
            <c:symbol val="none"/>
          </c:marker>
          <c:dLbls>
            <c:txPr>
              <a:bodyPr wrap="square"/>
              <a:lstStyle/>
              <a:p>
                <a:pPr>
                  <a:defRPr b="0" sz="1000" spc="-1" strike="noStrike">
                    <a:solidFill>
                      <a:srgbClr val="000000"/>
                    </a:solidFill>
                    <a:latin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Cumulative_Trend!$K$9:$K$32</c:f>
              <c:numCache>
                <c:formatCode>0.000</c:formatCode>
                <c:ptCount val="24"/>
                <c:pt idx="0">
                  <c:v>0.956295604553033</c:v>
                </c:pt>
                <c:pt idx="1">
                  <c:v>0.966551449285238</c:v>
                </c:pt>
                <c:pt idx="2">
                  <c:v>0.957240879782929</c:v>
                </c:pt>
                <c:pt idx="3">
                  <c:v>0.952217570049632</c:v>
                </c:pt>
                <c:pt idx="4">
                  <c:v>0.953759488711285</c:v>
                </c:pt>
                <c:pt idx="5">
                  <c:v>0.955574326916937</c:v>
                </c:pt>
                <c:pt idx="6">
                  <c:v>0.956716206876121</c:v>
                </c:pt>
                <c:pt idx="7">
                  <c:v>0.957460019966609</c:v>
                </c:pt>
                <c:pt idx="8">
                  <c:v>0.957961476354709</c:v>
                </c:pt>
                <c:pt idx="9">
                  <c:v>0.958308850406399</c:v>
                </c:pt>
                <c:pt idx="10">
                  <c:v>0.95854792131468</c:v>
                </c:pt>
                <c:pt idx="11">
                  <c:v>0.958717687568639</c:v>
                </c:pt>
                <c:pt idx="12">
                  <c:v>0.958835670613074</c:v>
                </c:pt>
                <c:pt idx="13">
                  <c:v>0.958921115864778</c:v>
                </c:pt>
                <c:pt idx="14">
                  <c:v>0.958979141348589</c:v>
                </c:pt>
                <c:pt idx="15">
                  <c:v>0.959021203783678</c:v>
                </c:pt>
                <c:pt idx="16">
                  <c:v>0.959058237608401</c:v>
                </c:pt>
                <c:pt idx="17">
                  <c:v>0.959078892379771</c:v>
                </c:pt>
                <c:pt idx="18">
                  <c:v>0.95908769625438</c:v>
                </c:pt>
                <c:pt idx="19">
                  <c:v>0.959092542549388</c:v>
                </c:pt>
                <c:pt idx="20">
                  <c:v>0.959092542549388</c:v>
                </c:pt>
                <c:pt idx="21">
                  <c:v>0.959092542549388</c:v>
                </c:pt>
                <c:pt idx="22">
                  <c:v>0.959092542549388</c:v>
                </c:pt>
                <c:pt idx="23">
                  <c:v>0.959092542549388</c:v>
                </c:pt>
              </c:numCache>
            </c:numRef>
          </c:val>
          <c:smooth val="0"/>
        </c:ser>
        <c:ser>
          <c:idx val="1"/>
          <c:order val="1"/>
          <c:tx>
            <c:strRef>
              <c:f>Cumulative_Trend!N8</c:f>
              <c:strCache>
                <c:ptCount val="1"/>
                <c:pt idx="0">
                  <c:v>Cum
CPI</c:v>
                </c:pt>
              </c:strCache>
            </c:strRef>
          </c:tx>
          <c:spPr>
            <a:solidFill>
              <a:srgbClr val="c9a227"/>
            </a:solidFill>
            <a:ln w="21960">
              <a:solidFill>
                <a:srgbClr val="c9a227"/>
              </a:solidFill>
              <a:round/>
            </a:ln>
          </c:spPr>
          <c:marker>
            <c:symbol val="none"/>
          </c:marker>
          <c:dLbls>
            <c:txPr>
              <a:bodyPr wrap="square"/>
              <a:lstStyle/>
              <a:p>
                <a:pPr>
                  <a:defRPr b="0" sz="1000" spc="-1" strike="noStrike">
                    <a:solidFill>
                      <a:srgbClr val="000000"/>
                    </a:solidFill>
                    <a:latin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Cumulative_Trend!$N$9:$N$32</c:f>
              <c:numCache>
                <c:formatCode>0.000</c:formatCode>
                <c:ptCount val="24"/>
                <c:pt idx="0">
                  <c:v>0.969756511573604</c:v>
                </c:pt>
                <c:pt idx="1">
                  <c:v>0.983159671012954</c:v>
                </c:pt>
                <c:pt idx="2">
                  <c:v>0.979067017832768</c:v>
                </c:pt>
                <c:pt idx="3">
                  <c:v>0.977555261786991</c:v>
                </c:pt>
                <c:pt idx="4">
                  <c:v>0.980125446727846</c:v>
                </c:pt>
                <c:pt idx="5">
                  <c:v>0.972649122268301</c:v>
                </c:pt>
                <c:pt idx="6">
                  <c:v>0.968017510208241</c:v>
                </c:pt>
                <c:pt idx="7">
                  <c:v>0.965030037136845</c:v>
                </c:pt>
                <c:pt idx="8">
                  <c:v>0.963028956594115</c:v>
                </c:pt>
                <c:pt idx="9">
                  <c:v>0.961648827853685</c:v>
                </c:pt>
                <c:pt idx="10">
                  <c:v>0.960701866052575</c:v>
                </c:pt>
                <c:pt idx="11">
                  <c:v>0.960030838224401</c:v>
                </c:pt>
                <c:pt idx="12">
                  <c:v>0.959565183236978</c:v>
                </c:pt>
                <c:pt idx="13">
                  <c:v>0.959228301667451</c:v>
                </c:pt>
                <c:pt idx="14">
                  <c:v>0.958999695944876</c:v>
                </c:pt>
                <c:pt idx="15">
                  <c:v>0.958834065990227</c:v>
                </c:pt>
                <c:pt idx="16">
                  <c:v>0.958688296654207</c:v>
                </c:pt>
                <c:pt idx="17">
                  <c:v>0.958607021270697</c:v>
                </c:pt>
                <c:pt idx="18">
                  <c:v>0.958572383763319</c:v>
                </c:pt>
                <c:pt idx="19">
                  <c:v>0.958553318091268</c:v>
                </c:pt>
                <c:pt idx="20">
                  <c:v>0.958553318091268</c:v>
                </c:pt>
                <c:pt idx="21">
                  <c:v>0.958553318091268</c:v>
                </c:pt>
                <c:pt idx="22">
                  <c:v>0.958553318091268</c:v>
                </c:pt>
                <c:pt idx="23">
                  <c:v>0.958553318091268</c:v>
                </c:pt>
              </c:numCache>
            </c:numRef>
          </c:val>
          <c:smooth val="0"/>
        </c:ser>
        <c:hiLowLines>
          <c:spPr>
            <a:ln w="0">
              <a:noFill/>
            </a:ln>
          </c:spPr>
        </c:hiLowLines>
        <c:marker val="0"/>
        <c:axId val="25578355"/>
        <c:axId val="84400714"/>
      </c:lineChart>
      <c:catAx>
        <c:axId val="25578355"/>
        <c:scaling>
          <c:orientation val="minMax"/>
        </c:scaling>
        <c:delete val="0"/>
        <c:axPos val="b"/>
        <c:title>
          <c:tx>
            <c:rich>
              <a:bodyPr rot="0"/>
              <a:lstStyle/>
              <a:p>
                <a:pPr>
                  <a:defRPr b="1" sz="1000" spc="-1" strike="noStrike">
                    <a:solidFill>
                      <a:srgbClr val="000000"/>
                    </a:solidFill>
                    <a:latin typeface="Calibri"/>
                  </a:defRPr>
                </a:pPr>
                <a:r>
                  <a:rPr b="1" sz="1000" spc="-1" strike="noStrike">
                    <a:solidFill>
                      <a:srgbClr val="000000"/>
                    </a:solidFill>
                    <a:latin typeface="Calibri"/>
                  </a:rPr>
                  <a:t>Reporting Period</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4400714"/>
        <c:crosses val="autoZero"/>
        <c:auto val="1"/>
        <c:lblAlgn val="ctr"/>
        <c:lblOffset val="100"/>
        <c:noMultiLvlLbl val="0"/>
      </c:catAx>
      <c:valAx>
        <c:axId val="84400714"/>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defRPr>
                </a:pPr>
                <a:r>
                  <a:rPr b="1" sz="1000" spc="-1" strike="noStrike">
                    <a:solidFill>
                      <a:srgbClr val="000000"/>
                    </a:solidFill>
                    <a:latin typeface="Calibri"/>
                  </a:rPr>
                  <a:t>Index</a:t>
                </a:r>
              </a:p>
            </c:rich>
          </c:tx>
          <c:overlay val="0"/>
          <c:spPr>
            <a:noFill/>
            <a:ln w="0">
              <a:noFill/>
            </a:ln>
          </c:spPr>
        </c:title>
        <c:numFmt formatCode="0.00"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5578355"/>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Monthly Planned Value, Earned Value &amp; Cost Incurred (SAR)</a:t>
            </a:r>
          </a:p>
        </c:rich>
      </c:tx>
      <c:overlay val="0"/>
      <c:spPr>
        <a:noFill/>
        <a:ln w="0">
          <a:noFill/>
        </a:ln>
      </c:spPr>
    </c:title>
    <c:autoTitleDeleted val="0"/>
    <c:plotArea>
      <c:barChart>
        <c:barDir val="col"/>
        <c:grouping val="clustered"/>
        <c:varyColors val="0"/>
        <c:ser>
          <c:idx val="0"/>
          <c:order val="0"/>
          <c:tx>
            <c:strRef>
              <c:f>Cumulative_Trend!O8</c:f>
              <c:strCache>
                <c:ptCount val="1"/>
                <c:pt idx="0">
                  <c:v>Monthly PV
(SAR)</c:v>
                </c:pt>
              </c:strCache>
            </c:strRef>
          </c:tx>
          <c:spPr>
            <a:solidFill>
              <a:srgbClr val="9db8d2"/>
            </a:solidFill>
            <a:ln w="0">
              <a:solidFill>
                <a:srgbClr val="9db8d2"/>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Cumulative_Trend!$O$9:$O$32</c:f>
              <c:numCache>
                <c:formatCode>#,##0;\(#,##0\);\-</c:formatCode>
                <c:ptCount val="24"/>
                <c:pt idx="0">
                  <c:v>10700823</c:v>
                </c:pt>
                <c:pt idx="1">
                  <c:v>22904639</c:v>
                </c:pt>
                <c:pt idx="2">
                  <c:v>23543726</c:v>
                </c:pt>
                <c:pt idx="3">
                  <c:v>29668791</c:v>
                </c:pt>
                <c:pt idx="4">
                  <c:v>39396737</c:v>
                </c:pt>
                <c:pt idx="5">
                  <c:v>51756522</c:v>
                </c:pt>
                <c:pt idx="6">
                  <c:v>61886295</c:v>
                </c:pt>
                <c:pt idx="7">
                  <c:v>70240384</c:v>
                </c:pt>
                <c:pt idx="8">
                  <c:v>76280980</c:v>
                </c:pt>
                <c:pt idx="9">
                  <c:v>79364950</c:v>
                </c:pt>
                <c:pt idx="10">
                  <c:v>76680283</c:v>
                </c:pt>
                <c:pt idx="11">
                  <c:v>71811916</c:v>
                </c:pt>
                <c:pt idx="12">
                  <c:v>62241355</c:v>
                </c:pt>
                <c:pt idx="13">
                  <c:v>53575523</c:v>
                </c:pt>
                <c:pt idx="14">
                  <c:v>41496121</c:v>
                </c:pt>
                <c:pt idx="15">
                  <c:v>33156270</c:v>
                </c:pt>
                <c:pt idx="16">
                  <c:v>31644198</c:v>
                </c:pt>
                <c:pt idx="17">
                  <c:v>18754169</c:v>
                </c:pt>
                <c:pt idx="18">
                  <c:v>8251885</c:v>
                </c:pt>
                <c:pt idx="19">
                  <c:v>4610768</c:v>
                </c:pt>
                <c:pt idx="20">
                  <c:v>0</c:v>
                </c:pt>
                <c:pt idx="21">
                  <c:v>0</c:v>
                </c:pt>
                <c:pt idx="22">
                  <c:v>0</c:v>
                </c:pt>
                <c:pt idx="23">
                  <c:v>0</c:v>
                </c:pt>
              </c:numCache>
            </c:numRef>
          </c:val>
        </c:ser>
        <c:ser>
          <c:idx val="1"/>
          <c:order val="1"/>
          <c:tx>
            <c:strRef>
              <c:f>Cumulative_Trend!P8</c:f>
              <c:strCache>
                <c:ptCount val="1"/>
                <c:pt idx="0">
                  <c:v>Monthly EV
(SAR)</c:v>
                </c:pt>
              </c:strCache>
            </c:strRef>
          </c:tx>
          <c:spPr>
            <a:solidFill>
              <a:srgbClr val="2e7d32"/>
            </a:solidFill>
            <a:ln w="0">
              <a:solidFill>
                <a:srgbClr val="2e7d32"/>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Cumulative_Trend!$P$9:$P$32</c:f>
              <c:numCache>
                <c:formatCode>#,##0;\(#,##0\);\-</c:formatCode>
                <c:ptCount val="24"/>
                <c:pt idx="0">
                  <c:v>10233150</c:v>
                </c:pt>
                <c:pt idx="1">
                  <c:v>22248258</c:v>
                </c:pt>
                <c:pt idx="2">
                  <c:v>22224131</c:v>
                </c:pt>
                <c:pt idx="3">
                  <c:v>27964066</c:v>
                </c:pt>
                <c:pt idx="4">
                  <c:v>37708878</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ser>
          <c:idx val="2"/>
          <c:order val="2"/>
          <c:tx>
            <c:strRef>
              <c:f>Cumulative_Trend!Q8</c:f>
              <c:strCache>
                <c:ptCount val="1"/>
                <c:pt idx="0">
                  <c:v>Monthly AC
(SAR)</c:v>
                </c:pt>
              </c:strCache>
            </c:strRef>
          </c:tx>
          <c:spPr>
            <a:solidFill>
              <a:srgbClr val="c62828"/>
            </a:solidFill>
            <a:ln w="0">
              <a:solidFill>
                <a:srgbClr val="c62828"/>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Cumulative_Trend!$B$9:$B$32</c:f>
              <c:strCache>
                <c:ptCount val="24"/>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pt idx="18">
                  <c:v>Oct-27</c:v>
                </c:pt>
                <c:pt idx="19">
                  <c:v>Nov-27</c:v>
                </c:pt>
                <c:pt idx="20">
                  <c:v>Dec-27</c:v>
                </c:pt>
                <c:pt idx="21">
                  <c:v>Jan-28</c:v>
                </c:pt>
                <c:pt idx="22">
                  <c:v>Feb-28</c:v>
                </c:pt>
                <c:pt idx="23">
                  <c:v>Mar-28</c:v>
                </c:pt>
              </c:strCache>
            </c:strRef>
          </c:cat>
          <c:val>
            <c:numRef>
              <c:f>Cumulative_Trend!$Q$9:$Q$32</c:f>
              <c:numCache>
                <c:formatCode>#,##0;\(#,##0\);\-</c:formatCode>
                <c:ptCount val="24"/>
                <c:pt idx="0">
                  <c:v>10552288</c:v>
                </c:pt>
                <c:pt idx="1">
                  <c:v>22485487</c:v>
                </c:pt>
                <c:pt idx="2">
                  <c:v>22837398</c:v>
                </c:pt>
                <c:pt idx="3">
                  <c:v>28692532</c:v>
                </c:pt>
                <c:pt idx="4">
                  <c:v>38251760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gapWidth val="60"/>
        <c:overlap val="0"/>
        <c:axId val="16029141"/>
        <c:axId val="24262220"/>
      </c:barChart>
      <c:catAx>
        <c:axId val="16029141"/>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4262220"/>
        <c:crosses val="autoZero"/>
        <c:auto val="1"/>
        <c:lblAlgn val="ctr"/>
        <c:lblOffset val="100"/>
        <c:noMultiLvlLbl val="0"/>
      </c:catAx>
      <c:valAx>
        <c:axId val="24262220"/>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defRPr>
                </a:pPr>
                <a:r>
                  <a:rPr b="1" sz="1000" spc="-1" strike="noStrike">
                    <a:solidFill>
                      <a:srgbClr val="000000"/>
                    </a:solidFill>
                    <a:latin typeface="Calibri"/>
                  </a:rPr>
                  <a:t>SAR per month</a:t>
                </a:r>
              </a:p>
            </c:rich>
          </c:tx>
          <c:overlay val="0"/>
          <c:spPr>
            <a:noFill/>
            <a:ln w="0">
              <a:noFill/>
            </a:ln>
          </c:spPr>
        </c:title>
        <c:numFmt formatCode="#,##0,,\m"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16029141"/>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Development Cost Category — Budget vs Committed vs Incurred (SAR)</a:t>
            </a:r>
          </a:p>
        </c:rich>
      </c:tx>
      <c:overlay val="0"/>
      <c:spPr>
        <a:noFill/>
        <a:ln w="0">
          <a:noFill/>
        </a:ln>
      </c:spPr>
    </c:title>
    <c:autoTitleDeleted val="0"/>
    <c:plotArea>
      <c:barChart>
        <c:barDir val="bar"/>
        <c:grouping val="clustered"/>
        <c:varyColors val="0"/>
        <c:ser>
          <c:idx val="0"/>
          <c:order val="0"/>
          <c:tx>
            <c:strRef>
              <c:f>Cost_Financials!F47</c:f>
              <c:strCache>
                <c:ptCount val="1"/>
                <c:pt idx="0">
                  <c:v>Revised
Budget (SAR)</c:v>
                </c:pt>
              </c:strCache>
            </c:strRef>
          </c:tx>
          <c:spPr>
            <a:solidFill>
              <a:srgbClr val="b0bec5"/>
            </a:solidFill>
            <a:ln w="0">
              <a:solidFill>
                <a:srgbClr val="b0bec5"/>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Cost_Financials!$A$48:$A$58</c:f>
              <c:strCache>
                <c:ptCount val="11"/>
                <c:pt idx="0">
                  <c:v>Enabling Works &amp; Site Establishment</c:v>
                </c:pt>
                <c:pt idx="1">
                  <c:v>Design &amp; Engineering Consultancy</c:v>
                </c:pt>
                <c:pt idx="2">
                  <c:v>Project Management Consultancy (PMC) Fees</c:v>
                </c:pt>
                <c:pt idx="3">
                  <c:v>Owner-Supplied Materials &amp; Direct Purchases</c:v>
                </c:pt>
                <c:pt idx="4">
                  <c:v>Main Works Contracts — Civil &amp; Structural</c:v>
                </c:pt>
                <c:pt idx="5">
                  <c:v>MEP &amp; Specialist Works Contracts</c:v>
                </c:pt>
                <c:pt idx="6">
                  <c:v>Infrastructure &amp; Utility Connections</c:v>
                </c:pt>
                <c:pt idx="7">
                  <c:v>Insurance, Bonds &amp; Statutory Fees</c:v>
                </c:pt>
                <c:pt idx="8">
                  <c:v>Owner Project Overheads &amp; Supervision</c:v>
                </c:pt>
                <c:pt idx="9">
                  <c:v>Package Contingency / Management Reserve</c:v>
                </c:pt>
                <c:pt idx="10">
                  <c:v>Approved Variation Works (linked to Variation_Orders)</c:v>
                </c:pt>
              </c:strCache>
            </c:strRef>
          </c:cat>
          <c:val>
            <c:numRef>
              <c:f>Cost_Financials!$F$48:$F$58</c:f>
              <c:numCache>
                <c:formatCode>#,##0;\(#,##0\);\-</c:formatCode>
                <c:ptCount val="11"/>
                <c:pt idx="0">
                  <c:v>59913061</c:v>
                </c:pt>
                <c:pt idx="1">
                  <c:v>53065853</c:v>
                </c:pt>
                <c:pt idx="2">
                  <c:v>42795044</c:v>
                </c:pt>
                <c:pt idx="3">
                  <c:v>64192564</c:v>
                </c:pt>
                <c:pt idx="4">
                  <c:v>359478362</c:v>
                </c:pt>
                <c:pt idx="5">
                  <c:v>171180172</c:v>
                </c:pt>
                <c:pt idx="6">
                  <c:v>38515540</c:v>
                </c:pt>
                <c:pt idx="7">
                  <c:v>18829818</c:v>
                </c:pt>
                <c:pt idx="8">
                  <c:v>22253423</c:v>
                </c:pt>
                <c:pt idx="9">
                  <c:v>25677025</c:v>
                </c:pt>
                <c:pt idx="10">
                  <c:v>12065473</c:v>
                </c:pt>
              </c:numCache>
            </c:numRef>
          </c:val>
        </c:ser>
        <c:ser>
          <c:idx val="1"/>
          <c:order val="1"/>
          <c:tx>
            <c:strRef>
              <c:f>Cost_Financials!G47</c:f>
              <c:strCache>
                <c:ptCount val="1"/>
                <c:pt idx="0">
                  <c:v>Committed to
Contractors (SAR)</c:v>
                </c:pt>
              </c:strCache>
            </c:strRef>
          </c:tx>
          <c:spPr>
            <a:solidFill>
              <a:srgbClr val="1b98e0"/>
            </a:solidFill>
            <a:ln w="0">
              <a:solidFill>
                <a:srgbClr val="1b98e0"/>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Cost_Financials!$A$48:$A$58</c:f>
              <c:strCache>
                <c:ptCount val="11"/>
                <c:pt idx="0">
                  <c:v>Enabling Works &amp; Site Establishment</c:v>
                </c:pt>
                <c:pt idx="1">
                  <c:v>Design &amp; Engineering Consultancy</c:v>
                </c:pt>
                <c:pt idx="2">
                  <c:v>Project Management Consultancy (PMC) Fees</c:v>
                </c:pt>
                <c:pt idx="3">
                  <c:v>Owner-Supplied Materials &amp; Direct Purchases</c:v>
                </c:pt>
                <c:pt idx="4">
                  <c:v>Main Works Contracts — Civil &amp; Structural</c:v>
                </c:pt>
                <c:pt idx="5">
                  <c:v>MEP &amp; Specialist Works Contracts</c:v>
                </c:pt>
                <c:pt idx="6">
                  <c:v>Infrastructure &amp; Utility Connections</c:v>
                </c:pt>
                <c:pt idx="7">
                  <c:v>Insurance, Bonds &amp; Statutory Fees</c:v>
                </c:pt>
                <c:pt idx="8">
                  <c:v>Owner Project Overheads &amp; Supervision</c:v>
                </c:pt>
                <c:pt idx="9">
                  <c:v>Package Contingency / Management Reserve</c:v>
                </c:pt>
                <c:pt idx="10">
                  <c:v>Approved Variation Works (linked to Variation_Orders)</c:v>
                </c:pt>
              </c:strCache>
            </c:strRef>
          </c:cat>
          <c:val>
            <c:numRef>
              <c:f>Cost_Financials!$G$48:$G$58</c:f>
              <c:numCache>
                <c:formatCode>#,##0;\(#,##0\);\-</c:formatCode>
                <c:ptCount val="11"/>
                <c:pt idx="0">
                  <c:v>30026072</c:v>
                </c:pt>
                <c:pt idx="1">
                  <c:v>24020858</c:v>
                </c:pt>
                <c:pt idx="2">
                  <c:v>18015644</c:v>
                </c:pt>
                <c:pt idx="3">
                  <c:v>22019118</c:v>
                </c:pt>
                <c:pt idx="4">
                  <c:v>188163384</c:v>
                </c:pt>
                <c:pt idx="5">
                  <c:v>86074740</c:v>
                </c:pt>
                <c:pt idx="6">
                  <c:v>16013906</c:v>
                </c:pt>
                <c:pt idx="7">
                  <c:v>8006953</c:v>
                </c:pt>
                <c:pt idx="8">
                  <c:v>8006953</c:v>
                </c:pt>
                <c:pt idx="9">
                  <c:v>0</c:v>
                </c:pt>
                <c:pt idx="10">
                  <c:v>6636011</c:v>
                </c:pt>
              </c:numCache>
            </c:numRef>
          </c:val>
        </c:ser>
        <c:ser>
          <c:idx val="2"/>
          <c:order val="2"/>
          <c:tx>
            <c:strRef>
              <c:f>Cost_Financials!H47</c:f>
              <c:strCache>
                <c:ptCount val="1"/>
                <c:pt idx="0">
                  <c:v>Cost Incurred
to Date (SAR)</c:v>
                </c:pt>
              </c:strCache>
            </c:strRef>
          </c:tx>
          <c:spPr>
            <a:solidFill>
              <a:srgbClr val="0b2545"/>
            </a:solidFill>
            <a:ln w="0">
              <a:solidFill>
                <a:srgbClr val="0b2545"/>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Cost_Financials!$A$48:$A$58</c:f>
              <c:strCache>
                <c:ptCount val="11"/>
                <c:pt idx="0">
                  <c:v>Enabling Works &amp; Site Establishment</c:v>
                </c:pt>
                <c:pt idx="1">
                  <c:v>Design &amp; Engineering Consultancy</c:v>
                </c:pt>
                <c:pt idx="2">
                  <c:v>Project Management Consultancy (PMC) Fees</c:v>
                </c:pt>
                <c:pt idx="3">
                  <c:v>Owner-Supplied Materials &amp; Direct Purchases</c:v>
                </c:pt>
                <c:pt idx="4">
                  <c:v>Main Works Contracts — Civil &amp; Structural</c:v>
                </c:pt>
                <c:pt idx="5">
                  <c:v>MEP &amp; Specialist Works Contracts</c:v>
                </c:pt>
                <c:pt idx="6">
                  <c:v>Infrastructure &amp; Utility Connections</c:v>
                </c:pt>
                <c:pt idx="7">
                  <c:v>Insurance, Bonds &amp; Statutory Fees</c:v>
                </c:pt>
                <c:pt idx="8">
                  <c:v>Owner Project Overheads &amp; Supervision</c:v>
                </c:pt>
                <c:pt idx="9">
                  <c:v>Package Contingency / Management Reserve</c:v>
                </c:pt>
                <c:pt idx="10">
                  <c:v>Approved Variation Works (linked to Variation_Orders)</c:v>
                </c:pt>
              </c:strCache>
            </c:strRef>
          </c:cat>
          <c:val>
            <c:numRef>
              <c:f>Cost_Financials!$H$48:$H$58</c:f>
              <c:numCache>
                <c:formatCode>#,##0;\(#,##0\);\-</c:formatCode>
                <c:ptCount val="11"/>
                <c:pt idx="0">
                  <c:v>11850122</c:v>
                </c:pt>
                <c:pt idx="1">
                  <c:v>10072602</c:v>
                </c:pt>
                <c:pt idx="2">
                  <c:v>2607026</c:v>
                </c:pt>
                <c:pt idx="3">
                  <c:v>7347074</c:v>
                </c:pt>
                <c:pt idx="4">
                  <c:v>61620627</c:v>
                </c:pt>
                <c:pt idx="5">
                  <c:v>17775181</c:v>
                </c:pt>
                <c:pt idx="6">
                  <c:v>4503046</c:v>
                </c:pt>
                <c:pt idx="7">
                  <c:v>2607026</c:v>
                </c:pt>
                <c:pt idx="8">
                  <c:v>2725527</c:v>
                </c:pt>
                <c:pt idx="9">
                  <c:v>0</c:v>
                </c:pt>
                <c:pt idx="10">
                  <c:v>1711234</c:v>
                </c:pt>
              </c:numCache>
            </c:numRef>
          </c:val>
        </c:ser>
        <c:gapWidth val="50"/>
        <c:overlap val="0"/>
        <c:axId val="50066098"/>
        <c:axId val="91779671"/>
      </c:barChart>
      <c:catAx>
        <c:axId val="50066098"/>
        <c:scaling>
          <c:orientation val="minMax"/>
        </c:scaling>
        <c:delete val="0"/>
        <c:axPos val="b"/>
        <c:numFmt formatCode="#,##0,,\m"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91779671"/>
        <c:crosses val="autoZero"/>
        <c:auto val="1"/>
        <c:lblAlgn val="ctr"/>
        <c:lblOffset val="100"/>
        <c:noMultiLvlLbl val="0"/>
      </c:catAx>
      <c:valAx>
        <c:axId val="91779671"/>
        <c:scaling>
          <c:orientation val="minMax"/>
        </c:scaling>
        <c:delete val="0"/>
        <c:axPos val="l"/>
        <c:majorGridlines>
          <c:spPr>
            <a:ln w="9360">
              <a:solidFill>
                <a:srgbClr val="878787"/>
              </a:solidFill>
              <a:round/>
            </a:ln>
          </c:spPr>
        </c:majorGridlines>
        <c:numFmt formatCode="#,##0;\(#,##0\);\-"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50066098"/>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Portfolio — Control Budget vs Anticipated Final Cost (SAR)</a:t>
            </a:r>
          </a:p>
        </c:rich>
      </c:tx>
      <c:overlay val="0"/>
      <c:spPr>
        <a:noFill/>
        <a:ln w="0">
          <a:noFill/>
        </a:ln>
      </c:spPr>
    </c:title>
    <c:autoTitleDeleted val="0"/>
    <c:plotArea>
      <c:barChart>
        <c:barDir val="bar"/>
        <c:grouping val="clustered"/>
        <c:varyColors val="0"/>
        <c:ser>
          <c:idx val="0"/>
          <c:order val="0"/>
          <c:tx>
            <c:strRef>
              <c:f>Dashboard!E65</c:f>
              <c:strCache>
                <c:ptCount val="1"/>
                <c:pt idx="0">
                  <c:v>Control Budget
(SAR)</c:v>
                </c:pt>
              </c:strCache>
            </c:strRef>
          </c:tx>
          <c:spPr>
            <a:solidFill>
              <a:srgbClr val="9db8d2"/>
            </a:solidFill>
            <a:ln w="0">
              <a:solidFill>
                <a:srgbClr val="9db8d2"/>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Dashboard!$A$66:$A$69</c:f>
              <c:strCache>
                <c:ptCount val="4"/>
                <c:pt idx="0">
                  <c:v>Residential</c:v>
                </c:pt>
                <c:pt idx="1">
                  <c:v>Commercial</c:v>
                </c:pt>
                <c:pt idx="2">
                  <c:v>Mixed Use</c:v>
                </c:pt>
                <c:pt idx="3">
                  <c:v>Land Development</c:v>
                </c:pt>
              </c:strCache>
            </c:strRef>
          </c:cat>
          <c:val>
            <c:numRef>
              <c:f>Dashboard!$E$66:$E$69</c:f>
              <c:numCache>
                <c:formatCode>#,##0;\(#,##0\);\-</c:formatCode>
                <c:ptCount val="4"/>
                <c:pt idx="0">
                  <c:v>131285430</c:v>
                </c:pt>
                <c:pt idx="1">
                  <c:v>300501675</c:v>
                </c:pt>
                <c:pt idx="2">
                  <c:v>251643425</c:v>
                </c:pt>
                <c:pt idx="3">
                  <c:v>184535805</c:v>
                </c:pt>
              </c:numCache>
            </c:numRef>
          </c:val>
        </c:ser>
        <c:ser>
          <c:idx val="1"/>
          <c:order val="1"/>
          <c:tx>
            <c:strRef>
              <c:f>Dashboard!F65</c:f>
              <c:strCache>
                <c:ptCount val="1"/>
                <c:pt idx="0">
                  <c:v>Anticipated Final
Cost (SAR)</c:v>
                </c:pt>
              </c:strCache>
            </c:strRef>
          </c:tx>
          <c:spPr>
            <a:solidFill>
              <a:srgbClr val="0b2545"/>
            </a:solidFill>
            <a:ln w="0">
              <a:solidFill>
                <a:srgbClr val="0b2545"/>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Dashboard!$A$66:$A$69</c:f>
              <c:strCache>
                <c:ptCount val="4"/>
                <c:pt idx="0">
                  <c:v>Residential</c:v>
                </c:pt>
                <c:pt idx="1">
                  <c:v>Commercial</c:v>
                </c:pt>
                <c:pt idx="2">
                  <c:v>Mixed Use</c:v>
                </c:pt>
                <c:pt idx="3">
                  <c:v>Land Development</c:v>
                </c:pt>
              </c:strCache>
            </c:strRef>
          </c:cat>
          <c:val>
            <c:numRef>
              <c:f>Dashboard!$F$66:$F$69</c:f>
              <c:numCache>
                <c:formatCode>#,##0;\(#,##0\);\-</c:formatCode>
                <c:ptCount val="4"/>
                <c:pt idx="0">
                  <c:v>143089925.290764</c:v>
                </c:pt>
                <c:pt idx="1">
                  <c:v>300924618.3985</c:v>
                </c:pt>
                <c:pt idx="2">
                  <c:v>269792566.549354</c:v>
                </c:pt>
                <c:pt idx="3">
                  <c:v>181878648.147824</c:v>
                </c:pt>
              </c:numCache>
            </c:numRef>
          </c:val>
        </c:ser>
        <c:gapWidth val="50"/>
        <c:overlap val="0"/>
        <c:axId val="57725733"/>
        <c:axId val="29052104"/>
      </c:barChart>
      <c:catAx>
        <c:axId val="57725733"/>
        <c:scaling>
          <c:orientation val="minMax"/>
        </c:scaling>
        <c:delete val="0"/>
        <c:axPos val="b"/>
        <c:numFmt formatCode="#,##0,,\m"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9052104"/>
        <c:crosses val="autoZero"/>
        <c:auto val="1"/>
        <c:lblAlgn val="ctr"/>
        <c:lblOffset val="100"/>
        <c:noMultiLvlLbl val="0"/>
      </c:catAx>
      <c:valAx>
        <c:axId val="29052104"/>
        <c:scaling>
          <c:orientation val="minMax"/>
        </c:scaling>
        <c:delete val="0"/>
        <c:axPos val="l"/>
        <c:majorGridlines>
          <c:spPr>
            <a:ln w="9360">
              <a:solidFill>
                <a:srgbClr val="878787"/>
              </a:solidFill>
              <a:round/>
            </a:ln>
          </c:spPr>
        </c:majorGridlines>
        <c:numFmt formatCode="#,##0;\(#,##0\);\-"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57725733"/>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Project — Schedule and Cost Performance Index</a:t>
            </a:r>
          </a:p>
        </c:rich>
      </c:tx>
      <c:overlay val="0"/>
      <c:spPr>
        <a:noFill/>
        <a:ln w="0">
          <a:noFill/>
        </a:ln>
      </c:spPr>
    </c:title>
    <c:autoTitleDeleted val="0"/>
    <c:plotArea>
      <c:barChart>
        <c:barDir val="bar"/>
        <c:grouping val="clustered"/>
        <c:varyColors val="0"/>
        <c:ser>
          <c:idx val="0"/>
          <c:order val="0"/>
          <c:tx>
            <c:strRef>
              <c:f>Dashboard!G84</c:f>
              <c:strCache>
                <c:ptCount val="1"/>
                <c:pt idx="0">
                  <c:v>SPI</c:v>
                </c:pt>
              </c:strCache>
            </c:strRef>
          </c:tx>
          <c:spPr>
            <a:solidFill>
              <a:srgbClr val="1b98e0"/>
            </a:solidFill>
            <a:ln w="0">
              <a:solidFill>
                <a:srgbClr val="1b98e0"/>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Dashboard!$A$85:$A$92</c:f>
              <c:strCache>
                <c:ptCount val="8"/>
                <c:pt idx="0">
                  <c:v>RES-01 · Tazayud Riyadh Residences — Towers</c:v>
                </c:pt>
                <c:pt idx="1">
                  <c:v>RES-02 · Tazayud Buraydah Residential Compo</c:v>
                </c:pt>
                <c:pt idx="2">
                  <c:v>COM-01 · Tazayud Business Park — Tower A Sh</c:v>
                </c:pt>
                <c:pt idx="3">
                  <c:v>COM-02 · Tazayud Commercial Offices — Block</c:v>
                </c:pt>
                <c:pt idx="4">
                  <c:v>MXU-01 · Tazayud Mixed-Use District — Podiu</c:v>
                </c:pt>
                <c:pt idx="5">
                  <c:v>MXU-02 · Tazayud Boulevard — Hospitality, R</c:v>
                </c:pt>
                <c:pt idx="6">
                  <c:v>LND-01 · Tazayud Master Community — Infrast</c:v>
                </c:pt>
                <c:pt idx="7">
                  <c:v>LND-02 · Tazayud Land Development — Utility</c:v>
                </c:pt>
              </c:strCache>
            </c:strRef>
          </c:cat>
          <c:val>
            <c:numRef>
              <c:f>Dashboard!$G$85:$G$92</c:f>
              <c:numCache>
                <c:formatCode>0.000</c:formatCode>
                <c:ptCount val="8"/>
                <c:pt idx="0">
                  <c:v>0.884912601556118</c:v>
                </c:pt>
                <c:pt idx="1">
                  <c:v>0.781011612412379</c:v>
                </c:pt>
                <c:pt idx="2">
                  <c:v>0.954773237245202</c:v>
                </c:pt>
                <c:pt idx="3">
                  <c:v>1.03327620009755</c:v>
                </c:pt>
                <c:pt idx="4">
                  <c:v>0.87208396553562</c:v>
                </c:pt>
                <c:pt idx="5">
                  <c:v>0.981136738196575</c:v>
                </c:pt>
                <c:pt idx="6">
                  <c:v>1.0081743256066</c:v>
                </c:pt>
                <c:pt idx="7">
                  <c:v>0.935656451638777</c:v>
                </c:pt>
              </c:numCache>
            </c:numRef>
          </c:val>
        </c:ser>
        <c:ser>
          <c:idx val="1"/>
          <c:order val="1"/>
          <c:tx>
            <c:strRef>
              <c:f>Dashboard!H84</c:f>
              <c:strCache>
                <c:ptCount val="1"/>
                <c:pt idx="0">
                  <c:v>CPI</c:v>
                </c:pt>
              </c:strCache>
            </c:strRef>
          </c:tx>
          <c:spPr>
            <a:solidFill>
              <a:srgbClr val="c9a227"/>
            </a:solidFill>
            <a:ln w="0">
              <a:solidFill>
                <a:srgbClr val="c9a227"/>
              </a:solidFill>
            </a:ln>
          </c:spPr>
          <c:invertIfNegative val="0"/>
          <c:dLbls>
            <c:txPr>
              <a:bodyPr wrap="square"/>
              <a:lstStyle/>
              <a:p>
                <a:pPr>
                  <a:defRPr b="0" sz="1000" spc="-1" strike="noStrike">
                    <a:solidFill>
                      <a:srgbClr val="000000"/>
                    </a:solidFill>
                    <a:latin typeface="Arial"/>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Dashboard!$A$85:$A$92</c:f>
              <c:strCache>
                <c:ptCount val="8"/>
                <c:pt idx="0">
                  <c:v>RES-01 · Tazayud Riyadh Residences — Towers</c:v>
                </c:pt>
                <c:pt idx="1">
                  <c:v>RES-02 · Tazayud Buraydah Residential Compo</c:v>
                </c:pt>
                <c:pt idx="2">
                  <c:v>COM-01 · Tazayud Business Park — Tower A Sh</c:v>
                </c:pt>
                <c:pt idx="3">
                  <c:v>COM-02 · Tazayud Commercial Offices — Block</c:v>
                </c:pt>
                <c:pt idx="4">
                  <c:v>MXU-01 · Tazayud Mixed-Use District — Podiu</c:v>
                </c:pt>
                <c:pt idx="5">
                  <c:v>MXU-02 · Tazayud Boulevard — Hospitality, R</c:v>
                </c:pt>
                <c:pt idx="6">
                  <c:v>LND-01 · Tazayud Master Community — Infrast</c:v>
                </c:pt>
                <c:pt idx="7">
                  <c:v>LND-02 · Tazayud Land Development — Utility</c:v>
                </c:pt>
              </c:strCache>
            </c:strRef>
          </c:cat>
          <c:val>
            <c:numRef>
              <c:f>Dashboard!$H$85:$H$92</c:f>
              <c:numCache>
                <c:formatCode>0.000</c:formatCode>
                <c:ptCount val="8"/>
                <c:pt idx="0">
                  <c:v>0.935012419042187</c:v>
                </c:pt>
                <c:pt idx="1">
                  <c:v>0.884111741984994</c:v>
                </c:pt>
                <c:pt idx="2">
                  <c:v>0.991024103012797</c:v>
                </c:pt>
                <c:pt idx="3">
                  <c:v>1.01201790948844</c:v>
                </c:pt>
                <c:pt idx="4">
                  <c:v>0.921116471128628</c:v>
                </c:pt>
                <c:pt idx="5">
                  <c:v>0.956921688047535</c:v>
                </c:pt>
                <c:pt idx="6">
                  <c:v>1.03801742317919</c:v>
                </c:pt>
                <c:pt idx="7">
                  <c:v>0.968005248715933</c:v>
                </c:pt>
              </c:numCache>
            </c:numRef>
          </c:val>
        </c:ser>
        <c:gapWidth val="50"/>
        <c:overlap val="0"/>
        <c:axId val="16452440"/>
        <c:axId val="5942972"/>
      </c:barChart>
      <c:catAx>
        <c:axId val="16452440"/>
        <c:scaling>
          <c:orientation val="minMax"/>
        </c:scaling>
        <c:delete val="0"/>
        <c:axPos val="b"/>
        <c:numFmt formatCode="0.00"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5942972"/>
        <c:crosses val="autoZero"/>
        <c:auto val="1"/>
        <c:lblAlgn val="ctr"/>
        <c:lblOffset val="100"/>
        <c:noMultiLvlLbl val="0"/>
      </c:catAx>
      <c:valAx>
        <c:axId val="5942972"/>
        <c:scaling>
          <c:orientation val="minMax"/>
        </c:scaling>
        <c:delete val="0"/>
        <c:axPos val="l"/>
        <c:majorGridlines>
          <c:spPr>
            <a:ln w="9360">
              <a:solidFill>
                <a:srgbClr val="878787"/>
              </a:solidFill>
              <a:round/>
            </a:ln>
          </c:spPr>
        </c:majorGridlines>
        <c:numFmt formatCode="0.000"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16452440"/>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26</xdr:row>
      <xdr:rowOff>0</xdr:rowOff>
    </xdr:from>
    <xdr:to>
      <xdr:col>8</xdr:col>
      <xdr:colOff>197280</xdr:colOff>
      <xdr:row>44</xdr:row>
      <xdr:rowOff>222480</xdr:rowOff>
    </xdr:to>
    <xdr:graphicFrame>
      <xdr:nvGraphicFramePr>
        <xdr:cNvPr id="0" name="Chart 1"/>
        <xdr:cNvGraphicFramePr/>
      </xdr:nvGraphicFramePr>
      <xdr:xfrm>
        <a:off x="0" y="6191280"/>
        <a:ext cx="6301080" cy="3308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0</xdr:colOff>
      <xdr:row>26</xdr:row>
      <xdr:rowOff>0</xdr:rowOff>
    </xdr:from>
    <xdr:to>
      <xdr:col>16</xdr:col>
      <xdr:colOff>372960</xdr:colOff>
      <xdr:row>44</xdr:row>
      <xdr:rowOff>222480</xdr:rowOff>
    </xdr:to>
    <xdr:graphicFrame>
      <xdr:nvGraphicFramePr>
        <xdr:cNvPr id="1" name="Chart 2"/>
        <xdr:cNvGraphicFramePr/>
      </xdr:nvGraphicFramePr>
      <xdr:xfrm>
        <a:off x="6103800" y="6191280"/>
        <a:ext cx="6301080" cy="3308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45</xdr:row>
      <xdr:rowOff>0</xdr:rowOff>
    </xdr:from>
    <xdr:to>
      <xdr:col>8</xdr:col>
      <xdr:colOff>197280</xdr:colOff>
      <xdr:row>63</xdr:row>
      <xdr:rowOff>222120</xdr:rowOff>
    </xdr:to>
    <xdr:graphicFrame>
      <xdr:nvGraphicFramePr>
        <xdr:cNvPr id="2" name="Chart 3"/>
        <xdr:cNvGraphicFramePr/>
      </xdr:nvGraphicFramePr>
      <xdr:xfrm>
        <a:off x="0" y="9524880"/>
        <a:ext cx="6301080" cy="33084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0</xdr:colOff>
      <xdr:row>45</xdr:row>
      <xdr:rowOff>0</xdr:rowOff>
    </xdr:from>
    <xdr:to>
      <xdr:col>16</xdr:col>
      <xdr:colOff>372960</xdr:colOff>
      <xdr:row>63</xdr:row>
      <xdr:rowOff>222120</xdr:rowOff>
    </xdr:to>
    <xdr:graphicFrame>
      <xdr:nvGraphicFramePr>
        <xdr:cNvPr id="3" name="Chart 4"/>
        <xdr:cNvGraphicFramePr/>
      </xdr:nvGraphicFramePr>
      <xdr:xfrm>
        <a:off x="6103800" y="9524880"/>
        <a:ext cx="6301080" cy="33084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0</xdr:colOff>
      <xdr:row>63</xdr:row>
      <xdr:rowOff>0</xdr:rowOff>
    </xdr:from>
    <xdr:to>
      <xdr:col>16</xdr:col>
      <xdr:colOff>372960</xdr:colOff>
      <xdr:row>80</xdr:row>
      <xdr:rowOff>3240</xdr:rowOff>
    </xdr:to>
    <xdr:graphicFrame>
      <xdr:nvGraphicFramePr>
        <xdr:cNvPr id="4" name="Chart 5"/>
        <xdr:cNvGraphicFramePr/>
      </xdr:nvGraphicFramePr>
      <xdr:xfrm>
        <a:off x="6103800" y="12611160"/>
        <a:ext cx="6301080" cy="33084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0</xdr:colOff>
      <xdr:row>82</xdr:row>
      <xdr:rowOff>0</xdr:rowOff>
    </xdr:from>
    <xdr:to>
      <xdr:col>16</xdr:col>
      <xdr:colOff>372960</xdr:colOff>
      <xdr:row>98</xdr:row>
      <xdr:rowOff>155520</xdr:rowOff>
    </xdr:to>
    <xdr:graphicFrame>
      <xdr:nvGraphicFramePr>
        <xdr:cNvPr id="5" name="Chart 6"/>
        <xdr:cNvGraphicFramePr/>
      </xdr:nvGraphicFramePr>
      <xdr:xfrm>
        <a:off x="6103800" y="16278120"/>
        <a:ext cx="6301080" cy="330840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6.xml.rels><?xml version="1.0" encoding="UTF-8"?>
<Relationships xmlns="http://schemas.openxmlformats.org/package/2006/relationships"><Relationship Id="rId1" Type="http://schemas.openxmlformats.org/officeDocument/2006/relationships/drawing" Target="../drawings/drawing4.xml"/>
</Relationships>
</file>

<file path=xl/worksheets/_rels/sheet7.xml.rels><?xml version="1.0" encoding="UTF-8"?>
<Relationships xmlns="http://schemas.openxmlformats.org/package/2006/relationships"><Relationship Id="rId1" Type="http://schemas.openxmlformats.org/officeDocument/2006/relationships/drawing" Target="../drawings/drawing5.xml"/>
</Relationships>
</file>

<file path=xl/worksheets/_rels/sheet8.xml.rels><?xml version="1.0" encoding="UTF-8"?>
<Relationships xmlns="http://schemas.openxmlformats.org/package/2006/relationships"><Relationship Id="rId1" Type="http://schemas.openxmlformats.org/officeDocument/2006/relationships/drawing" Target="../drawings/drawing6.xml"/>
</Relationships>
</file>

<file path=xl/worksheets/_rels/sheet9.xml.rels><?xml version="1.0" encoding="UTF-8"?>
<Relationships xmlns="http://schemas.openxmlformats.org/package/2006/relationships"><Relationship Id="rId1" Type="http://schemas.openxmlformats.org/officeDocument/2006/relationships/drawing" Target="../drawings/drawing7.xml"/>
</Relationships>
</file>

<file path=xl/worksheets/_rels/sheet10.xml.rels><?xml version="1.0" encoding="UTF-8"?>
<Relationships xmlns="http://schemas.openxmlformats.org/package/2006/relationships"><Relationship Id="rId1" Type="http://schemas.openxmlformats.org/officeDocument/2006/relationships/drawing" Target="../drawings/drawing8.xml"/>
</Relationships>
</file>

<file path=xl/worksheets/_rels/sheet11.xml.rels><?xml version="1.0" encoding="UTF-8"?>
<Relationships xmlns="http://schemas.openxmlformats.org/package/2006/relationships"><Relationship Id="rId1" Type="http://schemas.openxmlformats.org/officeDocument/2006/relationships/drawing" Target="../drawings/drawing9.xml"/>
</Relationships>
</file>

<file path=xl/worksheets/_rels/sheet14.xml.rels><?xml version="1.0" encoding="UTF-8"?>
<Relationships xmlns="http://schemas.openxmlformats.org/package/2006/relationships"><Relationship Id="rId1" Type="http://schemas.openxmlformats.org/officeDocument/2006/relationships/drawing" Target="../drawings/drawing10.xml"/>
</Relationships>
</file>

<file path=xl/worksheets/_rels/sheet15.xml.rels><?xml version="1.0" encoding="UTF-8"?>
<Relationships xmlns="http://schemas.openxmlformats.org/package/2006/relationships"><Relationship Id="rId1" Type="http://schemas.openxmlformats.org/officeDocument/2006/relationships/drawing" Target="../drawings/drawing11.xml"/>
</Relationships>
</file>

<file path=xl/worksheets/_rels/sheet17.xml.rels><?xml version="1.0" encoding="UTF-8"?>
<Relationships xmlns="http://schemas.openxmlformats.org/package/2006/relationships"><Relationship Id="rId1" Type="http://schemas.openxmlformats.org/officeDocument/2006/relationships/drawing" Target="../drawings/drawing1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P134"/>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0" ySplit="7" topLeftCell="A8"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3"/>
    <col collapsed="false" customWidth="true" hidden="false" outlineLevel="0" max="16" min="2" style="1" width="10.51"/>
  </cols>
  <sheetData>
    <row r="1" customFormat="false" ht="9.75" hidden="false" customHeight="true" outlineLevel="0" collapsed="false">
      <c r="A1" s="2"/>
      <c r="B1" s="2"/>
      <c r="C1" s="2"/>
      <c r="D1" s="2"/>
      <c r="E1" s="2"/>
      <c r="F1" s="2"/>
      <c r="G1" s="2"/>
      <c r="H1" s="2"/>
      <c r="I1" s="2"/>
      <c r="J1" s="2"/>
      <c r="K1" s="2"/>
      <c r="L1" s="2"/>
      <c r="M1" s="2"/>
      <c r="N1" s="2"/>
      <c r="O1" s="2"/>
      <c r="P1" s="2"/>
    </row>
    <row r="2" customFormat="false" ht="33.75" hidden="false" customHeight="true" outlineLevel="0" collapsed="false">
      <c r="A2" s="3" t="s">
        <v>0</v>
      </c>
      <c r="B2" s="3"/>
      <c r="C2" s="3"/>
      <c r="D2" s="3"/>
      <c r="E2" s="3"/>
      <c r="F2" s="3"/>
      <c r="G2" s="3"/>
      <c r="H2" s="3"/>
      <c r="I2" s="3"/>
      <c r="J2" s="3"/>
      <c r="K2" s="3"/>
      <c r="L2" s="3"/>
      <c r="M2" s="3"/>
      <c r="N2" s="3"/>
      <c r="O2" s="3"/>
      <c r="P2" s="3"/>
    </row>
    <row r="3" customFormat="false" ht="18.75" hidden="false" customHeight="true" outlineLevel="0" collapsed="false">
      <c r="A3" s="4" t="s">
        <v>1</v>
      </c>
      <c r="B3" s="4"/>
      <c r="C3" s="4"/>
      <c r="D3" s="4"/>
      <c r="E3" s="4"/>
      <c r="F3" s="4"/>
      <c r="G3" s="4"/>
      <c r="H3" s="4"/>
      <c r="I3" s="4"/>
      <c r="J3" s="4"/>
      <c r="K3" s="4"/>
      <c r="L3" s="4"/>
      <c r="M3" s="4"/>
      <c r="N3" s="4"/>
      <c r="O3" s="4"/>
      <c r="P3" s="4"/>
    </row>
    <row r="4" customFormat="false" ht="15" hidden="false" customHeight="true" outlineLevel="0" collapsed="false">
      <c r="A4" s="5"/>
      <c r="B4" s="5"/>
      <c r="C4" s="5"/>
      <c r="D4" s="5"/>
      <c r="E4" s="5"/>
      <c r="F4" s="5"/>
      <c r="G4" s="5"/>
      <c r="H4" s="5"/>
      <c r="I4" s="5"/>
      <c r="J4" s="5"/>
      <c r="K4" s="5"/>
      <c r="L4" s="5"/>
      <c r="M4" s="5"/>
      <c r="N4" s="5"/>
      <c r="O4" s="5"/>
      <c r="P4" s="5"/>
    </row>
    <row r="5" customFormat="false" ht="21" hidden="false" customHeight="true" outlineLevel="0" collapsed="false">
      <c r="A5" s="6" t="s">
        <v>2</v>
      </c>
      <c r="B5" s="6"/>
      <c r="C5" s="6"/>
      <c r="D5" s="6"/>
      <c r="E5" s="6"/>
      <c r="F5" s="6"/>
      <c r="G5" s="6"/>
      <c r="H5" s="6"/>
      <c r="I5" s="6"/>
      <c r="J5" s="6"/>
      <c r="K5" s="6"/>
      <c r="L5" s="6"/>
      <c r="M5" s="6"/>
      <c r="N5" s="6"/>
      <c r="O5" s="6"/>
      <c r="P5" s="6"/>
    </row>
    <row r="6" customFormat="false" ht="21.75" hidden="false" customHeight="true" outlineLevel="0" collapsed="false">
      <c r="A6" s="7" t="s">
        <v>3</v>
      </c>
      <c r="B6" s="7"/>
      <c r="C6" s="8" t="s">
        <v>4</v>
      </c>
      <c r="D6" s="8"/>
      <c r="E6" s="8"/>
      <c r="F6" s="7" t="s">
        <v>5</v>
      </c>
      <c r="G6" s="7"/>
      <c r="H6" s="8" t="s">
        <v>6</v>
      </c>
      <c r="I6" s="8"/>
      <c r="J6" s="8"/>
      <c r="K6" s="7" t="s">
        <v>7</v>
      </c>
      <c r="L6" s="7"/>
      <c r="M6" s="8" t="s">
        <v>8</v>
      </c>
      <c r="N6" s="8"/>
      <c r="O6" s="8"/>
      <c r="P6" s="9"/>
    </row>
    <row r="7" customFormat="false" ht="21.75" hidden="false" customHeight="true" outlineLevel="0" collapsed="false">
      <c r="A7" s="7" t="s">
        <v>9</v>
      </c>
      <c r="B7" s="7"/>
      <c r="C7" s="10" t="n">
        <v>46265</v>
      </c>
      <c r="D7" s="10"/>
      <c r="E7" s="10"/>
      <c r="F7" s="7" t="s">
        <v>10</v>
      </c>
      <c r="G7" s="7"/>
      <c r="H7" s="11" t="n">
        <v>5</v>
      </c>
      <c r="I7" s="11"/>
      <c r="J7" s="11"/>
      <c r="K7" s="7" t="s">
        <v>11</v>
      </c>
      <c r="L7" s="7"/>
      <c r="M7" s="12" t="str">
        <f aca="false">IF($C$6="Corporate","CORPORATE — all portfolios",IF($C$6="Portfolio","PORTFOLIO — "&amp;$H$6,"PROJECT — "&amp;$M$6&amp;" · "&amp;IFERROR(INDEX(Projects!$B$9:$B$16,MATCH($M$6,Projects!$A$9:$A$16,0)),"")))</f>
        <v>CORPORATE — all portfolios</v>
      </c>
      <c r="N7" s="12"/>
      <c r="O7" s="12"/>
      <c r="P7" s="9"/>
    </row>
    <row r="8" customFormat="false" ht="15" hidden="false" customHeight="true" outlineLevel="0" collapsed="false">
      <c r="A8" s="5"/>
      <c r="B8" s="5"/>
      <c r="C8" s="5"/>
      <c r="D8" s="5"/>
      <c r="E8" s="5"/>
      <c r="F8" s="5"/>
      <c r="G8" s="5"/>
      <c r="H8" s="5"/>
      <c r="I8" s="5"/>
      <c r="J8" s="5"/>
      <c r="K8" s="5"/>
      <c r="L8" s="5"/>
      <c r="M8" s="5"/>
      <c r="N8" s="5"/>
      <c r="O8" s="5"/>
      <c r="P8" s="5"/>
    </row>
    <row r="9" customFormat="false" ht="19.5" hidden="false" customHeight="true" outlineLevel="0" collapsed="false">
      <c r="A9" s="13" t="s">
        <v>12</v>
      </c>
      <c r="B9" s="13"/>
      <c r="C9" s="13"/>
      <c r="D9" s="13"/>
      <c r="E9" s="13"/>
      <c r="F9" s="13"/>
      <c r="G9" s="13"/>
      <c r="H9" s="13"/>
      <c r="I9" s="13"/>
      <c r="J9" s="13"/>
      <c r="K9" s="13"/>
      <c r="L9" s="13"/>
      <c r="M9" s="13"/>
      <c r="N9" s="13"/>
      <c r="O9" s="13"/>
      <c r="P9" s="13"/>
    </row>
    <row r="10" customFormat="false" ht="4.5" hidden="false" customHeight="true" outlineLevel="0" collapsed="false">
      <c r="A10" s="14"/>
      <c r="B10" s="14"/>
      <c r="C10" s="14"/>
      <c r="D10" s="14"/>
      <c r="E10" s="15"/>
      <c r="F10" s="15"/>
      <c r="G10" s="15"/>
      <c r="H10" s="15"/>
      <c r="I10" s="15"/>
      <c r="J10" s="15"/>
      <c r="K10" s="15"/>
      <c r="L10" s="15"/>
      <c r="M10" s="14"/>
      <c r="N10" s="14"/>
      <c r="O10" s="14"/>
      <c r="P10" s="14"/>
    </row>
    <row r="11" customFormat="false" ht="24" hidden="false" customHeight="true" outlineLevel="0" collapsed="false">
      <c r="A11" s="16" t="s">
        <v>13</v>
      </c>
      <c r="B11" s="16"/>
      <c r="C11" s="16"/>
      <c r="D11" s="16"/>
      <c r="E11" s="16" t="s">
        <v>14</v>
      </c>
      <c r="F11" s="16"/>
      <c r="G11" s="16"/>
      <c r="H11" s="16"/>
      <c r="I11" s="16" t="s">
        <v>15</v>
      </c>
      <c r="J11" s="16"/>
      <c r="K11" s="16"/>
      <c r="L11" s="16"/>
      <c r="M11" s="16" t="s">
        <v>16</v>
      </c>
      <c r="N11" s="16"/>
      <c r="O11" s="16"/>
      <c r="P11" s="16"/>
    </row>
    <row r="12" customFormat="false" ht="25.5" hidden="false" customHeight="true" outlineLevel="0" collapsed="false">
      <c r="A12" s="17" t="n">
        <f aca="false">Master_Tracker!$H$16</f>
        <v>0.138690269040216</v>
      </c>
      <c r="B12" s="17"/>
      <c r="C12" s="17"/>
      <c r="D12" s="17"/>
      <c r="E12" s="18" t="n">
        <f aca="false">Master_Tracker!$H$15</f>
        <v>0.953759503292164</v>
      </c>
      <c r="F12" s="18"/>
      <c r="G12" s="18"/>
      <c r="H12" s="18"/>
      <c r="I12" s="18" t="n">
        <f aca="false">Master_Tracker!$M$15</f>
        <v>0.980125459095592</v>
      </c>
      <c r="J12" s="18"/>
      <c r="K12" s="18"/>
      <c r="L12" s="18"/>
      <c r="M12" s="18" t="n">
        <f aca="false">Performance_Indices!$D$30</f>
        <v>0.919056683260814</v>
      </c>
      <c r="N12" s="18"/>
      <c r="O12" s="18"/>
      <c r="P12" s="18"/>
    </row>
    <row r="13" customFormat="false" ht="21.75" hidden="false" customHeight="true" outlineLevel="0" collapsed="false">
      <c r="A13" s="19" t="str">
        <f aca="false">"Planned "&amp;TEXT(Master_Tracker!$C$16,"0.0%")&amp;"   |   Variance "&amp;TEXT(Master_Tracker!$H$16-Master_Tracker!$C$16,"0.0%")</f>
        <v>Planned 14.5%   |   Variance -0.7%</v>
      </c>
      <c r="B13" s="19"/>
      <c r="C13" s="19"/>
      <c r="D13" s="19"/>
      <c r="E13" s="19" t="str">
        <f aca="false">"SPI(t) "&amp;TEXT(Cumulative_Trend!$D$36,"0.000")&amp;"   |   SV "&amp;TEXT(Master_Tracker!$M$14/1000000,"0.0")&amp;" m SAR"</f>
        <v>SPI(t) 0.970   |   SV -5.8 m SAR</v>
      </c>
      <c r="F13" s="19"/>
      <c r="G13" s="19"/>
      <c r="H13" s="19"/>
      <c r="I13" s="19" t="str">
        <f aca="false">"CV "&amp;TEXT(Master_Tracker!$C$15/1000000,"0.0")&amp;" m SAR   |   TCPI "&amp;TEXT(Cost_Financials!$F$35,"0.000")</f>
        <v>CV -2.4 m SAR   |   TCPI 0.980</v>
      </c>
      <c r="J13" s="19"/>
      <c r="K13" s="19"/>
      <c r="L13" s="19"/>
      <c r="M13" s="19" t="str">
        <f aca="false">"Projects in scope: "&amp;Master_Tracker!$M$16</f>
        <v>Projects in scope: 8</v>
      </c>
      <c r="N13" s="19"/>
      <c r="O13" s="19"/>
      <c r="P13" s="19"/>
    </row>
    <row r="14" customFormat="false" ht="15" hidden="false" customHeight="true" outlineLevel="0" collapsed="false">
      <c r="A14" s="5"/>
      <c r="B14" s="5"/>
      <c r="C14" s="5"/>
      <c r="D14" s="5"/>
      <c r="E14" s="5"/>
      <c r="F14" s="5"/>
      <c r="G14" s="5"/>
      <c r="H14" s="5"/>
      <c r="I14" s="5"/>
      <c r="J14" s="5"/>
      <c r="K14" s="5"/>
      <c r="L14" s="5"/>
      <c r="M14" s="5"/>
      <c r="N14" s="5"/>
      <c r="O14" s="5"/>
      <c r="P14" s="5"/>
    </row>
    <row r="15" customFormat="false" ht="19.5" hidden="false" customHeight="true" outlineLevel="0" collapsed="false">
      <c r="A15" s="13" t="s">
        <v>17</v>
      </c>
      <c r="B15" s="13"/>
      <c r="C15" s="13"/>
      <c r="D15" s="13"/>
      <c r="E15" s="13"/>
      <c r="F15" s="13"/>
      <c r="G15" s="13"/>
      <c r="H15" s="13"/>
      <c r="I15" s="13"/>
      <c r="J15" s="13"/>
      <c r="K15" s="13"/>
      <c r="L15" s="13"/>
      <c r="M15" s="13"/>
      <c r="N15" s="13"/>
      <c r="O15" s="13"/>
      <c r="P15" s="13"/>
    </row>
    <row r="16" customFormat="false" ht="4.5" hidden="false" customHeight="true" outlineLevel="0" collapsed="false">
      <c r="A16" s="14"/>
      <c r="B16" s="14"/>
      <c r="C16" s="14"/>
      <c r="D16" s="14"/>
      <c r="E16" s="15"/>
      <c r="F16" s="15"/>
      <c r="G16" s="15"/>
      <c r="H16" s="15"/>
      <c r="I16" s="15"/>
      <c r="J16" s="15"/>
      <c r="K16" s="15"/>
      <c r="L16" s="15"/>
      <c r="M16" s="14"/>
      <c r="N16" s="14"/>
      <c r="O16" s="14"/>
      <c r="P16" s="14"/>
    </row>
    <row r="17" customFormat="false" ht="24" hidden="false" customHeight="true" outlineLevel="0" collapsed="false">
      <c r="A17" s="16" t="s">
        <v>18</v>
      </c>
      <c r="B17" s="16"/>
      <c r="C17" s="16"/>
      <c r="D17" s="16"/>
      <c r="E17" s="16" t="s">
        <v>19</v>
      </c>
      <c r="F17" s="16"/>
      <c r="G17" s="16"/>
      <c r="H17" s="16"/>
      <c r="I17" s="16" t="s">
        <v>20</v>
      </c>
      <c r="J17" s="16"/>
      <c r="K17" s="16"/>
      <c r="L17" s="16"/>
      <c r="M17" s="16" t="s">
        <v>21</v>
      </c>
      <c r="N17" s="16"/>
      <c r="O17" s="16"/>
      <c r="P17" s="16"/>
    </row>
    <row r="18" customFormat="false" ht="25.5" hidden="false" customHeight="true" outlineLevel="0" collapsed="false">
      <c r="A18" s="20" t="n">
        <f aca="false">Master_Tracker!$C$12</f>
        <v>991228356</v>
      </c>
      <c r="B18" s="20"/>
      <c r="C18" s="20"/>
      <c r="D18" s="20"/>
      <c r="E18" s="20" t="n">
        <f aca="false">Master_Tracker!$C$13</f>
        <v>867966335</v>
      </c>
      <c r="F18" s="20"/>
      <c r="G18" s="20"/>
      <c r="H18" s="20"/>
      <c r="I18" s="20" t="n">
        <f aca="false">Cost_Financials!$F$32</f>
        <v>885566563.897762</v>
      </c>
      <c r="J18" s="20"/>
      <c r="K18" s="20"/>
      <c r="L18" s="20"/>
      <c r="M18" s="20" t="n">
        <f aca="false">Cost_Financials!$F$10</f>
        <v>85456792</v>
      </c>
      <c r="N18" s="20"/>
      <c r="O18" s="20"/>
      <c r="P18" s="20"/>
    </row>
    <row r="19" customFormat="false" ht="21.75" hidden="false" customHeight="true" outlineLevel="0" collapsed="false">
      <c r="A19" s="19" t="str">
        <f aca="false">"Original sanction "&amp;TEXT(Master_Tracker!$C$11/1000000,"0")&amp;" m   |   Approved uplift "&amp;TEXT(Master_Tracker!$H$11/1000000,"0.0")&amp;" m"</f>
        <v>Original sanction 977 m   |   Approved uplift 13.9 m</v>
      </c>
      <c r="B19" s="19"/>
      <c r="C19" s="19"/>
      <c r="D19" s="19"/>
      <c r="E19" s="19" t="str">
        <f aca="false">"Committed "&amp;TEXT(Master_Tracker!$H$14/1000000,"0")&amp;" m   |   Uncommitted "&amp;TEXT((Master_Tracker!$C$13-Master_Tracker!$H$14)/1000000,"0")&amp;" m"</f>
        <v>Committed 407 m   |   Uncommitted 461 m</v>
      </c>
      <c r="F19" s="19"/>
      <c r="G19" s="19"/>
      <c r="H19" s="19"/>
      <c r="I19" s="19" t="str">
        <f aca="false">"Variance vs control budget "&amp;TEXT(Cost_Financials!$G$32/1000000,"0.0")&amp;" m SAR"</f>
        <v>Variance vs control budget -17.6 m SAR</v>
      </c>
      <c r="J19" s="19"/>
      <c r="K19" s="19"/>
      <c r="L19" s="19"/>
      <c r="M19" s="19" t="str">
        <f aca="false">"Certified "&amp;TEXT(Cost_Financials!$F$9/1000000,"0")&amp;" m   |   Unpaid balance "&amp;TEXT((Cost_Financials!$F$9-Cost_Financials!$F$10)/1000000,"0.0")&amp;" m"</f>
        <v>Certified 102 m   |   Unpaid balance 16.3 m</v>
      </c>
      <c r="N19" s="19"/>
      <c r="O19" s="19"/>
      <c r="P19" s="19"/>
    </row>
    <row r="20" customFormat="false" ht="15" hidden="false" customHeight="true" outlineLevel="0" collapsed="false">
      <c r="A20" s="5"/>
      <c r="B20" s="5"/>
      <c r="C20" s="5"/>
      <c r="D20" s="5"/>
      <c r="E20" s="5"/>
      <c r="F20" s="5"/>
      <c r="G20" s="5"/>
      <c r="H20" s="5"/>
      <c r="I20" s="5"/>
      <c r="J20" s="5"/>
      <c r="K20" s="5"/>
      <c r="L20" s="5"/>
      <c r="M20" s="5"/>
      <c r="N20" s="5"/>
      <c r="O20" s="5"/>
      <c r="P20" s="5"/>
    </row>
    <row r="21" customFormat="false" ht="4.5" hidden="false" customHeight="true" outlineLevel="0" collapsed="false">
      <c r="A21" s="21"/>
      <c r="B21" s="21"/>
      <c r="C21" s="21"/>
      <c r="D21" s="21"/>
      <c r="E21" s="21"/>
      <c r="F21" s="21"/>
      <c r="G21" s="21"/>
      <c r="H21" s="21"/>
      <c r="I21" s="21"/>
      <c r="J21" s="21"/>
      <c r="K21" s="21"/>
      <c r="L21" s="21"/>
      <c r="M21" s="21"/>
      <c r="N21" s="21"/>
      <c r="O21" s="21"/>
      <c r="P21" s="21"/>
    </row>
    <row r="22" customFormat="false" ht="24" hidden="false" customHeight="true" outlineLevel="0" collapsed="false">
      <c r="A22" s="16" t="s">
        <v>22</v>
      </c>
      <c r="B22" s="16"/>
      <c r="C22" s="16"/>
      <c r="D22" s="16"/>
      <c r="E22" s="16" t="s">
        <v>23</v>
      </c>
      <c r="F22" s="16"/>
      <c r="G22" s="16"/>
      <c r="H22" s="16"/>
      <c r="I22" s="16" t="s">
        <v>24</v>
      </c>
      <c r="J22" s="16"/>
      <c r="K22" s="16"/>
      <c r="L22" s="16"/>
      <c r="M22" s="16" t="s">
        <v>25</v>
      </c>
      <c r="N22" s="16"/>
      <c r="O22" s="16"/>
      <c r="P22" s="16"/>
    </row>
    <row r="23" customFormat="false" ht="25.5" hidden="false" customHeight="true" outlineLevel="0" collapsed="false">
      <c r="A23" s="22" t="n">
        <f aca="false">Master_Tracker!$H$13</f>
        <v>126214715.6631</v>
      </c>
      <c r="B23" s="22"/>
      <c r="C23" s="22"/>
      <c r="D23" s="22"/>
      <c r="E23" s="22" t="n">
        <f aca="false">Master_Tracker!$M$13</f>
        <v>120378484.519</v>
      </c>
      <c r="F23" s="22"/>
      <c r="G23" s="22"/>
      <c r="H23" s="22"/>
      <c r="I23" s="22" t="n">
        <f aca="false">Master_Tracker!$C$14</f>
        <v>122819465</v>
      </c>
      <c r="J23" s="22"/>
      <c r="K23" s="22"/>
      <c r="L23" s="22"/>
      <c r="M23" s="22" t="n">
        <f aca="false">Cost_Financials!$F$33</f>
        <v>762747098.897762</v>
      </c>
      <c r="N23" s="22"/>
      <c r="O23" s="22"/>
      <c r="P23" s="22"/>
    </row>
    <row r="24" customFormat="false" ht="21.75" hidden="false" customHeight="true" outlineLevel="0" collapsed="false">
      <c r="A24" s="19" t="str">
        <f aca="false">"Baseline value of work due by the data date"</f>
        <v>Baseline value of work due by the data date</v>
      </c>
      <c r="B24" s="19"/>
      <c r="C24" s="19"/>
      <c r="D24" s="19"/>
      <c r="E24" s="19" t="str">
        <f aca="false">"Budget cost of work actually performed"</f>
        <v>Budget cost of work actually performed</v>
      </c>
      <c r="F24" s="19"/>
      <c r="G24" s="19"/>
      <c r="H24" s="19"/>
      <c r="I24" s="19" t="str">
        <f aca="false">"Capital consumed to deliver the earned value"</f>
        <v>Capital consumed to deliver the earned value</v>
      </c>
      <c r="J24" s="19"/>
      <c r="K24" s="19"/>
      <c r="L24" s="19"/>
      <c r="M24" s="19" t="str">
        <f aca="false">"Capital still to be deployed to finish the scope"</f>
        <v>Capital still to be deployed to finish the scope</v>
      </c>
      <c r="N24" s="19"/>
      <c r="O24" s="19"/>
      <c r="P24" s="19"/>
    </row>
    <row r="25" customFormat="false" ht="15" hidden="false" customHeight="true" outlineLevel="0" collapsed="false">
      <c r="A25" s="5"/>
      <c r="B25" s="5"/>
      <c r="C25" s="5"/>
      <c r="D25" s="5"/>
      <c r="E25" s="5"/>
      <c r="F25" s="5"/>
      <c r="G25" s="5"/>
      <c r="H25" s="5"/>
      <c r="I25" s="5"/>
      <c r="J25" s="5"/>
      <c r="K25" s="5"/>
      <c r="L25" s="5"/>
      <c r="M25" s="5"/>
      <c r="N25" s="5"/>
      <c r="O25" s="5"/>
      <c r="P25" s="5"/>
    </row>
    <row r="26" customFormat="false" ht="19.5" hidden="false" customHeight="true" outlineLevel="0" collapsed="false">
      <c r="A26" s="13" t="s">
        <v>26</v>
      </c>
      <c r="B26" s="13"/>
      <c r="C26" s="13"/>
      <c r="D26" s="13"/>
      <c r="E26" s="13"/>
      <c r="F26" s="13"/>
      <c r="G26" s="13"/>
      <c r="H26" s="13"/>
      <c r="I26" s="13"/>
      <c r="J26" s="13"/>
      <c r="K26" s="13"/>
      <c r="L26" s="13"/>
      <c r="M26" s="13"/>
      <c r="N26" s="13"/>
      <c r="O26" s="13"/>
      <c r="P26" s="13"/>
    </row>
    <row r="27" customFormat="false" ht="13.5" hidden="false" customHeight="true" outlineLevel="0" collapsed="false">
      <c r="A27" s="5"/>
      <c r="B27" s="5"/>
      <c r="C27" s="5"/>
      <c r="D27" s="5"/>
      <c r="E27" s="5"/>
      <c r="F27" s="5"/>
      <c r="G27" s="5"/>
      <c r="H27" s="5"/>
      <c r="I27" s="5"/>
      <c r="J27" s="5"/>
      <c r="K27" s="5"/>
      <c r="L27" s="5"/>
      <c r="M27" s="5"/>
      <c r="N27" s="5"/>
      <c r="O27" s="5"/>
      <c r="P27" s="5"/>
    </row>
    <row r="28" customFormat="false" ht="13.5" hidden="false" customHeight="true" outlineLevel="0" collapsed="false">
      <c r="A28" s="5"/>
      <c r="B28" s="5"/>
      <c r="C28" s="5"/>
      <c r="D28" s="5"/>
      <c r="E28" s="5"/>
      <c r="F28" s="5"/>
      <c r="G28" s="5"/>
      <c r="H28" s="5"/>
      <c r="I28" s="5"/>
      <c r="J28" s="5"/>
      <c r="K28" s="5"/>
      <c r="L28" s="5"/>
      <c r="M28" s="5"/>
      <c r="N28" s="5"/>
      <c r="O28" s="5"/>
      <c r="P28" s="5"/>
    </row>
    <row r="29" customFormat="false" ht="13.5" hidden="false" customHeight="true" outlineLevel="0" collapsed="false">
      <c r="A29" s="5"/>
      <c r="B29" s="5"/>
      <c r="C29" s="5"/>
      <c r="D29" s="5"/>
      <c r="E29" s="5"/>
      <c r="F29" s="5"/>
      <c r="G29" s="5"/>
      <c r="H29" s="5"/>
      <c r="I29" s="5"/>
      <c r="J29" s="5"/>
      <c r="K29" s="5"/>
      <c r="L29" s="5"/>
      <c r="M29" s="5"/>
      <c r="N29" s="5"/>
      <c r="O29" s="5"/>
      <c r="P29" s="5"/>
    </row>
    <row r="30" customFormat="false" ht="13.5" hidden="false" customHeight="true" outlineLevel="0" collapsed="false">
      <c r="A30" s="5"/>
      <c r="B30" s="5"/>
      <c r="C30" s="5"/>
      <c r="D30" s="5"/>
      <c r="E30" s="5"/>
      <c r="F30" s="5"/>
      <c r="G30" s="5"/>
      <c r="H30" s="5"/>
      <c r="I30" s="5"/>
      <c r="J30" s="5"/>
      <c r="K30" s="5"/>
      <c r="L30" s="5"/>
      <c r="M30" s="5"/>
      <c r="N30" s="5"/>
      <c r="O30" s="5"/>
      <c r="P30" s="5"/>
    </row>
    <row r="31" customFormat="false" ht="13.5" hidden="false" customHeight="true" outlineLevel="0" collapsed="false">
      <c r="A31" s="5"/>
      <c r="B31" s="5"/>
      <c r="C31" s="5"/>
      <c r="D31" s="5"/>
      <c r="E31" s="5"/>
      <c r="F31" s="5"/>
      <c r="G31" s="5"/>
      <c r="H31" s="5"/>
      <c r="I31" s="5"/>
      <c r="J31" s="5"/>
      <c r="K31" s="5"/>
      <c r="L31" s="5"/>
      <c r="M31" s="5"/>
      <c r="N31" s="5"/>
      <c r="O31" s="5"/>
      <c r="P31" s="5"/>
    </row>
    <row r="32" customFormat="false" ht="13.5" hidden="false" customHeight="true" outlineLevel="0" collapsed="false">
      <c r="A32" s="5"/>
      <c r="B32" s="5"/>
      <c r="C32" s="5"/>
      <c r="D32" s="5"/>
      <c r="E32" s="5"/>
      <c r="F32" s="5"/>
      <c r="G32" s="5"/>
      <c r="H32" s="5"/>
      <c r="I32" s="5"/>
      <c r="J32" s="5"/>
      <c r="K32" s="5"/>
      <c r="L32" s="5"/>
      <c r="M32" s="5"/>
      <c r="N32" s="5"/>
      <c r="O32" s="5"/>
      <c r="P32" s="5"/>
    </row>
    <row r="33" customFormat="false" ht="13.5" hidden="false" customHeight="true" outlineLevel="0" collapsed="false">
      <c r="A33" s="5"/>
      <c r="B33" s="5"/>
      <c r="C33" s="5"/>
      <c r="D33" s="5"/>
      <c r="E33" s="5"/>
      <c r="F33" s="5"/>
      <c r="G33" s="5"/>
      <c r="H33" s="5"/>
      <c r="I33" s="5"/>
      <c r="J33" s="5"/>
      <c r="K33" s="5"/>
      <c r="L33" s="5"/>
      <c r="M33" s="5"/>
      <c r="N33" s="5"/>
      <c r="O33" s="5"/>
      <c r="P33" s="5"/>
    </row>
    <row r="34" customFormat="false" ht="13.5" hidden="false" customHeight="true" outlineLevel="0" collapsed="false">
      <c r="A34" s="5"/>
      <c r="B34" s="5"/>
      <c r="C34" s="5"/>
      <c r="D34" s="5"/>
      <c r="E34" s="5"/>
      <c r="F34" s="5"/>
      <c r="G34" s="5"/>
      <c r="H34" s="5"/>
      <c r="I34" s="5"/>
      <c r="J34" s="5"/>
      <c r="K34" s="5"/>
      <c r="L34" s="5"/>
      <c r="M34" s="5"/>
      <c r="N34" s="5"/>
      <c r="O34" s="5"/>
      <c r="P34" s="5"/>
    </row>
    <row r="35" customFormat="false" ht="13.5" hidden="false" customHeight="true" outlineLevel="0" collapsed="false">
      <c r="A35" s="5"/>
      <c r="B35" s="5"/>
      <c r="C35" s="5"/>
      <c r="D35" s="5"/>
      <c r="E35" s="5"/>
      <c r="F35" s="5"/>
      <c r="G35" s="5"/>
      <c r="H35" s="5"/>
      <c r="I35" s="5"/>
      <c r="J35" s="5"/>
      <c r="K35" s="5"/>
      <c r="L35" s="5"/>
      <c r="M35" s="5"/>
      <c r="N35" s="5"/>
      <c r="O35" s="5"/>
      <c r="P35" s="5"/>
    </row>
    <row r="36" customFormat="false" ht="13.5" hidden="false" customHeight="true" outlineLevel="0" collapsed="false">
      <c r="A36" s="5"/>
      <c r="B36" s="5"/>
      <c r="C36" s="5"/>
      <c r="D36" s="5"/>
      <c r="E36" s="5"/>
      <c r="F36" s="5"/>
      <c r="G36" s="5"/>
      <c r="H36" s="5"/>
      <c r="I36" s="5"/>
      <c r="J36" s="5"/>
      <c r="K36" s="5"/>
      <c r="L36" s="5"/>
      <c r="M36" s="5"/>
      <c r="N36" s="5"/>
      <c r="O36" s="5"/>
      <c r="P36" s="5"/>
    </row>
    <row r="37" customFormat="false" ht="13.5" hidden="false" customHeight="true" outlineLevel="0" collapsed="false">
      <c r="A37" s="5"/>
      <c r="B37" s="5"/>
      <c r="C37" s="5"/>
      <c r="D37" s="5"/>
      <c r="E37" s="5"/>
      <c r="F37" s="5"/>
      <c r="G37" s="5"/>
      <c r="H37" s="5"/>
      <c r="I37" s="5"/>
      <c r="J37" s="5"/>
      <c r="K37" s="5"/>
      <c r="L37" s="5"/>
      <c r="M37" s="5"/>
      <c r="N37" s="5"/>
      <c r="O37" s="5"/>
      <c r="P37" s="5"/>
    </row>
    <row r="38" customFormat="false" ht="13.5" hidden="false" customHeight="true" outlineLevel="0" collapsed="false">
      <c r="A38" s="5"/>
      <c r="B38" s="5"/>
      <c r="C38" s="5"/>
      <c r="D38" s="5"/>
      <c r="E38" s="5"/>
      <c r="F38" s="5"/>
      <c r="G38" s="5"/>
      <c r="H38" s="5"/>
      <c r="I38" s="5"/>
      <c r="J38" s="5"/>
      <c r="K38" s="5"/>
      <c r="L38" s="5"/>
      <c r="M38" s="5"/>
      <c r="N38" s="5"/>
      <c r="O38" s="5"/>
      <c r="P38" s="5"/>
    </row>
    <row r="39" customFormat="false" ht="13.5" hidden="false" customHeight="true" outlineLevel="0" collapsed="false">
      <c r="A39" s="5"/>
      <c r="B39" s="5"/>
      <c r="C39" s="5"/>
      <c r="D39" s="5"/>
      <c r="E39" s="5"/>
      <c r="F39" s="5"/>
      <c r="G39" s="5"/>
      <c r="H39" s="5"/>
      <c r="I39" s="5"/>
      <c r="J39" s="5"/>
      <c r="K39" s="5"/>
      <c r="L39" s="5"/>
      <c r="M39" s="5"/>
      <c r="N39" s="5"/>
      <c r="O39" s="5"/>
      <c r="P39" s="5"/>
    </row>
    <row r="40" customFormat="false" ht="13.5" hidden="false" customHeight="true" outlineLevel="0" collapsed="false">
      <c r="A40" s="5"/>
      <c r="B40" s="5"/>
      <c r="C40" s="5"/>
      <c r="D40" s="5"/>
      <c r="E40" s="5"/>
      <c r="F40" s="5"/>
      <c r="G40" s="5"/>
      <c r="H40" s="5"/>
      <c r="I40" s="5"/>
      <c r="J40" s="5"/>
      <c r="K40" s="5"/>
      <c r="L40" s="5"/>
      <c r="M40" s="5"/>
      <c r="N40" s="5"/>
      <c r="O40" s="5"/>
      <c r="P40" s="5"/>
    </row>
    <row r="41" customFormat="false" ht="13.5" hidden="false" customHeight="true" outlineLevel="0" collapsed="false">
      <c r="A41" s="5"/>
      <c r="B41" s="5"/>
      <c r="C41" s="5"/>
      <c r="D41" s="5"/>
      <c r="E41" s="5"/>
      <c r="F41" s="5"/>
      <c r="G41" s="5"/>
      <c r="H41" s="5"/>
      <c r="I41" s="5"/>
      <c r="J41" s="5"/>
      <c r="K41" s="5"/>
      <c r="L41" s="5"/>
      <c r="M41" s="5"/>
      <c r="N41" s="5"/>
      <c r="O41" s="5"/>
      <c r="P41" s="5"/>
    </row>
    <row r="42" customFormat="false" ht="13.5" hidden="false" customHeight="true" outlineLevel="0" collapsed="false">
      <c r="A42" s="5"/>
      <c r="B42" s="5"/>
      <c r="C42" s="5"/>
      <c r="D42" s="5"/>
      <c r="E42" s="5"/>
      <c r="F42" s="5"/>
      <c r="G42" s="5"/>
      <c r="H42" s="5"/>
      <c r="I42" s="5"/>
      <c r="J42" s="5"/>
      <c r="K42" s="5"/>
      <c r="L42" s="5"/>
      <c r="M42" s="5"/>
      <c r="N42" s="5"/>
      <c r="O42" s="5"/>
      <c r="P42" s="5"/>
    </row>
    <row r="43" customFormat="false" ht="13.5" hidden="false" customHeight="true" outlineLevel="0" collapsed="false">
      <c r="A43" s="5"/>
      <c r="B43" s="5"/>
      <c r="C43" s="5"/>
      <c r="D43" s="5"/>
      <c r="E43" s="5"/>
      <c r="F43" s="5"/>
      <c r="G43" s="5"/>
      <c r="H43" s="5"/>
      <c r="I43" s="5"/>
      <c r="J43" s="5"/>
      <c r="K43" s="5"/>
      <c r="L43" s="5"/>
      <c r="M43" s="5"/>
      <c r="N43" s="5"/>
      <c r="O43" s="5"/>
      <c r="P43" s="5"/>
    </row>
    <row r="44" customFormat="false" ht="13.5" hidden="false" customHeight="true" outlineLevel="0" collapsed="false">
      <c r="A44" s="5"/>
      <c r="B44" s="5"/>
      <c r="C44" s="5"/>
      <c r="D44" s="5"/>
      <c r="E44" s="5"/>
      <c r="F44" s="5"/>
      <c r="G44" s="5"/>
      <c r="H44" s="5"/>
      <c r="I44" s="5"/>
      <c r="J44" s="5"/>
      <c r="K44" s="5"/>
      <c r="L44" s="5"/>
      <c r="M44" s="5"/>
      <c r="N44" s="5"/>
      <c r="O44" s="5"/>
      <c r="P44" s="5"/>
    </row>
    <row r="45" customFormat="false" ht="19.5" hidden="false" customHeight="true" outlineLevel="0" collapsed="false">
      <c r="A45" s="13" t="s">
        <v>27</v>
      </c>
      <c r="B45" s="13"/>
      <c r="C45" s="13"/>
      <c r="D45" s="13"/>
      <c r="E45" s="13"/>
      <c r="F45" s="13"/>
      <c r="G45" s="13"/>
      <c r="H45" s="13"/>
      <c r="I45" s="13"/>
      <c r="J45" s="13"/>
      <c r="K45" s="13"/>
      <c r="L45" s="13"/>
      <c r="M45" s="13"/>
      <c r="N45" s="13"/>
      <c r="O45" s="13"/>
      <c r="P45" s="13"/>
    </row>
    <row r="46" customFormat="false" ht="13.5" hidden="false" customHeight="true" outlineLevel="0" collapsed="false">
      <c r="A46" s="5"/>
      <c r="B46" s="5"/>
      <c r="C46" s="5"/>
      <c r="D46" s="5"/>
      <c r="E46" s="5"/>
      <c r="F46" s="5"/>
      <c r="G46" s="5"/>
      <c r="H46" s="5"/>
      <c r="I46" s="5"/>
      <c r="J46" s="5"/>
      <c r="K46" s="5"/>
      <c r="L46" s="5"/>
      <c r="M46" s="5"/>
      <c r="N46" s="5"/>
      <c r="O46" s="5"/>
      <c r="P46" s="5"/>
    </row>
    <row r="47" customFormat="false" ht="13.5" hidden="false" customHeight="true" outlineLevel="0" collapsed="false">
      <c r="A47" s="5"/>
      <c r="B47" s="5"/>
      <c r="C47" s="5"/>
      <c r="D47" s="5"/>
      <c r="E47" s="5"/>
      <c r="F47" s="5"/>
      <c r="G47" s="5"/>
      <c r="H47" s="5"/>
      <c r="I47" s="5"/>
      <c r="J47" s="5"/>
      <c r="K47" s="5"/>
      <c r="L47" s="5"/>
      <c r="M47" s="5"/>
      <c r="N47" s="5"/>
      <c r="O47" s="5"/>
      <c r="P47" s="5"/>
    </row>
    <row r="48" customFormat="false" ht="13.5" hidden="false" customHeight="true" outlineLevel="0" collapsed="false">
      <c r="A48" s="5"/>
      <c r="B48" s="5"/>
      <c r="C48" s="5"/>
      <c r="D48" s="5"/>
      <c r="E48" s="5"/>
      <c r="F48" s="5"/>
      <c r="G48" s="5"/>
      <c r="H48" s="5"/>
      <c r="I48" s="5"/>
      <c r="J48" s="5"/>
      <c r="K48" s="5"/>
      <c r="L48" s="5"/>
      <c r="M48" s="5"/>
      <c r="N48" s="5"/>
      <c r="O48" s="5"/>
      <c r="P48" s="5"/>
    </row>
    <row r="49" customFormat="false" ht="13.5" hidden="false" customHeight="true" outlineLevel="0" collapsed="false">
      <c r="A49" s="5"/>
      <c r="B49" s="5"/>
      <c r="C49" s="5"/>
      <c r="D49" s="5"/>
      <c r="E49" s="5"/>
      <c r="F49" s="5"/>
      <c r="G49" s="5"/>
      <c r="H49" s="5"/>
      <c r="I49" s="5"/>
      <c r="J49" s="5"/>
      <c r="K49" s="5"/>
      <c r="L49" s="5"/>
      <c r="M49" s="5"/>
      <c r="N49" s="5"/>
      <c r="O49" s="5"/>
      <c r="P49" s="5"/>
    </row>
    <row r="50" customFormat="false" ht="13.5" hidden="false" customHeight="true" outlineLevel="0" collapsed="false">
      <c r="A50" s="5"/>
      <c r="B50" s="5"/>
      <c r="C50" s="5"/>
      <c r="D50" s="5"/>
      <c r="E50" s="5"/>
      <c r="F50" s="5"/>
      <c r="G50" s="5"/>
      <c r="H50" s="5"/>
      <c r="I50" s="5"/>
      <c r="J50" s="5"/>
      <c r="K50" s="5"/>
      <c r="L50" s="5"/>
      <c r="M50" s="5"/>
      <c r="N50" s="5"/>
      <c r="O50" s="5"/>
      <c r="P50" s="5"/>
    </row>
    <row r="51" customFormat="false" ht="13.5" hidden="false" customHeight="true" outlineLevel="0" collapsed="false">
      <c r="A51" s="5"/>
      <c r="B51" s="5"/>
      <c r="C51" s="5"/>
      <c r="D51" s="5"/>
      <c r="E51" s="5"/>
      <c r="F51" s="5"/>
      <c r="G51" s="5"/>
      <c r="H51" s="5"/>
      <c r="I51" s="5"/>
      <c r="J51" s="5"/>
      <c r="K51" s="5"/>
      <c r="L51" s="5"/>
      <c r="M51" s="5"/>
      <c r="N51" s="5"/>
      <c r="O51" s="5"/>
      <c r="P51" s="5"/>
    </row>
    <row r="52" customFormat="false" ht="13.5" hidden="false" customHeight="true" outlineLevel="0" collapsed="false">
      <c r="A52" s="5"/>
      <c r="B52" s="5"/>
      <c r="C52" s="5"/>
      <c r="D52" s="5"/>
      <c r="E52" s="5"/>
      <c r="F52" s="5"/>
      <c r="G52" s="5"/>
      <c r="H52" s="5"/>
      <c r="I52" s="5"/>
      <c r="J52" s="5"/>
      <c r="K52" s="5"/>
      <c r="L52" s="5"/>
      <c r="M52" s="5"/>
      <c r="N52" s="5"/>
      <c r="O52" s="5"/>
      <c r="P52" s="5"/>
    </row>
    <row r="53" customFormat="false" ht="13.5" hidden="false" customHeight="true" outlineLevel="0" collapsed="false">
      <c r="A53" s="5"/>
      <c r="B53" s="5"/>
      <c r="C53" s="5"/>
      <c r="D53" s="5"/>
      <c r="E53" s="5"/>
      <c r="F53" s="5"/>
      <c r="G53" s="5"/>
      <c r="H53" s="5"/>
      <c r="I53" s="5"/>
      <c r="J53" s="5"/>
      <c r="K53" s="5"/>
      <c r="L53" s="5"/>
      <c r="M53" s="5"/>
      <c r="N53" s="5"/>
      <c r="O53" s="5"/>
      <c r="P53" s="5"/>
    </row>
    <row r="54" customFormat="false" ht="13.5" hidden="false" customHeight="true" outlineLevel="0" collapsed="false">
      <c r="A54" s="5"/>
      <c r="B54" s="5"/>
      <c r="C54" s="5"/>
      <c r="D54" s="5"/>
      <c r="E54" s="5"/>
      <c r="F54" s="5"/>
      <c r="G54" s="5"/>
      <c r="H54" s="5"/>
      <c r="I54" s="5"/>
      <c r="J54" s="5"/>
      <c r="K54" s="5"/>
      <c r="L54" s="5"/>
      <c r="M54" s="5"/>
      <c r="N54" s="5"/>
      <c r="O54" s="5"/>
      <c r="P54" s="5"/>
    </row>
    <row r="55" customFormat="false" ht="13.5" hidden="false" customHeight="true" outlineLevel="0" collapsed="false">
      <c r="A55" s="5"/>
      <c r="B55" s="5"/>
      <c r="C55" s="5"/>
      <c r="D55" s="5"/>
      <c r="E55" s="5"/>
      <c r="F55" s="5"/>
      <c r="G55" s="5"/>
      <c r="H55" s="5"/>
      <c r="I55" s="5"/>
      <c r="J55" s="5"/>
      <c r="K55" s="5"/>
      <c r="L55" s="5"/>
      <c r="M55" s="5"/>
      <c r="N55" s="5"/>
      <c r="O55" s="5"/>
      <c r="P55" s="5"/>
    </row>
    <row r="56" customFormat="false" ht="13.5" hidden="false" customHeight="true" outlineLevel="0" collapsed="false">
      <c r="A56" s="5"/>
      <c r="B56" s="5"/>
      <c r="C56" s="5"/>
      <c r="D56" s="5"/>
      <c r="E56" s="5"/>
      <c r="F56" s="5"/>
      <c r="G56" s="5"/>
      <c r="H56" s="5"/>
      <c r="I56" s="5"/>
      <c r="J56" s="5"/>
      <c r="K56" s="5"/>
      <c r="L56" s="5"/>
      <c r="M56" s="5"/>
      <c r="N56" s="5"/>
      <c r="O56" s="5"/>
      <c r="P56" s="5"/>
    </row>
    <row r="57" customFormat="false" ht="13.5" hidden="false" customHeight="true" outlineLevel="0" collapsed="false">
      <c r="A57" s="5"/>
      <c r="B57" s="5"/>
      <c r="C57" s="5"/>
      <c r="D57" s="5"/>
      <c r="E57" s="5"/>
      <c r="F57" s="5"/>
      <c r="G57" s="5"/>
      <c r="H57" s="5"/>
      <c r="I57" s="5"/>
      <c r="J57" s="5"/>
      <c r="K57" s="5"/>
      <c r="L57" s="5"/>
      <c r="M57" s="5"/>
      <c r="N57" s="5"/>
      <c r="O57" s="5"/>
      <c r="P57" s="5"/>
    </row>
    <row r="58" customFormat="false" ht="13.5" hidden="false" customHeight="true" outlineLevel="0" collapsed="false">
      <c r="A58" s="5"/>
      <c r="B58" s="5"/>
      <c r="C58" s="5"/>
      <c r="D58" s="5"/>
      <c r="E58" s="5"/>
      <c r="F58" s="5"/>
      <c r="G58" s="5"/>
      <c r="H58" s="5"/>
      <c r="I58" s="5"/>
      <c r="J58" s="5"/>
      <c r="K58" s="5"/>
      <c r="L58" s="5"/>
      <c r="M58" s="5"/>
      <c r="N58" s="5"/>
      <c r="O58" s="5"/>
      <c r="P58" s="5"/>
    </row>
    <row r="59" customFormat="false" ht="13.5" hidden="false" customHeight="true" outlineLevel="0" collapsed="false">
      <c r="A59" s="5"/>
      <c r="B59" s="5"/>
      <c r="C59" s="5"/>
      <c r="D59" s="5"/>
      <c r="E59" s="5"/>
      <c r="F59" s="5"/>
      <c r="G59" s="5"/>
      <c r="H59" s="5"/>
      <c r="I59" s="5"/>
      <c r="J59" s="5"/>
      <c r="K59" s="5"/>
      <c r="L59" s="5"/>
      <c r="M59" s="5"/>
      <c r="N59" s="5"/>
      <c r="O59" s="5"/>
      <c r="P59" s="5"/>
    </row>
    <row r="60" customFormat="false" ht="13.5" hidden="false" customHeight="true" outlineLevel="0" collapsed="false">
      <c r="A60" s="5"/>
      <c r="B60" s="5"/>
      <c r="C60" s="5"/>
      <c r="D60" s="5"/>
      <c r="E60" s="5"/>
      <c r="F60" s="5"/>
      <c r="G60" s="5"/>
      <c r="H60" s="5"/>
      <c r="I60" s="5"/>
      <c r="J60" s="5"/>
      <c r="K60" s="5"/>
      <c r="L60" s="5"/>
      <c r="M60" s="5"/>
      <c r="N60" s="5"/>
      <c r="O60" s="5"/>
      <c r="P60" s="5"/>
    </row>
    <row r="61" customFormat="false" ht="13.5" hidden="false" customHeight="true" outlineLevel="0" collapsed="false">
      <c r="A61" s="5"/>
      <c r="B61" s="5"/>
      <c r="C61" s="5"/>
      <c r="D61" s="5"/>
      <c r="E61" s="5"/>
      <c r="F61" s="5"/>
      <c r="G61" s="5"/>
      <c r="H61" s="5"/>
      <c r="I61" s="5"/>
      <c r="J61" s="5"/>
      <c r="K61" s="5"/>
      <c r="L61" s="5"/>
      <c r="M61" s="5"/>
      <c r="N61" s="5"/>
      <c r="O61" s="5"/>
      <c r="P61" s="5"/>
    </row>
    <row r="62" customFormat="false" ht="13.5" hidden="false" customHeight="true" outlineLevel="0" collapsed="false">
      <c r="A62" s="5"/>
      <c r="B62" s="5"/>
      <c r="C62" s="5"/>
      <c r="D62" s="5"/>
      <c r="E62" s="5"/>
      <c r="F62" s="5"/>
      <c r="G62" s="5"/>
      <c r="H62" s="5"/>
      <c r="I62" s="5"/>
      <c r="J62" s="5"/>
      <c r="K62" s="5"/>
      <c r="L62" s="5"/>
      <c r="M62" s="5"/>
      <c r="N62" s="5"/>
      <c r="O62" s="5"/>
      <c r="P62" s="5"/>
    </row>
    <row r="63" customFormat="false" ht="13.5" hidden="false" customHeight="true" outlineLevel="0" collapsed="false">
      <c r="A63" s="5"/>
      <c r="B63" s="5"/>
      <c r="C63" s="5"/>
      <c r="D63" s="5"/>
      <c r="E63" s="5"/>
      <c r="F63" s="5"/>
      <c r="G63" s="5"/>
      <c r="H63" s="5"/>
      <c r="I63" s="5"/>
      <c r="J63" s="5"/>
      <c r="K63" s="5"/>
      <c r="L63" s="5"/>
      <c r="M63" s="5"/>
      <c r="N63" s="5"/>
      <c r="O63" s="5"/>
      <c r="P63" s="5"/>
    </row>
    <row r="64" customFormat="false" ht="19.5" hidden="false" customHeight="true" outlineLevel="0" collapsed="false">
      <c r="A64" s="13" t="s">
        <v>28</v>
      </c>
      <c r="B64" s="13"/>
      <c r="C64" s="13"/>
      <c r="D64" s="13"/>
      <c r="E64" s="13"/>
      <c r="F64" s="13"/>
      <c r="G64" s="13"/>
      <c r="H64" s="13"/>
      <c r="I64" s="13"/>
      <c r="J64" s="13"/>
      <c r="K64" s="13"/>
      <c r="L64" s="13"/>
      <c r="M64" s="13"/>
      <c r="N64" s="13"/>
      <c r="O64" s="13"/>
      <c r="P64" s="13"/>
    </row>
    <row r="65" customFormat="false" ht="27.75" hidden="false" customHeight="true" outlineLevel="0" collapsed="false">
      <c r="A65" s="23" t="s">
        <v>5</v>
      </c>
      <c r="B65" s="23"/>
      <c r="C65" s="23"/>
      <c r="D65" s="23" t="s">
        <v>29</v>
      </c>
      <c r="E65" s="23" t="s">
        <v>30</v>
      </c>
      <c r="F65" s="23" t="s">
        <v>31</v>
      </c>
      <c r="G65" s="23" t="s">
        <v>32</v>
      </c>
      <c r="H65" s="23" t="s">
        <v>33</v>
      </c>
      <c r="I65" s="5"/>
      <c r="J65" s="5"/>
      <c r="K65" s="5"/>
      <c r="L65" s="5"/>
      <c r="M65" s="5"/>
      <c r="N65" s="5"/>
      <c r="O65" s="5"/>
      <c r="P65" s="5"/>
    </row>
    <row r="66" customFormat="false" ht="15.75" hidden="false" customHeight="true" outlineLevel="0" collapsed="false">
      <c r="A66" s="24" t="str">
        <f aca="false">Master_Tracker!$A$43</f>
        <v>Residential</v>
      </c>
      <c r="B66" s="24"/>
      <c r="C66" s="24"/>
      <c r="D66" s="25" t="n">
        <f aca="false">Master_Tracker!$D$43</f>
        <v>151246431</v>
      </c>
      <c r="E66" s="25" t="n">
        <f aca="false">Master_Tracker!$F$43</f>
        <v>131285430</v>
      </c>
      <c r="F66" s="25" t="n">
        <f aca="false">Master_Tracker!$P$43</f>
        <v>143089925.290764</v>
      </c>
      <c r="G66" s="26" t="n">
        <f aca="false">Master_Tracker!$N$43</f>
        <v>0.862166899487835</v>
      </c>
      <c r="H66" s="26" t="n">
        <f aca="false">Master_Tracker!$O$43</f>
        <v>0.924457638062382</v>
      </c>
      <c r="I66" s="5"/>
      <c r="J66" s="5"/>
      <c r="K66" s="5"/>
      <c r="L66" s="5"/>
      <c r="M66" s="5"/>
      <c r="N66" s="5"/>
      <c r="O66" s="5"/>
      <c r="P66" s="5"/>
    </row>
    <row r="67" customFormat="false" ht="15.75" hidden="false" customHeight="true" outlineLevel="0" collapsed="false">
      <c r="A67" s="24" t="str">
        <f aca="false">Master_Tracker!$A$44</f>
        <v>Commercial</v>
      </c>
      <c r="B67" s="24"/>
      <c r="C67" s="24"/>
      <c r="D67" s="25" t="n">
        <f aca="false">Master_Tracker!$D$44</f>
        <v>339845840</v>
      </c>
      <c r="E67" s="25" t="n">
        <f aca="false">Master_Tracker!$F$44</f>
        <v>300501675</v>
      </c>
      <c r="F67" s="25" t="n">
        <f aca="false">Master_Tracker!$P$44</f>
        <v>300924618.3985</v>
      </c>
      <c r="G67" s="26" t="n">
        <f aca="false">Master_Tracker!$N$44</f>
        <v>0.984347961203182</v>
      </c>
      <c r="H67" s="26" t="n">
        <f aca="false">Master_Tracker!$O$44</f>
        <v>0.999221333006204</v>
      </c>
      <c r="I67" s="5"/>
      <c r="J67" s="5"/>
      <c r="K67" s="5"/>
      <c r="L67" s="5"/>
      <c r="M67" s="5"/>
      <c r="N67" s="5"/>
      <c r="O67" s="5"/>
      <c r="P67" s="5"/>
    </row>
    <row r="68" customFormat="false" ht="15.75" hidden="false" customHeight="true" outlineLevel="0" collapsed="false">
      <c r="A68" s="24" t="str">
        <f aca="false">Master_Tracker!$A$45</f>
        <v>Mixed Use</v>
      </c>
      <c r="B68" s="24"/>
      <c r="C68" s="24"/>
      <c r="D68" s="25" t="n">
        <f aca="false">Master_Tracker!$D$45</f>
        <v>286029300</v>
      </c>
      <c r="E68" s="25" t="n">
        <f aca="false">Master_Tracker!$F$45</f>
        <v>251643425</v>
      </c>
      <c r="F68" s="25" t="n">
        <f aca="false">Master_Tracker!$P$45</f>
        <v>269792566.549354</v>
      </c>
      <c r="G68" s="26" t="n">
        <f aca="false">Master_Tracker!$N$45</f>
        <v>0.921847114995896</v>
      </c>
      <c r="H68" s="26" t="n">
        <f aca="false">Master_Tracker!$O$45</f>
        <v>0.938165160431771</v>
      </c>
      <c r="I68" s="5"/>
      <c r="J68" s="5"/>
      <c r="K68" s="5"/>
      <c r="L68" s="5"/>
      <c r="M68" s="5"/>
      <c r="N68" s="5"/>
      <c r="O68" s="5"/>
      <c r="P68" s="5"/>
    </row>
    <row r="69" customFormat="false" ht="15.75" hidden="false" customHeight="true" outlineLevel="0" collapsed="false">
      <c r="A69" s="24" t="str">
        <f aca="false">Master_Tracker!$A$46</f>
        <v>Land Development</v>
      </c>
      <c r="B69" s="24"/>
      <c r="C69" s="24"/>
      <c r="D69" s="25" t="n">
        <f aca="false">Master_Tracker!$D$46</f>
        <v>214106785</v>
      </c>
      <c r="E69" s="25" t="n">
        <f aca="false">Master_Tracker!$F$46</f>
        <v>184535805</v>
      </c>
      <c r="F69" s="25" t="n">
        <f aca="false">Master_Tracker!$P$46</f>
        <v>181878648.147824</v>
      </c>
      <c r="G69" s="26" t="n">
        <f aca="false">Master_Tracker!$N$46</f>
        <v>0.986121273218579</v>
      </c>
      <c r="H69" s="26" t="n">
        <f aca="false">Master_Tracker!$O$46</f>
        <v>1.01679767941976</v>
      </c>
      <c r="I69" s="5"/>
      <c r="J69" s="5"/>
      <c r="K69" s="5"/>
      <c r="L69" s="5"/>
      <c r="M69" s="5"/>
      <c r="N69" s="5"/>
      <c r="O69" s="5"/>
      <c r="P69" s="5"/>
    </row>
    <row r="70" customFormat="false" ht="15" hidden="false" customHeight="true" outlineLevel="0" collapsed="false">
      <c r="A70" s="27" t="s">
        <v>34</v>
      </c>
      <c r="B70" s="27"/>
      <c r="C70" s="27"/>
      <c r="D70" s="28" t="n">
        <f aca="false">Master_Tracker!$D$47</f>
        <v>991228356</v>
      </c>
      <c r="E70" s="28" t="n">
        <f aca="false">Master_Tracker!$F$47</f>
        <v>867966335</v>
      </c>
      <c r="F70" s="28" t="n">
        <f aca="false">Master_Tracker!$P$47</f>
        <v>895685758.386441</v>
      </c>
      <c r="G70" s="29" t="n">
        <f aca="false">Master_Tracker!$N$47</f>
        <v>0.953759503292164</v>
      </c>
      <c r="H70" s="29" t="n">
        <f aca="false">Master_Tracker!$O$47</f>
        <v>0.980125459095592</v>
      </c>
      <c r="I70" s="5"/>
      <c r="J70" s="5"/>
      <c r="K70" s="5"/>
      <c r="L70" s="5"/>
      <c r="M70" s="5"/>
      <c r="N70" s="5"/>
      <c r="O70" s="5"/>
      <c r="P70" s="5"/>
    </row>
    <row r="71" customFormat="false" ht="13.5" hidden="false" customHeight="true" outlineLevel="0" collapsed="false">
      <c r="A71" s="5"/>
      <c r="B71" s="5"/>
      <c r="C71" s="5"/>
      <c r="D71" s="5"/>
      <c r="E71" s="5"/>
      <c r="F71" s="5"/>
      <c r="G71" s="5"/>
      <c r="H71" s="5"/>
      <c r="I71" s="5"/>
      <c r="J71" s="5"/>
      <c r="K71" s="5"/>
      <c r="L71" s="5"/>
      <c r="M71" s="5"/>
      <c r="N71" s="5"/>
      <c r="O71" s="5"/>
      <c r="P71" s="5"/>
    </row>
    <row r="72" customFormat="false" ht="13.5" hidden="false" customHeight="true" outlineLevel="0" collapsed="false">
      <c r="A72" s="5"/>
      <c r="B72" s="5"/>
      <c r="C72" s="5"/>
      <c r="D72" s="5"/>
      <c r="E72" s="5"/>
      <c r="F72" s="5"/>
      <c r="G72" s="5"/>
      <c r="H72" s="5"/>
      <c r="I72" s="5"/>
      <c r="J72" s="5"/>
      <c r="K72" s="5"/>
      <c r="L72" s="5"/>
      <c r="M72" s="5"/>
      <c r="N72" s="5"/>
      <c r="O72" s="5"/>
      <c r="P72" s="5"/>
    </row>
    <row r="73" customFormat="false" ht="13.5" hidden="false" customHeight="true" outlineLevel="0" collapsed="false">
      <c r="A73" s="5"/>
      <c r="B73" s="5"/>
      <c r="C73" s="5"/>
      <c r="D73" s="5"/>
      <c r="E73" s="5"/>
      <c r="F73" s="5"/>
      <c r="G73" s="5"/>
      <c r="H73" s="5"/>
      <c r="I73" s="5"/>
      <c r="J73" s="5"/>
      <c r="K73" s="5"/>
      <c r="L73" s="5"/>
      <c r="M73" s="5"/>
      <c r="N73" s="5"/>
      <c r="O73" s="5"/>
      <c r="P73" s="5"/>
    </row>
    <row r="74" customFormat="false" ht="13.5" hidden="false" customHeight="true" outlineLevel="0" collapsed="false">
      <c r="A74" s="5"/>
      <c r="B74" s="5"/>
      <c r="C74" s="5"/>
      <c r="D74" s="5"/>
      <c r="E74" s="5"/>
      <c r="F74" s="5"/>
      <c r="G74" s="5"/>
      <c r="H74" s="5"/>
      <c r="I74" s="5"/>
      <c r="J74" s="5"/>
      <c r="K74" s="5"/>
      <c r="L74" s="5"/>
      <c r="M74" s="5"/>
      <c r="N74" s="5"/>
      <c r="O74" s="5"/>
      <c r="P74" s="5"/>
    </row>
    <row r="75" customFormat="false" ht="13.5" hidden="false" customHeight="true" outlineLevel="0" collapsed="false">
      <c r="A75" s="5"/>
      <c r="B75" s="5"/>
      <c r="C75" s="5"/>
      <c r="D75" s="5"/>
      <c r="E75" s="5"/>
      <c r="F75" s="5"/>
      <c r="G75" s="5"/>
      <c r="H75" s="5"/>
      <c r="I75" s="5"/>
      <c r="J75" s="5"/>
      <c r="K75" s="5"/>
      <c r="L75" s="5"/>
      <c r="M75" s="5"/>
      <c r="N75" s="5"/>
      <c r="O75" s="5"/>
      <c r="P75" s="5"/>
    </row>
    <row r="76" customFormat="false" ht="13.5" hidden="false" customHeight="true" outlineLevel="0" collapsed="false">
      <c r="A76" s="5"/>
      <c r="B76" s="5"/>
      <c r="C76" s="5"/>
      <c r="D76" s="5"/>
      <c r="E76" s="5"/>
      <c r="F76" s="5"/>
      <c r="G76" s="5"/>
      <c r="H76" s="5"/>
      <c r="I76" s="5"/>
      <c r="J76" s="5"/>
      <c r="K76" s="5"/>
      <c r="L76" s="5"/>
      <c r="M76" s="5"/>
      <c r="N76" s="5"/>
      <c r="O76" s="5"/>
      <c r="P76" s="5"/>
    </row>
    <row r="77" customFormat="false" ht="13.5" hidden="false" customHeight="true" outlineLevel="0" collapsed="false">
      <c r="A77" s="5"/>
      <c r="B77" s="5"/>
      <c r="C77" s="5"/>
      <c r="D77" s="5"/>
      <c r="E77" s="5"/>
      <c r="F77" s="5"/>
      <c r="G77" s="5"/>
      <c r="H77" s="5"/>
      <c r="I77" s="5"/>
      <c r="J77" s="5"/>
      <c r="K77" s="5"/>
      <c r="L77" s="5"/>
      <c r="M77" s="5"/>
      <c r="N77" s="5"/>
      <c r="O77" s="5"/>
      <c r="P77" s="5"/>
    </row>
    <row r="78" customFormat="false" ht="13.5" hidden="false" customHeight="true" outlineLevel="0" collapsed="false">
      <c r="A78" s="5"/>
      <c r="B78" s="5"/>
      <c r="C78" s="5"/>
      <c r="D78" s="5"/>
      <c r="E78" s="5"/>
      <c r="F78" s="5"/>
      <c r="G78" s="5"/>
      <c r="H78" s="5"/>
      <c r="I78" s="5"/>
      <c r="J78" s="5"/>
      <c r="K78" s="5"/>
      <c r="L78" s="5"/>
      <c r="M78" s="5"/>
      <c r="N78" s="5"/>
      <c r="O78" s="5"/>
      <c r="P78" s="5"/>
    </row>
    <row r="79" customFormat="false" ht="13.5" hidden="false" customHeight="true" outlineLevel="0" collapsed="false">
      <c r="A79" s="5"/>
      <c r="B79" s="5"/>
      <c r="C79" s="5"/>
      <c r="D79" s="5"/>
      <c r="E79" s="5"/>
      <c r="F79" s="5"/>
      <c r="G79" s="5"/>
      <c r="H79" s="5"/>
      <c r="I79" s="5"/>
      <c r="J79" s="5"/>
      <c r="K79" s="5"/>
      <c r="L79" s="5"/>
      <c r="M79" s="5"/>
      <c r="N79" s="5"/>
      <c r="O79" s="5"/>
      <c r="P79" s="5"/>
    </row>
    <row r="80" customFormat="false" ht="13.5" hidden="false" customHeight="true" outlineLevel="0" collapsed="false">
      <c r="A80" s="5"/>
      <c r="B80" s="5"/>
      <c r="C80" s="5"/>
      <c r="D80" s="5"/>
      <c r="E80" s="5"/>
      <c r="F80" s="5"/>
      <c r="G80" s="5"/>
      <c r="H80" s="5"/>
      <c r="I80" s="5"/>
      <c r="J80" s="5"/>
      <c r="K80" s="5"/>
      <c r="L80" s="5"/>
      <c r="M80" s="5"/>
      <c r="N80" s="5"/>
      <c r="O80" s="5"/>
      <c r="P80" s="5"/>
    </row>
    <row r="81" customFormat="false" ht="13.5" hidden="false" customHeight="true" outlineLevel="0" collapsed="false">
      <c r="A81" s="5"/>
      <c r="B81" s="5"/>
      <c r="C81" s="5"/>
      <c r="D81" s="5"/>
      <c r="E81" s="5"/>
      <c r="F81" s="5"/>
      <c r="G81" s="5"/>
      <c r="H81" s="5"/>
      <c r="I81" s="5"/>
      <c r="J81" s="5"/>
      <c r="K81" s="5"/>
      <c r="L81" s="5"/>
      <c r="M81" s="5"/>
      <c r="N81" s="5"/>
      <c r="O81" s="5"/>
      <c r="P81" s="5"/>
    </row>
    <row r="82" customFormat="false" ht="15" hidden="false" customHeight="true" outlineLevel="0" collapsed="false">
      <c r="A82" s="5"/>
      <c r="B82" s="5"/>
      <c r="C82" s="5"/>
      <c r="D82" s="5"/>
      <c r="E82" s="5"/>
      <c r="F82" s="5"/>
      <c r="G82" s="5"/>
      <c r="H82" s="5"/>
      <c r="I82" s="5"/>
      <c r="J82" s="5"/>
      <c r="K82" s="5"/>
      <c r="L82" s="5"/>
      <c r="M82" s="5"/>
      <c r="N82" s="5"/>
      <c r="O82" s="5"/>
      <c r="P82" s="5"/>
    </row>
    <row r="83" customFormat="false" ht="19.5" hidden="false" customHeight="true" outlineLevel="0" collapsed="false">
      <c r="A83" s="13" t="s">
        <v>35</v>
      </c>
      <c r="B83" s="13"/>
      <c r="C83" s="13"/>
      <c r="D83" s="13"/>
      <c r="E83" s="13"/>
      <c r="F83" s="13"/>
      <c r="G83" s="13"/>
      <c r="H83" s="13"/>
      <c r="I83" s="13"/>
      <c r="J83" s="13"/>
      <c r="K83" s="13"/>
      <c r="L83" s="13"/>
      <c r="M83" s="13"/>
      <c r="N83" s="13"/>
      <c r="O83" s="13"/>
      <c r="P83" s="13"/>
    </row>
    <row r="84" customFormat="false" ht="27.75" hidden="false" customHeight="true" outlineLevel="0" collapsed="false">
      <c r="A84" s="23" t="s">
        <v>7</v>
      </c>
      <c r="B84" s="23"/>
      <c r="C84" s="23"/>
      <c r="D84" s="23" t="s">
        <v>29</v>
      </c>
      <c r="E84" s="23" t="s">
        <v>30</v>
      </c>
      <c r="F84" s="23" t="s">
        <v>31</v>
      </c>
      <c r="G84" s="23" t="s">
        <v>32</v>
      </c>
      <c r="H84" s="23" t="s">
        <v>33</v>
      </c>
      <c r="I84" s="5"/>
      <c r="J84" s="5"/>
      <c r="K84" s="5"/>
      <c r="L84" s="5"/>
      <c r="M84" s="5"/>
      <c r="N84" s="5"/>
      <c r="O84" s="5"/>
      <c r="P84" s="5"/>
    </row>
    <row r="85" customFormat="false" ht="15" hidden="false" customHeight="true" outlineLevel="0" collapsed="false">
      <c r="A85" s="30" t="str">
        <f aca="false">Projects!$A$9&amp;" · "&amp;LEFT(Projects!$B$9,34)</f>
        <v>RES-01 · Tazayud Riyadh Residences — Towers</v>
      </c>
      <c r="B85" s="30"/>
      <c r="C85" s="30"/>
      <c r="D85" s="31" t="n">
        <f aca="false">Projects!$Q$9</f>
        <v>99754591</v>
      </c>
      <c r="E85" s="31" t="n">
        <f aca="false">Projects!$R$9</f>
        <v>87767785</v>
      </c>
      <c r="F85" s="31" t="n">
        <f aca="false">Projects!$AA$9</f>
        <v>93868041.9773548</v>
      </c>
      <c r="G85" s="32" t="n">
        <f aca="false">Projects!$Y$9</f>
        <v>0.884912601556118</v>
      </c>
      <c r="H85" s="32" t="n">
        <f aca="false">Projects!$Z$9</f>
        <v>0.935012419042187</v>
      </c>
      <c r="I85" s="5"/>
      <c r="J85" s="5"/>
      <c r="K85" s="5"/>
      <c r="L85" s="5"/>
      <c r="M85" s="5"/>
      <c r="N85" s="5"/>
      <c r="O85" s="5"/>
      <c r="P85" s="5"/>
    </row>
    <row r="86" customFormat="false" ht="15" hidden="false" customHeight="true" outlineLevel="0" collapsed="false">
      <c r="A86" s="30" t="str">
        <f aca="false">Projects!$A$10&amp;" · "&amp;LEFT(Projects!$B$10,34)</f>
        <v>RES-02 · Tazayud Buraydah Residential Compo</v>
      </c>
      <c r="B86" s="30"/>
      <c r="C86" s="30"/>
      <c r="D86" s="31" t="n">
        <f aca="false">Projects!$Q$10</f>
        <v>51491840</v>
      </c>
      <c r="E86" s="31" t="n">
        <f aca="false">Projects!$R$10</f>
        <v>43517645</v>
      </c>
      <c r="F86" s="31" t="n">
        <f aca="false">Projects!$AA$10</f>
        <v>49221883.3134088</v>
      </c>
      <c r="G86" s="32" t="n">
        <f aca="false">Projects!$Y$10</f>
        <v>0.781011612412379</v>
      </c>
      <c r="H86" s="32" t="n">
        <f aca="false">Projects!$Z$10</f>
        <v>0.884111741984994</v>
      </c>
      <c r="I86" s="5"/>
      <c r="J86" s="5"/>
      <c r="K86" s="5"/>
      <c r="L86" s="5"/>
      <c r="M86" s="5"/>
      <c r="N86" s="5"/>
      <c r="O86" s="5"/>
      <c r="P86" s="5"/>
    </row>
    <row r="87" customFormat="false" ht="15" hidden="false" customHeight="true" outlineLevel="0" collapsed="false">
      <c r="A87" s="30" t="str">
        <f aca="false">Projects!$A$11&amp;" · "&amp;LEFT(Projects!$B$11,34)</f>
        <v>COM-01 · Tazayud Business Park — Tower A Sh</v>
      </c>
      <c r="B87" s="30"/>
      <c r="C87" s="30"/>
      <c r="D87" s="31" t="n">
        <f aca="false">Projects!$Q$11</f>
        <v>214334480</v>
      </c>
      <c r="E87" s="31" t="n">
        <f aca="false">Projects!$R$11</f>
        <v>190683416</v>
      </c>
      <c r="F87" s="31" t="n">
        <f aca="false">Projects!$AA$11</f>
        <v>192410472.581147</v>
      </c>
      <c r="G87" s="32" t="n">
        <f aca="false">Projects!$Y$11</f>
        <v>0.954773237245202</v>
      </c>
      <c r="H87" s="32" t="n">
        <f aca="false">Projects!$Z$11</f>
        <v>0.991024103012797</v>
      </c>
      <c r="I87" s="5"/>
      <c r="J87" s="5"/>
      <c r="K87" s="5"/>
      <c r="L87" s="5"/>
      <c r="M87" s="5"/>
      <c r="N87" s="5"/>
      <c r="O87" s="5"/>
      <c r="P87" s="5"/>
    </row>
    <row r="88" customFormat="false" ht="15" hidden="false" customHeight="true" outlineLevel="0" collapsed="false">
      <c r="A88" s="30" t="str">
        <f aca="false">Projects!$A$12&amp;" · "&amp;LEFT(Projects!$B$12,34)</f>
        <v>COM-02 · Tazayud Commercial Offices — Block</v>
      </c>
      <c r="B88" s="30"/>
      <c r="C88" s="30"/>
      <c r="D88" s="31" t="n">
        <f aca="false">Projects!$Q$12</f>
        <v>125511360</v>
      </c>
      <c r="E88" s="31" t="n">
        <f aca="false">Projects!$R$12</f>
        <v>109818259</v>
      </c>
      <c r="F88" s="31" t="n">
        <f aca="false">Projects!$AA$12</f>
        <v>108514145.817352</v>
      </c>
      <c r="G88" s="32" t="n">
        <f aca="false">Projects!$Y$12</f>
        <v>1.03327620009755</v>
      </c>
      <c r="H88" s="32" t="n">
        <f aca="false">Projects!$Z$12</f>
        <v>1.01201790948844</v>
      </c>
      <c r="I88" s="5"/>
      <c r="J88" s="5"/>
      <c r="K88" s="5"/>
      <c r="L88" s="5"/>
      <c r="M88" s="5"/>
      <c r="N88" s="5"/>
      <c r="O88" s="5"/>
      <c r="P88" s="5"/>
    </row>
    <row r="89" customFormat="false" ht="15" hidden="false" customHeight="true" outlineLevel="0" collapsed="false">
      <c r="A89" s="30" t="str">
        <f aca="false">Projects!$A$13&amp;" · "&amp;LEFT(Projects!$B$13,34)</f>
        <v>MXU-01 · Tazayud Mixed-Use District — Podiu</v>
      </c>
      <c r="B89" s="30"/>
      <c r="C89" s="30"/>
      <c r="D89" s="31" t="n">
        <f aca="false">Projects!$Q$13</f>
        <v>189783810</v>
      </c>
      <c r="E89" s="31" t="n">
        <f aca="false">Projects!$R$13</f>
        <v>167910327</v>
      </c>
      <c r="F89" s="31" t="n">
        <f aca="false">Projects!$AA$13</f>
        <v>182290005.94709</v>
      </c>
      <c r="G89" s="32" t="n">
        <f aca="false">Projects!$Y$13</f>
        <v>0.87208396553562</v>
      </c>
      <c r="H89" s="32" t="n">
        <f aca="false">Projects!$Z$13</f>
        <v>0.921116471128628</v>
      </c>
      <c r="I89" s="5"/>
      <c r="J89" s="5"/>
      <c r="K89" s="5"/>
      <c r="L89" s="5"/>
      <c r="M89" s="5"/>
      <c r="N89" s="5"/>
      <c r="O89" s="5"/>
      <c r="P89" s="5"/>
    </row>
    <row r="90" customFormat="false" ht="15" hidden="false" customHeight="true" outlineLevel="0" collapsed="false">
      <c r="A90" s="30" t="str">
        <f aca="false">Projects!$A$14&amp;" · "&amp;LEFT(Projects!$B$14,34)</f>
        <v>MXU-02 · Tazayud Boulevard — Hospitality, R</v>
      </c>
      <c r="B90" s="30"/>
      <c r="C90" s="30"/>
      <c r="D90" s="31" t="n">
        <f aca="false">Projects!$Q$14</f>
        <v>96245490</v>
      </c>
      <c r="E90" s="31" t="n">
        <f aca="false">Projects!$R$14</f>
        <v>83733098</v>
      </c>
      <c r="F90" s="31" t="n">
        <f aca="false">Projects!$AA$14</f>
        <v>87502560.6022638</v>
      </c>
      <c r="G90" s="32" t="n">
        <f aca="false">Projects!$Y$14</f>
        <v>0.981136738196575</v>
      </c>
      <c r="H90" s="32" t="n">
        <f aca="false">Projects!$Z$14</f>
        <v>0.956921688047535</v>
      </c>
      <c r="I90" s="5"/>
      <c r="J90" s="5"/>
      <c r="K90" s="5"/>
      <c r="L90" s="5"/>
      <c r="M90" s="5"/>
      <c r="N90" s="5"/>
      <c r="O90" s="5"/>
      <c r="P90" s="5"/>
    </row>
    <row r="91" customFormat="false" ht="15" hidden="false" customHeight="true" outlineLevel="0" collapsed="false">
      <c r="A91" s="30" t="str">
        <f aca="false">Projects!$A$15&amp;" · "&amp;LEFT(Projects!$B$15,34)</f>
        <v>LND-01 · Tazayud Master Community — Infrast</v>
      </c>
      <c r="B91" s="30"/>
      <c r="C91" s="30"/>
      <c r="D91" s="31" t="n">
        <f aca="false">Projects!$Q$15</f>
        <v>145266620</v>
      </c>
      <c r="E91" s="31" t="n">
        <f aca="false">Projects!$R$15</f>
        <v>125671954</v>
      </c>
      <c r="F91" s="31" t="n">
        <f aca="false">Projects!$AA$15</f>
        <v>121069214.440638</v>
      </c>
      <c r="G91" s="32" t="n">
        <f aca="false">Projects!$Y$15</f>
        <v>1.0081743256066</v>
      </c>
      <c r="H91" s="32" t="n">
        <f aca="false">Projects!$Z$15</f>
        <v>1.03801742317919</v>
      </c>
      <c r="I91" s="5"/>
      <c r="J91" s="5"/>
      <c r="K91" s="5"/>
      <c r="L91" s="5"/>
      <c r="M91" s="5"/>
      <c r="N91" s="5"/>
      <c r="O91" s="5"/>
      <c r="P91" s="5"/>
    </row>
    <row r="92" customFormat="false" ht="15" hidden="false" customHeight="true" outlineLevel="0" collapsed="false">
      <c r="A92" s="30" t="str">
        <f aca="false">Projects!$A$16&amp;" · "&amp;LEFT(Projects!$B$16,34)</f>
        <v>LND-02 · Tazayud Land Development — Utility</v>
      </c>
      <c r="B92" s="30"/>
      <c r="C92" s="30"/>
      <c r="D92" s="31" t="n">
        <f aca="false">Projects!$Q$16</f>
        <v>68840165</v>
      </c>
      <c r="E92" s="31" t="n">
        <f aca="false">Projects!$R$16</f>
        <v>58863851</v>
      </c>
      <c r="F92" s="31" t="n">
        <f aca="false">Projects!$AA$16</f>
        <v>60809433.7071864</v>
      </c>
      <c r="G92" s="32" t="n">
        <f aca="false">Projects!$Y$16</f>
        <v>0.935656451638777</v>
      </c>
      <c r="H92" s="32" t="n">
        <f aca="false">Projects!$Z$16</f>
        <v>0.968005248715933</v>
      </c>
      <c r="I92" s="5"/>
      <c r="J92" s="5"/>
      <c r="K92" s="5"/>
      <c r="L92" s="5"/>
      <c r="M92" s="5"/>
      <c r="N92" s="5"/>
      <c r="O92" s="5"/>
      <c r="P92" s="5"/>
    </row>
    <row r="93" customFormat="false" ht="13.5" hidden="false" customHeight="true" outlineLevel="0" collapsed="false">
      <c r="A93" s="5"/>
      <c r="B93" s="5"/>
      <c r="C93" s="5"/>
      <c r="D93" s="5"/>
      <c r="E93" s="5"/>
      <c r="F93" s="5"/>
      <c r="G93" s="5"/>
      <c r="H93" s="5"/>
      <c r="I93" s="5"/>
      <c r="J93" s="5"/>
      <c r="K93" s="5"/>
      <c r="L93" s="5"/>
      <c r="M93" s="5"/>
      <c r="N93" s="5"/>
      <c r="O93" s="5"/>
      <c r="P93" s="5"/>
    </row>
    <row r="94" customFormat="false" ht="13.5" hidden="false" customHeight="true" outlineLevel="0" collapsed="false">
      <c r="A94" s="5"/>
      <c r="B94" s="5"/>
      <c r="C94" s="5"/>
      <c r="D94" s="5"/>
      <c r="E94" s="5"/>
      <c r="F94" s="5"/>
      <c r="G94" s="5"/>
      <c r="H94" s="5"/>
      <c r="I94" s="5"/>
      <c r="J94" s="5"/>
      <c r="K94" s="5"/>
      <c r="L94" s="5"/>
      <c r="M94" s="5"/>
      <c r="N94" s="5"/>
      <c r="O94" s="5"/>
      <c r="P94" s="5"/>
    </row>
    <row r="95" customFormat="false" ht="13.5" hidden="false" customHeight="true" outlineLevel="0" collapsed="false">
      <c r="A95" s="5"/>
      <c r="B95" s="5"/>
      <c r="C95" s="5"/>
      <c r="D95" s="5"/>
      <c r="E95" s="5"/>
      <c r="F95" s="5"/>
      <c r="G95" s="5"/>
      <c r="H95" s="5"/>
      <c r="I95" s="5"/>
      <c r="J95" s="5"/>
      <c r="K95" s="5"/>
      <c r="L95" s="5"/>
      <c r="M95" s="5"/>
      <c r="N95" s="5"/>
      <c r="O95" s="5"/>
      <c r="P95" s="5"/>
    </row>
    <row r="96" customFormat="false" ht="13.5" hidden="false" customHeight="true" outlineLevel="0" collapsed="false">
      <c r="A96" s="5"/>
      <c r="B96" s="5"/>
      <c r="C96" s="5"/>
      <c r="D96" s="5"/>
      <c r="E96" s="5"/>
      <c r="F96" s="5"/>
      <c r="G96" s="5"/>
      <c r="H96" s="5"/>
      <c r="I96" s="5"/>
      <c r="J96" s="5"/>
      <c r="K96" s="5"/>
      <c r="L96" s="5"/>
      <c r="M96" s="5"/>
      <c r="N96" s="5"/>
      <c r="O96" s="5"/>
      <c r="P96" s="5"/>
    </row>
    <row r="97" customFormat="false" ht="13.5" hidden="false" customHeight="true" outlineLevel="0" collapsed="false">
      <c r="A97" s="5"/>
      <c r="B97" s="5"/>
      <c r="C97" s="5"/>
      <c r="D97" s="5"/>
      <c r="E97" s="5"/>
      <c r="F97" s="5"/>
      <c r="G97" s="5"/>
      <c r="H97" s="5"/>
      <c r="I97" s="5"/>
      <c r="J97" s="5"/>
      <c r="K97" s="5"/>
      <c r="L97" s="5"/>
      <c r="M97" s="5"/>
      <c r="N97" s="5"/>
      <c r="O97" s="5"/>
      <c r="P97" s="5"/>
    </row>
    <row r="98" customFormat="false" ht="13.5" hidden="false" customHeight="true" outlineLevel="0" collapsed="false">
      <c r="A98" s="5"/>
      <c r="B98" s="5"/>
      <c r="C98" s="5"/>
      <c r="D98" s="5"/>
      <c r="E98" s="5"/>
      <c r="F98" s="5"/>
      <c r="G98" s="5"/>
      <c r="H98" s="5"/>
      <c r="I98" s="5"/>
      <c r="J98" s="5"/>
      <c r="K98" s="5"/>
      <c r="L98" s="5"/>
      <c r="M98" s="5"/>
      <c r="N98" s="5"/>
      <c r="O98" s="5"/>
      <c r="P98" s="5"/>
    </row>
    <row r="99" customFormat="false" ht="13.5" hidden="false" customHeight="true" outlineLevel="0" collapsed="false">
      <c r="A99" s="5"/>
      <c r="B99" s="5"/>
      <c r="C99" s="5"/>
      <c r="D99" s="5"/>
      <c r="E99" s="5"/>
      <c r="F99" s="5"/>
      <c r="G99" s="5"/>
      <c r="H99" s="5"/>
      <c r="I99" s="5"/>
      <c r="J99" s="5"/>
      <c r="K99" s="5"/>
      <c r="L99" s="5"/>
      <c r="M99" s="5"/>
      <c r="N99" s="5"/>
      <c r="O99" s="5"/>
      <c r="P99" s="5"/>
    </row>
    <row r="100" customFormat="false" ht="13.5" hidden="false" customHeight="true" outlineLevel="0" collapsed="false">
      <c r="A100" s="5"/>
      <c r="B100" s="5"/>
      <c r="C100" s="5"/>
      <c r="D100" s="5"/>
      <c r="E100" s="5"/>
      <c r="F100" s="5"/>
      <c r="G100" s="5"/>
      <c r="H100" s="5"/>
      <c r="I100" s="5"/>
      <c r="J100" s="5"/>
      <c r="K100" s="5"/>
      <c r="L100" s="5"/>
      <c r="M100" s="5"/>
      <c r="N100" s="5"/>
      <c r="O100" s="5"/>
      <c r="P100" s="5"/>
    </row>
    <row r="101" customFormat="false" ht="13.5" hidden="false" customHeight="true" outlineLevel="0" collapsed="false">
      <c r="A101" s="5"/>
      <c r="B101" s="5"/>
      <c r="C101" s="5"/>
      <c r="D101" s="5"/>
      <c r="E101" s="5"/>
      <c r="F101" s="5"/>
      <c r="G101" s="5"/>
      <c r="H101" s="5"/>
      <c r="I101" s="5"/>
      <c r="J101" s="5"/>
      <c r="K101" s="5"/>
      <c r="L101" s="5"/>
      <c r="M101" s="5"/>
      <c r="N101" s="5"/>
      <c r="O101" s="5"/>
      <c r="P101" s="5"/>
    </row>
    <row r="102" customFormat="false" ht="15" hidden="false" customHeight="true" outlineLevel="0" collapsed="false">
      <c r="A102" s="5"/>
      <c r="B102" s="5"/>
      <c r="C102" s="5"/>
      <c r="D102" s="5"/>
      <c r="E102" s="5"/>
      <c r="F102" s="5"/>
      <c r="G102" s="5"/>
      <c r="H102" s="5"/>
      <c r="I102" s="5"/>
      <c r="J102" s="5"/>
      <c r="K102" s="5"/>
      <c r="L102" s="5"/>
      <c r="M102" s="5"/>
      <c r="N102" s="5"/>
      <c r="O102" s="5"/>
      <c r="P102" s="5"/>
    </row>
    <row r="103" customFormat="false" ht="19.5" hidden="false" customHeight="true" outlineLevel="0" collapsed="false">
      <c r="A103" s="13" t="s">
        <v>36</v>
      </c>
      <c r="B103" s="13"/>
      <c r="C103" s="13"/>
      <c r="D103" s="13"/>
      <c r="E103" s="13"/>
      <c r="F103" s="13"/>
      <c r="G103" s="13"/>
      <c r="H103" s="13"/>
      <c r="I103" s="13"/>
      <c r="J103" s="13"/>
      <c r="K103" s="13"/>
      <c r="L103" s="13"/>
      <c r="M103" s="13"/>
      <c r="N103" s="13"/>
      <c r="O103" s="13"/>
      <c r="P103" s="13"/>
    </row>
    <row r="104" customFormat="false" ht="18" hidden="false" customHeight="true" outlineLevel="0" collapsed="false">
      <c r="A104" s="33" t="s">
        <v>37</v>
      </c>
      <c r="B104" s="33"/>
      <c r="C104" s="33"/>
      <c r="D104" s="33"/>
      <c r="E104" s="33" t="s">
        <v>38</v>
      </c>
      <c r="F104" s="33"/>
      <c r="G104" s="33"/>
      <c r="H104" s="33"/>
      <c r="I104" s="33" t="s">
        <v>39</v>
      </c>
      <c r="J104" s="33"/>
      <c r="K104" s="33"/>
      <c r="L104" s="33"/>
      <c r="M104" s="33" t="s">
        <v>40</v>
      </c>
      <c r="N104" s="33"/>
      <c r="O104" s="33"/>
      <c r="P104" s="33"/>
    </row>
    <row r="105" customFormat="false" ht="15" hidden="false" customHeight="true" outlineLevel="0" collapsed="false">
      <c r="A105" s="34" t="s">
        <v>41</v>
      </c>
      <c r="B105" s="34"/>
      <c r="C105" s="34"/>
      <c r="D105" s="35" t="n">
        <f aca="false">Variation_Orders!$D$36</f>
        <v>13854933</v>
      </c>
      <c r="E105" s="34" t="s">
        <v>42</v>
      </c>
      <c r="F105" s="34"/>
      <c r="G105" s="34"/>
      <c r="H105" s="35" t="n">
        <f aca="false">Procurement_Register!$D$44</f>
        <v>294762887</v>
      </c>
      <c r="I105" s="34" t="s">
        <v>43</v>
      </c>
      <c r="J105" s="34"/>
      <c r="K105" s="34"/>
      <c r="L105" s="36" t="n">
        <f aca="false">Quality_Register!$D$20</f>
        <v>0.835365853658537</v>
      </c>
      <c r="M105" s="34" t="s">
        <v>44</v>
      </c>
      <c r="N105" s="34"/>
      <c r="O105" s="34"/>
      <c r="P105" s="35" t="n">
        <f aca="false">Risk_Register!$D$44</f>
        <v>54829977.3</v>
      </c>
    </row>
    <row r="106" customFormat="false" ht="15" hidden="false" customHeight="true" outlineLevel="0" collapsed="false">
      <c r="A106" s="37" t="s">
        <v>45</v>
      </c>
      <c r="B106" s="37"/>
      <c r="C106" s="37"/>
      <c r="D106" s="38" t="n">
        <f aca="false">Variation_Orders!$D$37</f>
        <v>17447154</v>
      </c>
      <c r="E106" s="37" t="s">
        <v>46</v>
      </c>
      <c r="F106" s="37"/>
      <c r="G106" s="37"/>
      <c r="H106" s="38" t="n">
        <f aca="false">Procurement_Register!$I$44</f>
        <v>4</v>
      </c>
      <c r="I106" s="37" t="s">
        <v>47</v>
      </c>
      <c r="J106" s="37"/>
      <c r="K106" s="37"/>
      <c r="L106" s="38" t="n">
        <f aca="false">Quality_Register!$I$21</f>
        <v>16</v>
      </c>
      <c r="M106" s="37" t="s">
        <v>48</v>
      </c>
      <c r="N106" s="37"/>
      <c r="O106" s="37"/>
      <c r="P106" s="38" t="n">
        <f aca="false">Risk_Register!$D$45</f>
        <v>24</v>
      </c>
    </row>
    <row r="107" customFormat="false" ht="15" hidden="false" customHeight="true" outlineLevel="0" collapsed="false">
      <c r="A107" s="34" t="s">
        <v>49</v>
      </c>
      <c r="B107" s="34"/>
      <c r="C107" s="34"/>
      <c r="D107" s="35" t="n">
        <f aca="false">Variation_Orders!$D$39</f>
        <v>1789460</v>
      </c>
      <c r="E107" s="34" t="s">
        <v>50</v>
      </c>
      <c r="F107" s="34"/>
      <c r="G107" s="34"/>
      <c r="H107" s="36" t="n">
        <f aca="false">Procurement_Register!$D$46</f>
        <v>0.75</v>
      </c>
      <c r="I107" s="34" t="s">
        <v>51</v>
      </c>
      <c r="J107" s="34"/>
      <c r="K107" s="34"/>
      <c r="L107" s="35" t="n">
        <f aca="false">Quality_Register!$D$23</f>
        <v>2579208</v>
      </c>
      <c r="M107" s="34" t="s">
        <v>52</v>
      </c>
      <c r="N107" s="34"/>
      <c r="O107" s="34"/>
      <c r="P107" s="39" t="n">
        <f aca="false">Risk_Register!$I$44</f>
        <v>696</v>
      </c>
    </row>
    <row r="108" customFormat="false" ht="15" hidden="false" customHeight="true" outlineLevel="0" collapsed="false">
      <c r="A108" s="37" t="s">
        <v>53</v>
      </c>
      <c r="B108" s="37"/>
      <c r="C108" s="37"/>
      <c r="D108" s="38" t="n">
        <f aca="false">Variation_Orders!$I$36</f>
        <v>28</v>
      </c>
      <c r="E108" s="37" t="s">
        <v>54</v>
      </c>
      <c r="F108" s="37"/>
      <c r="G108" s="37"/>
      <c r="H108" s="40" t="n">
        <f aca="false">Manpower_Register!$Q$60</f>
        <v>1</v>
      </c>
      <c r="I108" s="37" t="s">
        <v>55</v>
      </c>
      <c r="J108" s="37"/>
      <c r="K108" s="37"/>
      <c r="L108" s="41" t="n">
        <f aca="false">HSE_Register!$D$21</f>
        <v>1.37905355554483</v>
      </c>
      <c r="M108" s="37" t="s">
        <v>56</v>
      </c>
      <c r="N108" s="37"/>
      <c r="O108" s="37"/>
      <c r="P108" s="38" t="n">
        <f aca="false">Issues_Register!$D$43</f>
        <v>24</v>
      </c>
    </row>
    <row r="109" customFormat="false" ht="15" hidden="false" customHeight="true" outlineLevel="0" collapsed="false">
      <c r="A109" s="34" t="s">
        <v>57</v>
      </c>
      <c r="B109" s="34"/>
      <c r="C109" s="34"/>
      <c r="D109" s="35" t="n">
        <f aca="false">Change_Log!$D$36</f>
        <v>8</v>
      </c>
      <c r="E109" s="34" t="s">
        <v>58</v>
      </c>
      <c r="F109" s="34"/>
      <c r="G109" s="34"/>
      <c r="H109" s="35" t="n">
        <f aca="false">Manpower_Register!$I$62</f>
        <v>396484</v>
      </c>
      <c r="I109" s="34" t="s">
        <v>59</v>
      </c>
      <c r="J109" s="34"/>
      <c r="K109" s="34"/>
      <c r="L109" s="35" t="n">
        <f aca="false">HSE_Register!$I$20</f>
        <v>0</v>
      </c>
      <c r="M109" s="34" t="s">
        <v>60</v>
      </c>
      <c r="N109" s="34"/>
      <c r="O109" s="34"/>
      <c r="P109" s="35" t="n">
        <f aca="false">Issues_Register!$D$44</f>
        <v>24</v>
      </c>
    </row>
    <row r="110" customFormat="false" ht="15" hidden="false" customHeight="true" outlineLevel="0" collapsed="false">
      <c r="A110" s="37" t="s">
        <v>61</v>
      </c>
      <c r="B110" s="37"/>
      <c r="C110" s="37"/>
      <c r="D110" s="38" t="n">
        <f aca="false">Change_Log!$Q$36</f>
        <v>0</v>
      </c>
      <c r="E110" s="37" t="s">
        <v>62</v>
      </c>
      <c r="F110" s="37"/>
      <c r="G110" s="37"/>
      <c r="H110" s="40" t="n">
        <f aca="false">Equipment_Register!$D$44</f>
        <v>0.961039135036643</v>
      </c>
      <c r="I110" s="37" t="s">
        <v>63</v>
      </c>
      <c r="J110" s="37"/>
      <c r="K110" s="37"/>
      <c r="L110" s="40" t="n">
        <f aca="false">HSE_Register!$I$22</f>
        <v>0.76</v>
      </c>
      <c r="M110" s="37" t="s">
        <v>64</v>
      </c>
      <c r="N110" s="37"/>
      <c r="O110" s="37"/>
      <c r="P110" s="38" t="n">
        <f aca="false">Issues_Register!$I$43</f>
        <v>0</v>
      </c>
    </row>
    <row r="111" customFormat="false" ht="15" hidden="false" customHeight="true" outlineLevel="0" collapsed="false">
      <c r="A111" s="5"/>
      <c r="B111" s="5"/>
      <c r="C111" s="5"/>
      <c r="D111" s="5"/>
      <c r="E111" s="5"/>
      <c r="F111" s="5"/>
      <c r="G111" s="5"/>
      <c r="H111" s="5"/>
      <c r="I111" s="5"/>
      <c r="J111" s="5"/>
      <c r="K111" s="5"/>
      <c r="L111" s="5"/>
      <c r="M111" s="5"/>
      <c r="N111" s="5"/>
      <c r="O111" s="5"/>
      <c r="P111" s="5"/>
    </row>
    <row r="112" customFormat="false" ht="19.5" hidden="false" customHeight="true" outlineLevel="0" collapsed="false">
      <c r="A112" s="13" t="s">
        <v>65</v>
      </c>
      <c r="B112" s="13"/>
      <c r="C112" s="13"/>
      <c r="D112" s="13"/>
      <c r="E112" s="13"/>
      <c r="F112" s="13"/>
      <c r="G112" s="13"/>
      <c r="H112" s="13"/>
      <c r="I112" s="13"/>
      <c r="J112" s="13"/>
      <c r="K112" s="13"/>
      <c r="L112" s="13"/>
      <c r="M112" s="13"/>
      <c r="N112" s="13"/>
      <c r="O112" s="13"/>
      <c r="P112" s="13"/>
    </row>
    <row r="113" customFormat="false" ht="24" hidden="false" customHeight="true" outlineLevel="0" collapsed="false">
      <c r="A113" s="23" t="s">
        <v>7</v>
      </c>
      <c r="B113" s="23" t="s">
        <v>66</v>
      </c>
      <c r="C113" s="23"/>
      <c r="D113" s="23"/>
      <c r="E113" s="23"/>
      <c r="F113" s="23"/>
      <c r="G113" s="23" t="s">
        <v>67</v>
      </c>
      <c r="H113" s="23" t="s">
        <v>68</v>
      </c>
      <c r="I113" s="23" t="s">
        <v>69</v>
      </c>
      <c r="J113" s="23" t="s">
        <v>70</v>
      </c>
      <c r="K113" s="23"/>
      <c r="L113" s="23"/>
      <c r="M113" s="23" t="s">
        <v>71</v>
      </c>
      <c r="N113" s="23"/>
      <c r="O113" s="23" t="s">
        <v>72</v>
      </c>
      <c r="P113" s="23"/>
    </row>
    <row r="114" customFormat="false" ht="15" hidden="false" customHeight="true" outlineLevel="0" collapsed="false">
      <c r="A114" s="42" t="str">
        <f aca="false">IFERROR(IF(INDEX(Risk_Register!$Z$9:$Z$40,MATCH(1,Risk_Register!$AA$9:$AA$40,0))&lt;=0,"",INDEX(Risk_Register!$D$9:$D$40,MATCH(1,Risk_Register!$AA$9:$AA$40,0))),"")</f>
        <v>MXU-01-RSK-01</v>
      </c>
      <c r="B114" s="30" t="str">
        <f aca="false">IFERROR(IF(INDEX(Risk_Register!$Z$9:$Z$40,MATCH(1,Risk_Register!$AA$9:$AA$40,0))&lt;=0,"",INDEX(Risk_Register!$F$9:$F$40,MATCH(1,Risk_Register!$AA$9:$AA$40,0))),"")</f>
        <v>Design and approval cycle slippage delays contractor mobilisation and works</v>
      </c>
      <c r="C114" s="30"/>
      <c r="D114" s="30"/>
      <c r="E114" s="30"/>
      <c r="F114" s="30"/>
      <c r="G114" s="43" t="n">
        <f aca="false">IFERROR(IF(INDEX(Risk_Register!$Z$9:$Z$40,MATCH(1,Risk_Register!$AA$9:$AA$40,0))&lt;=0,"",INDEX(Risk_Register!$J$9:$J$40,MATCH(1,Risk_Register!$AA$9:$AA$40,0))),"")</f>
        <v>16</v>
      </c>
      <c r="H114" s="31" t="n">
        <f aca="false">IFERROR(IF(INDEX(Risk_Register!$Z$9:$Z$40,MATCH(1,Risk_Register!$AA$9:$AA$40,0))&lt;=0,"",INDEX(Risk_Register!$O$9:$O$40,MATCH(1,Risk_Register!$AA$9:$AA$40,0))),"")</f>
        <v>4466414.4</v>
      </c>
      <c r="I114" s="44" t="n">
        <f aca="false">IFERROR(IF(INDEX(Risk_Register!$Z$9:$Z$40,MATCH(1,Risk_Register!$AA$9:$AA$40,0))&lt;=0,"",INDEX(Risk_Register!$P$9:$P$40,MATCH(1,Risk_Register!$AA$9:$AA$40,0))),"")</f>
        <v>31.5</v>
      </c>
      <c r="J114" s="30" t="str">
        <f aca="false">IFERROR(IF(INDEX(Risk_Register!$Z$9:$Z$40,MATCH(1,Risk_Register!$AA$9:$AA$40,0))&lt;=0,"",INDEX(Risk_Register!$S$9:$S$40,MATCH(1,Risk_Register!$AA$9:$AA$40,0))),"")</f>
        <v>PMC Design Manager</v>
      </c>
      <c r="K114" s="30"/>
      <c r="L114" s="30"/>
      <c r="M114" s="45" t="str">
        <f aca="false">IFERROR(IF(INDEX(Risk_Register!$Z$9:$Z$40,MATCH(1,Risk_Register!$AA$9:$AA$40,0))&lt;=0,"",INDEX(Risk_Register!$Q$9:$Q$40,MATCH(1,Risk_Register!$AA$9:$AA$40,0))),"")</f>
        <v>Mitigate</v>
      </c>
      <c r="N114" s="45"/>
      <c r="O114" s="46" t="str">
        <f aca="false">IFERROR(IF(INDEX(Risk_Register!$Z$9:$Z$40,MATCH(1,Risk_Register!$AA$9:$AA$40,0))&lt;=0,"",INDEX(Risk_Register!$K$9:$K$40,MATCH(1,Risk_Register!$AA$9:$AA$40,0))),"")</f>
        <v>Critical</v>
      </c>
      <c r="P114" s="46"/>
    </row>
    <row r="115" customFormat="false" ht="15" hidden="false" customHeight="true" outlineLevel="0" collapsed="false">
      <c r="A115" s="47" t="str">
        <f aca="false">IFERROR(IF(INDEX(Risk_Register!$Z$9:$Z$40,MATCH(2,Risk_Register!$AA$9:$AA$40,0))&lt;=0,"",INDEX(Risk_Register!$D$9:$D$40,MATCH(2,Risk_Register!$AA$9:$AA$40,0))),"")</f>
        <v>MXU-01-RSK-02</v>
      </c>
      <c r="B115" s="37" t="str">
        <f aca="false">IFERROR(IF(INDEX(Risk_Register!$Z$9:$Z$40,MATCH(2,Risk_Register!$AA$9:$AA$40,0))&lt;=0,"",INDEX(Risk_Register!$F$9:$F$40,MATCH(2,Risk_Register!$AA$9:$AA$40,0))),"")</f>
        <v>Contractor workforce shortfall limits achievable production rates on site</v>
      </c>
      <c r="C115" s="37"/>
      <c r="D115" s="37"/>
      <c r="E115" s="37"/>
      <c r="F115" s="37"/>
      <c r="G115" s="48" t="n">
        <f aca="false">IFERROR(IF(INDEX(Risk_Register!$Z$9:$Z$40,MATCH(2,Risk_Register!$AA$9:$AA$40,0))&lt;=0,"",INDEX(Risk_Register!$J$9:$J$40,MATCH(2,Risk_Register!$AA$9:$AA$40,0))),"")</f>
        <v>16</v>
      </c>
      <c r="H115" s="49" t="n">
        <f aca="false">IFERROR(IF(INDEX(Risk_Register!$Z$9:$Z$40,MATCH(2,Risk_Register!$AA$9:$AA$40,0))&lt;=0,"",INDEX(Risk_Register!$O$9:$O$40,MATCH(2,Risk_Register!$AA$9:$AA$40,0))),"")</f>
        <v>3643654</v>
      </c>
      <c r="I115" s="50" t="n">
        <f aca="false">IFERROR(IF(INDEX(Risk_Register!$Z$9:$Z$40,MATCH(2,Risk_Register!$AA$9:$AA$40,0))&lt;=0,"",INDEX(Risk_Register!$P$9:$P$40,MATCH(2,Risk_Register!$AA$9:$AA$40,0))),"")</f>
        <v>42</v>
      </c>
      <c r="J115" s="37" t="str">
        <f aca="false">IFERROR(IF(INDEX(Risk_Register!$Z$9:$Z$40,MATCH(2,Risk_Register!$AA$9:$AA$40,0))&lt;=0,"",INDEX(Risk_Register!$S$9:$S$40,MATCH(2,Risk_Register!$AA$9:$AA$40,0))),"")</f>
        <v>PMC Construction Manager</v>
      </c>
      <c r="K115" s="37"/>
      <c r="L115" s="37"/>
      <c r="M115" s="51" t="str">
        <f aca="false">IFERROR(IF(INDEX(Risk_Register!$Z$9:$Z$40,MATCH(2,Risk_Register!$AA$9:$AA$40,0))&lt;=0,"",INDEX(Risk_Register!$Q$9:$Q$40,MATCH(2,Risk_Register!$AA$9:$AA$40,0))),"")</f>
        <v>Mitigate</v>
      </c>
      <c r="N115" s="51"/>
      <c r="O115" s="52" t="str">
        <f aca="false">IFERROR(IF(INDEX(Risk_Register!$Z$9:$Z$40,MATCH(2,Risk_Register!$AA$9:$AA$40,0))&lt;=0,"",INDEX(Risk_Register!$K$9:$K$40,MATCH(2,Risk_Register!$AA$9:$AA$40,0))),"")</f>
        <v>Critical</v>
      </c>
      <c r="P115" s="52"/>
    </row>
    <row r="116" customFormat="false" ht="15" hidden="false" customHeight="true" outlineLevel="0" collapsed="false">
      <c r="A116" s="42" t="str">
        <f aca="false">IFERROR(IF(INDEX(Risk_Register!$Z$9:$Z$40,MATCH(3,Risk_Register!$AA$9:$AA$40,0))&lt;=0,"",INDEX(Risk_Register!$D$9:$D$40,MATCH(3,Risk_Register!$AA$9:$AA$40,0))),"")</f>
        <v>COM-01-RSK-01</v>
      </c>
      <c r="B116" s="30" t="str">
        <f aca="false">IFERROR(IF(INDEX(Risk_Register!$Z$9:$Z$40,MATCH(3,Risk_Register!$AA$9:$AA$40,0))&lt;=0,"",INDEX(Risk_Register!$F$9:$F$40,MATCH(3,Risk_Register!$AA$9:$AA$40,0))),"")</f>
        <v>Design and approval cycle slippage delays contractor mobilisation and works</v>
      </c>
      <c r="C116" s="30"/>
      <c r="D116" s="30"/>
      <c r="E116" s="30"/>
      <c r="F116" s="30"/>
      <c r="G116" s="43" t="n">
        <f aca="false">IFERROR(IF(INDEX(Risk_Register!$Z$9:$Z$40,MATCH(3,Risk_Register!$AA$9:$AA$40,0))&lt;=0,"",INDEX(Risk_Register!$J$9:$J$40,MATCH(3,Risk_Register!$AA$9:$AA$40,0))),"")</f>
        <v>12</v>
      </c>
      <c r="H116" s="31" t="n">
        <f aca="false">IFERROR(IF(INDEX(Risk_Register!$Z$9:$Z$40,MATCH(3,Risk_Register!$AA$9:$AA$40,0))&lt;=0,"",INDEX(Risk_Register!$O$9:$O$40,MATCH(3,Risk_Register!$AA$9:$AA$40,0))),"")</f>
        <v>3622985</v>
      </c>
      <c r="I116" s="44" t="n">
        <f aca="false">IFERROR(IF(INDEX(Risk_Register!$Z$9:$Z$40,MATCH(3,Risk_Register!$AA$9:$AA$40,0))&lt;=0,"",INDEX(Risk_Register!$P$9:$P$40,MATCH(3,Risk_Register!$AA$9:$AA$40,0))),"")</f>
        <v>22.5</v>
      </c>
      <c r="J116" s="30" t="str">
        <f aca="false">IFERROR(IF(INDEX(Risk_Register!$Z$9:$Z$40,MATCH(3,Risk_Register!$AA$9:$AA$40,0))&lt;=0,"",INDEX(Risk_Register!$S$9:$S$40,MATCH(3,Risk_Register!$AA$9:$AA$40,0))),"")</f>
        <v>PMC Design Manager</v>
      </c>
      <c r="K116" s="30"/>
      <c r="L116" s="30"/>
      <c r="M116" s="45" t="str">
        <f aca="false">IFERROR(IF(INDEX(Risk_Register!$Z$9:$Z$40,MATCH(3,Risk_Register!$AA$9:$AA$40,0))&lt;=0,"",INDEX(Risk_Register!$Q$9:$Q$40,MATCH(3,Risk_Register!$AA$9:$AA$40,0))),"")</f>
        <v>Mitigate</v>
      </c>
      <c r="N116" s="45"/>
      <c r="O116" s="46" t="str">
        <f aca="false">IFERROR(IF(INDEX(Risk_Register!$Z$9:$Z$40,MATCH(3,Risk_Register!$AA$9:$AA$40,0))&lt;=0,"",INDEX(Risk_Register!$K$9:$K$40,MATCH(3,Risk_Register!$AA$9:$AA$40,0))),"")</f>
        <v>High</v>
      </c>
      <c r="P116" s="46"/>
    </row>
    <row r="117" customFormat="false" ht="15" hidden="false" customHeight="true" outlineLevel="0" collapsed="false">
      <c r="A117" s="47" t="str">
        <f aca="false">IFERROR(IF(INDEX(Risk_Register!$Z$9:$Z$40,MATCH(4,Risk_Register!$AA$9:$AA$40,0))&lt;=0,"",INDEX(Risk_Register!$D$9:$D$40,MATCH(4,Risk_Register!$AA$9:$AA$40,0))),"")</f>
        <v>COM-01-RSK-02</v>
      </c>
      <c r="B117" s="37" t="str">
        <f aca="false">IFERROR(IF(INDEX(Risk_Register!$Z$9:$Z$40,MATCH(4,Risk_Register!$AA$9:$AA$40,0))&lt;=0,"",INDEX(Risk_Register!$F$9:$F$40,MATCH(4,Risk_Register!$AA$9:$AA$40,0))),"")</f>
        <v>Contractor workforce shortfall limits achievable production rates on site</v>
      </c>
      <c r="C117" s="37"/>
      <c r="D117" s="37"/>
      <c r="E117" s="37"/>
      <c r="F117" s="37"/>
      <c r="G117" s="48" t="n">
        <f aca="false">IFERROR(IF(INDEX(Risk_Register!$Z$9:$Z$40,MATCH(4,Risk_Register!$AA$9:$AA$40,0))&lt;=0,"",INDEX(Risk_Register!$J$9:$J$40,MATCH(4,Risk_Register!$AA$9:$AA$40,0))),"")</f>
        <v>12</v>
      </c>
      <c r="H117" s="49" t="n">
        <f aca="false">IFERROR(IF(INDEX(Risk_Register!$Z$9:$Z$40,MATCH(4,Risk_Register!$AA$9:$AA$40,0))&lt;=0,"",INDEX(Risk_Register!$O$9:$O$40,MATCH(4,Risk_Register!$AA$9:$AA$40,0))),"")</f>
        <v>2955593</v>
      </c>
      <c r="I117" s="50" t="n">
        <f aca="false">IFERROR(IF(INDEX(Risk_Register!$Z$9:$Z$40,MATCH(4,Risk_Register!$AA$9:$AA$40,0))&lt;=0,"",INDEX(Risk_Register!$P$9:$P$40,MATCH(4,Risk_Register!$AA$9:$AA$40,0))),"")</f>
        <v>30</v>
      </c>
      <c r="J117" s="37" t="str">
        <f aca="false">IFERROR(IF(INDEX(Risk_Register!$Z$9:$Z$40,MATCH(4,Risk_Register!$AA$9:$AA$40,0))&lt;=0,"",INDEX(Risk_Register!$S$9:$S$40,MATCH(4,Risk_Register!$AA$9:$AA$40,0))),"")</f>
        <v>PMC Construction Manager</v>
      </c>
      <c r="K117" s="37"/>
      <c r="L117" s="37"/>
      <c r="M117" s="51" t="str">
        <f aca="false">IFERROR(IF(INDEX(Risk_Register!$Z$9:$Z$40,MATCH(4,Risk_Register!$AA$9:$AA$40,0))&lt;=0,"",INDEX(Risk_Register!$Q$9:$Q$40,MATCH(4,Risk_Register!$AA$9:$AA$40,0))),"")</f>
        <v>Mitigate</v>
      </c>
      <c r="N117" s="51"/>
      <c r="O117" s="52" t="str">
        <f aca="false">IFERROR(IF(INDEX(Risk_Register!$Z$9:$Z$40,MATCH(4,Risk_Register!$AA$9:$AA$40,0))&lt;=0,"",INDEX(Risk_Register!$K$9:$K$40,MATCH(4,Risk_Register!$AA$9:$AA$40,0))),"")</f>
        <v>High</v>
      </c>
      <c r="P117" s="52"/>
    </row>
    <row r="118" customFormat="false" ht="15" hidden="false" customHeight="true" outlineLevel="0" collapsed="false">
      <c r="A118" s="42" t="str">
        <f aca="false">IFERROR(IF(INDEX(Risk_Register!$Z$9:$Z$40,MATCH(5,Risk_Register!$AA$9:$AA$40,0))&lt;=0,"",INDEX(Risk_Register!$D$9:$D$40,MATCH(5,Risk_Register!$AA$9:$AA$40,0))),"")</f>
        <v>MXU-01-RSK-04</v>
      </c>
      <c r="B118" s="30" t="str">
        <f aca="false">IFERROR(IF(INDEX(Risk_Register!$Z$9:$Z$40,MATCH(5,Risk_Register!$AA$9:$AA$40,0))&lt;=0,"",INDEX(Risk_Register!$F$9:$F$40,MATCH(5,Risk_Register!$AA$9:$AA$40,0))),"")</f>
        <v>Contract packages not awarded within the programme window</v>
      </c>
      <c r="C118" s="30"/>
      <c r="D118" s="30"/>
      <c r="E118" s="30"/>
      <c r="F118" s="30"/>
      <c r="G118" s="43" t="n">
        <f aca="false">IFERROR(IF(INDEX(Risk_Register!$Z$9:$Z$40,MATCH(5,Risk_Register!$AA$9:$AA$40,0))&lt;=0,"",INDEX(Risk_Register!$J$9:$J$40,MATCH(5,Risk_Register!$AA$9:$AA$40,0))),"")</f>
        <v>12</v>
      </c>
      <c r="H118" s="31" t="n">
        <f aca="false">IFERROR(IF(INDEX(Risk_Register!$Z$9:$Z$40,MATCH(5,Risk_Register!$AA$9:$AA$40,0))&lt;=0,"",INDEX(Risk_Register!$O$9:$O$40,MATCH(5,Risk_Register!$AA$9:$AA$40,0))),"")</f>
        <v>2938430.6</v>
      </c>
      <c r="I118" s="44" t="n">
        <f aca="false">IFERROR(IF(INDEX(Risk_Register!$Z$9:$Z$40,MATCH(5,Risk_Register!$AA$9:$AA$40,0))&lt;=0,"",INDEX(Risk_Register!$P$9:$P$40,MATCH(5,Risk_Register!$AA$9:$AA$40,0))),"")</f>
        <v>28</v>
      </c>
      <c r="J118" s="30" t="str">
        <f aca="false">IFERROR(IF(INDEX(Risk_Register!$Z$9:$Z$40,MATCH(5,Risk_Register!$AA$9:$AA$40,0))&lt;=0,"",INDEX(Risk_Register!$S$9:$S$40,MATCH(5,Risk_Register!$AA$9:$AA$40,0))),"")</f>
        <v>Owner Procurement Manager</v>
      </c>
      <c r="K118" s="30"/>
      <c r="L118" s="30"/>
      <c r="M118" s="45" t="str">
        <f aca="false">IFERROR(IF(INDEX(Risk_Register!$Z$9:$Z$40,MATCH(5,Risk_Register!$AA$9:$AA$40,0))&lt;=0,"",INDEX(Risk_Register!$Q$9:$Q$40,MATCH(5,Risk_Register!$AA$9:$AA$40,0))),"")</f>
        <v>Mitigate</v>
      </c>
      <c r="N118" s="45"/>
      <c r="O118" s="46" t="str">
        <f aca="false">IFERROR(IF(INDEX(Risk_Register!$Z$9:$Z$40,MATCH(5,Risk_Register!$AA$9:$AA$40,0))&lt;=0,"",INDEX(Risk_Register!$K$9:$K$40,MATCH(5,Risk_Register!$AA$9:$AA$40,0))),"")</f>
        <v>High</v>
      </c>
      <c r="P118" s="46"/>
    </row>
    <row r="119" customFormat="false" ht="15" hidden="false" customHeight="true" outlineLevel="0" collapsed="false">
      <c r="A119" s="5"/>
      <c r="B119" s="5"/>
      <c r="C119" s="5"/>
      <c r="D119" s="5"/>
      <c r="E119" s="5"/>
      <c r="F119" s="5"/>
      <c r="G119" s="5"/>
      <c r="H119" s="5"/>
      <c r="I119" s="5"/>
      <c r="J119" s="5"/>
      <c r="K119" s="5"/>
      <c r="L119" s="5"/>
      <c r="M119" s="5"/>
      <c r="N119" s="5"/>
      <c r="O119" s="5"/>
      <c r="P119" s="5"/>
    </row>
    <row r="120" customFormat="false" ht="24" hidden="false" customHeight="true" outlineLevel="0" collapsed="false">
      <c r="A120" s="23" t="s">
        <v>7</v>
      </c>
      <c r="B120" s="23" t="s">
        <v>73</v>
      </c>
      <c r="C120" s="23"/>
      <c r="D120" s="23"/>
      <c r="E120" s="23"/>
      <c r="F120" s="23"/>
      <c r="G120" s="23" t="s">
        <v>69</v>
      </c>
      <c r="H120" s="23" t="s">
        <v>74</v>
      </c>
      <c r="I120" s="23" t="s">
        <v>75</v>
      </c>
      <c r="J120" s="23" t="s">
        <v>76</v>
      </c>
      <c r="K120" s="23"/>
      <c r="L120" s="23"/>
      <c r="M120" s="23" t="s">
        <v>77</v>
      </c>
      <c r="N120" s="23"/>
      <c r="O120" s="23" t="s">
        <v>78</v>
      </c>
      <c r="P120" s="23"/>
    </row>
    <row r="121" customFormat="false" ht="15" hidden="false" customHeight="true" outlineLevel="0" collapsed="false">
      <c r="A121" s="42" t="str">
        <f aca="false">IFERROR(IF(INDEX(Issues_Register!$V$9:$V$40,MATCH(1,Issues_Register!$W$9:$W$40,0))&lt;=0,"",INDEX(Issues_Register!$D$9:$D$40,MATCH(1,Issues_Register!$W$9:$W$40,0))),"")</f>
        <v>LND-02-ISS-01</v>
      </c>
      <c r="B121" s="30" t="str">
        <f aca="false">IFERROR(IF(INDEX(Issues_Register!$V$9:$V$40,MATCH(1,Issues_Register!$W$9:$W$40,0))&lt;=0,"",INDEX(Issues_Register!$G$9:$G$40,MATCH(1,Issues_Register!$W$9:$W$40,0))),"")</f>
        <v>Contractor variation entitlement submitted but not yet determined</v>
      </c>
      <c r="C121" s="30"/>
      <c r="D121" s="30"/>
      <c r="E121" s="30"/>
      <c r="F121" s="30"/>
      <c r="G121" s="43" t="n">
        <f aca="false">IFERROR(IF(INDEX(Issues_Register!$V$9:$V$40,MATCH(1,Issues_Register!$W$9:$W$40,0))&lt;=0,"",INDEX(Issues_Register!$R$9:$R$40,MATCH(1,Issues_Register!$W$9:$W$40,0))),"")</f>
        <v>68</v>
      </c>
      <c r="H121" s="31" t="n">
        <f aca="false">IFERROR(IF(INDEX(Issues_Register!$V$9:$V$40,MATCH(1,Issues_Register!$W$9:$W$40,0))&lt;=0,"",INDEX(Issues_Register!$M$9:$M$40,MATCH(1,Issues_Register!$W$9:$W$40,0))),"")</f>
        <v>0</v>
      </c>
      <c r="I121" s="31" t="n">
        <f aca="false">IFERROR(IF(INDEX(Issues_Register!$V$9:$V$40,MATCH(1,Issues_Register!$W$9:$W$40,0))&lt;=0,"",INDEX(Issues_Register!$N$9:$N$40,MATCH(1,Issues_Register!$W$9:$W$40,0))),"")</f>
        <v>0</v>
      </c>
      <c r="J121" s="30" t="str">
        <f aca="false">IFERROR(IF(INDEX(Issues_Register!$V$9:$V$40,MATCH(1,Issues_Register!$W$9:$W$40,0))&lt;=0,"",INDEX(Issues_Register!$K$9:$K$40,MATCH(1,Issues_Register!$W$9:$W$40,0))),"")</f>
        <v>PMC Design Office</v>
      </c>
      <c r="K121" s="30"/>
      <c r="L121" s="30"/>
      <c r="M121" s="45" t="str">
        <f aca="false">IFERROR(IF(INDEX(Issues_Register!$V$9:$V$40,MATCH(1,Issues_Register!$W$9:$W$40,0))&lt;=0,"",INDEX(Issues_Register!$L$9:$L$40,MATCH(1,Issues_Register!$W$9:$W$40,0))),"")</f>
        <v>High</v>
      </c>
      <c r="N121" s="45"/>
      <c r="O121" s="46" t="str">
        <f aca="false">IFERROR(IF(INDEX(Issues_Register!$V$9:$V$40,MATCH(1,Issues_Register!$W$9:$W$40,0))&lt;=0,"",INDEX(Issues_Register!$T$9:$T$40,MATCH(1,Issues_Register!$W$9:$W$40,0))),"")</f>
        <v>Open</v>
      </c>
      <c r="P121" s="46"/>
    </row>
    <row r="122" customFormat="false" ht="15" hidden="false" customHeight="true" outlineLevel="0" collapsed="false">
      <c r="A122" s="47" t="str">
        <f aca="false">IFERROR(IF(INDEX(Issues_Register!$V$9:$V$40,MATCH(2,Issues_Register!$W$9:$W$40,0))&lt;=0,"",INDEX(Issues_Register!$D$9:$D$40,MATCH(2,Issues_Register!$W$9:$W$40,0))),"")</f>
        <v>COM-02-ISS-01</v>
      </c>
      <c r="B122" s="37" t="str">
        <f aca="false">IFERROR(IF(INDEX(Issues_Register!$V$9:$V$40,MATCH(2,Issues_Register!$W$9:$W$40,0))&lt;=0,"",INDEX(Issues_Register!$G$9:$G$40,MATCH(2,Issues_Register!$W$9:$W$40,0))),"")</f>
        <v>Contractor variation entitlement submitted but not yet determined</v>
      </c>
      <c r="C122" s="37"/>
      <c r="D122" s="37"/>
      <c r="E122" s="37"/>
      <c r="F122" s="37"/>
      <c r="G122" s="48" t="n">
        <f aca="false">IFERROR(IF(INDEX(Issues_Register!$V$9:$V$40,MATCH(2,Issues_Register!$W$9:$W$40,0))&lt;=0,"",INDEX(Issues_Register!$R$9:$R$40,MATCH(2,Issues_Register!$W$9:$W$40,0))),"")</f>
        <v>67</v>
      </c>
      <c r="H122" s="49" t="n">
        <f aca="false">IFERROR(IF(INDEX(Issues_Register!$V$9:$V$40,MATCH(2,Issues_Register!$W$9:$W$40,0))&lt;=0,"",INDEX(Issues_Register!$M$9:$M$40,MATCH(2,Issues_Register!$W$9:$W$40,0))),"")</f>
        <v>0</v>
      </c>
      <c r="I122" s="49" t="n">
        <f aca="false">IFERROR(IF(INDEX(Issues_Register!$V$9:$V$40,MATCH(2,Issues_Register!$W$9:$W$40,0))&lt;=0,"",INDEX(Issues_Register!$N$9:$N$40,MATCH(2,Issues_Register!$W$9:$W$40,0))),"")</f>
        <v>0</v>
      </c>
      <c r="J122" s="37" t="str">
        <f aca="false">IFERROR(IF(INDEX(Issues_Register!$V$9:$V$40,MATCH(2,Issues_Register!$W$9:$W$40,0))&lt;=0,"",INDEX(Issues_Register!$K$9:$K$40,MATCH(2,Issues_Register!$W$9:$W$40,0))),"")</f>
        <v>PMC Design Office</v>
      </c>
      <c r="K122" s="37"/>
      <c r="L122" s="37"/>
      <c r="M122" s="51" t="str">
        <f aca="false">IFERROR(IF(INDEX(Issues_Register!$V$9:$V$40,MATCH(2,Issues_Register!$W$9:$W$40,0))&lt;=0,"",INDEX(Issues_Register!$L$9:$L$40,MATCH(2,Issues_Register!$W$9:$W$40,0))),"")</f>
        <v>High</v>
      </c>
      <c r="N122" s="51"/>
      <c r="O122" s="52" t="str">
        <f aca="false">IFERROR(IF(INDEX(Issues_Register!$V$9:$V$40,MATCH(2,Issues_Register!$W$9:$W$40,0))&lt;=0,"",INDEX(Issues_Register!$T$9:$T$40,MATCH(2,Issues_Register!$W$9:$W$40,0))),"")</f>
        <v>Open</v>
      </c>
      <c r="P122" s="52"/>
    </row>
    <row r="123" customFormat="false" ht="15" hidden="false" customHeight="true" outlineLevel="0" collapsed="false">
      <c r="A123" s="42" t="str">
        <f aca="false">IFERROR(IF(INDEX(Issues_Register!$V$9:$V$40,MATCH(3,Issues_Register!$W$9:$W$40,0))&lt;=0,"",INDEX(Issues_Register!$D$9:$D$40,MATCH(3,Issues_Register!$W$9:$W$40,0))),"")</f>
        <v>LND-01-ISS-01</v>
      </c>
      <c r="B123" s="30" t="str">
        <f aca="false">IFERROR(IF(INDEX(Issues_Register!$V$9:$V$40,MATCH(3,Issues_Register!$W$9:$W$40,0))&lt;=0,"",INDEX(Issues_Register!$G$9:$G$40,MATCH(3,Issues_Register!$W$9:$W$40,0))),"")</f>
        <v>Delay in issuing tender documents for a long-lead contract package</v>
      </c>
      <c r="C123" s="30"/>
      <c r="D123" s="30"/>
      <c r="E123" s="30"/>
      <c r="F123" s="30"/>
      <c r="G123" s="43" t="n">
        <f aca="false">IFERROR(IF(INDEX(Issues_Register!$V$9:$V$40,MATCH(3,Issues_Register!$W$9:$W$40,0))&lt;=0,"",INDEX(Issues_Register!$R$9:$R$40,MATCH(3,Issues_Register!$W$9:$W$40,0))),"")</f>
        <v>63</v>
      </c>
      <c r="H123" s="31" t="n">
        <f aca="false">IFERROR(IF(INDEX(Issues_Register!$V$9:$V$40,MATCH(3,Issues_Register!$W$9:$W$40,0))&lt;=0,"",INDEX(Issues_Register!$M$9:$M$40,MATCH(3,Issues_Register!$W$9:$W$40,0))),"")</f>
        <v>0</v>
      </c>
      <c r="I123" s="31" t="n">
        <f aca="false">IFERROR(IF(INDEX(Issues_Register!$V$9:$V$40,MATCH(3,Issues_Register!$W$9:$W$40,0))&lt;=0,"",INDEX(Issues_Register!$N$9:$N$40,MATCH(3,Issues_Register!$W$9:$W$40,0))),"")</f>
        <v>21</v>
      </c>
      <c r="J123" s="30" t="str">
        <f aca="false">IFERROR(IF(INDEX(Issues_Register!$V$9:$V$40,MATCH(3,Issues_Register!$W$9:$W$40,0))&lt;=0,"",INDEX(Issues_Register!$K$9:$K$40,MATCH(3,Issues_Register!$W$9:$W$40,0))),"")</f>
        <v>PMC Design Office</v>
      </c>
      <c r="K123" s="30"/>
      <c r="L123" s="30"/>
      <c r="M123" s="45" t="str">
        <f aca="false">IFERROR(IF(INDEX(Issues_Register!$V$9:$V$40,MATCH(3,Issues_Register!$W$9:$W$40,0))&lt;=0,"",INDEX(Issues_Register!$L$9:$L$40,MATCH(3,Issues_Register!$W$9:$W$40,0))),"")</f>
        <v>Medium</v>
      </c>
      <c r="N123" s="45"/>
      <c r="O123" s="46" t="str">
        <f aca="false">IFERROR(IF(INDEX(Issues_Register!$V$9:$V$40,MATCH(3,Issues_Register!$W$9:$W$40,0))&lt;=0,"",INDEX(Issues_Register!$T$9:$T$40,MATCH(3,Issues_Register!$W$9:$W$40,0))),"")</f>
        <v>Open</v>
      </c>
      <c r="P123" s="46"/>
    </row>
    <row r="124" customFormat="false" ht="15" hidden="false" customHeight="true" outlineLevel="0" collapsed="false">
      <c r="A124" s="47" t="str">
        <f aca="false">IFERROR(IF(INDEX(Issues_Register!$V$9:$V$40,MATCH(4,Issues_Register!$W$9:$W$40,0))&lt;=0,"",INDEX(Issues_Register!$D$9:$D$40,MATCH(4,Issues_Register!$W$9:$W$40,0))),"")</f>
        <v>COM-01-ISS-01</v>
      </c>
      <c r="B124" s="37" t="str">
        <f aca="false">IFERROR(IF(INDEX(Issues_Register!$V$9:$V$40,MATCH(4,Issues_Register!$W$9:$W$40,0))&lt;=0,"",INDEX(Issues_Register!$G$9:$G$40,MATCH(4,Issues_Register!$W$9:$W$40,0))),"")</f>
        <v>Delay in issuing tender documents for a long-lead contract package</v>
      </c>
      <c r="C124" s="37"/>
      <c r="D124" s="37"/>
      <c r="E124" s="37"/>
      <c r="F124" s="37"/>
      <c r="G124" s="48" t="n">
        <f aca="false">IFERROR(IF(INDEX(Issues_Register!$V$9:$V$40,MATCH(4,Issues_Register!$W$9:$W$40,0))&lt;=0,"",INDEX(Issues_Register!$R$9:$R$40,MATCH(4,Issues_Register!$W$9:$W$40,0))),"")</f>
        <v>62</v>
      </c>
      <c r="H124" s="49" t="n">
        <f aca="false">IFERROR(IF(INDEX(Issues_Register!$V$9:$V$40,MATCH(4,Issues_Register!$W$9:$W$40,0))&lt;=0,"",INDEX(Issues_Register!$M$9:$M$40,MATCH(4,Issues_Register!$W$9:$W$40,0))),"")</f>
        <v>0</v>
      </c>
      <c r="I124" s="49" t="n">
        <f aca="false">IFERROR(IF(INDEX(Issues_Register!$V$9:$V$40,MATCH(4,Issues_Register!$W$9:$W$40,0))&lt;=0,"",INDEX(Issues_Register!$N$9:$N$40,MATCH(4,Issues_Register!$W$9:$W$40,0))),"")</f>
        <v>21</v>
      </c>
      <c r="J124" s="37" t="str">
        <f aca="false">IFERROR(IF(INDEX(Issues_Register!$V$9:$V$40,MATCH(4,Issues_Register!$W$9:$W$40,0))&lt;=0,"",INDEX(Issues_Register!$K$9:$K$40,MATCH(4,Issues_Register!$W$9:$W$40,0))),"")</f>
        <v>PMC Design Office</v>
      </c>
      <c r="K124" s="37"/>
      <c r="L124" s="37"/>
      <c r="M124" s="51" t="str">
        <f aca="false">IFERROR(IF(INDEX(Issues_Register!$V$9:$V$40,MATCH(4,Issues_Register!$W$9:$W$40,0))&lt;=0,"",INDEX(Issues_Register!$L$9:$L$40,MATCH(4,Issues_Register!$W$9:$W$40,0))),"")</f>
        <v>Medium</v>
      </c>
      <c r="N124" s="51"/>
      <c r="O124" s="52" t="str">
        <f aca="false">IFERROR(IF(INDEX(Issues_Register!$V$9:$V$40,MATCH(4,Issues_Register!$W$9:$W$40,0))&lt;=0,"",INDEX(Issues_Register!$T$9:$T$40,MATCH(4,Issues_Register!$W$9:$W$40,0))),"")</f>
        <v>Open</v>
      </c>
      <c r="P124" s="52"/>
    </row>
    <row r="125" customFormat="false" ht="15" hidden="false" customHeight="true" outlineLevel="0" collapsed="false">
      <c r="A125" s="42" t="str">
        <f aca="false">IFERROR(IF(INDEX(Issues_Register!$V$9:$V$40,MATCH(5,Issues_Register!$W$9:$W$40,0))&lt;=0,"",INDEX(Issues_Register!$D$9:$D$40,MATCH(5,Issues_Register!$W$9:$W$40,0))),"")</f>
        <v>MXU-02-ISS-01</v>
      </c>
      <c r="B125" s="30" t="str">
        <f aca="false">IFERROR(IF(INDEX(Issues_Register!$V$9:$V$40,MATCH(5,Issues_Register!$W$9:$W$40,0))&lt;=0,"",INDEX(Issues_Register!$G$9:$G$40,MATCH(5,Issues_Register!$W$9:$W$40,0))),"")</f>
        <v>Contractor labour shortfall against the approved mobilisation plan</v>
      </c>
      <c r="C125" s="30"/>
      <c r="D125" s="30"/>
      <c r="E125" s="30"/>
      <c r="F125" s="30"/>
      <c r="G125" s="43" t="n">
        <f aca="false">IFERROR(IF(INDEX(Issues_Register!$V$9:$V$40,MATCH(5,Issues_Register!$W$9:$W$40,0))&lt;=0,"",INDEX(Issues_Register!$R$9:$R$40,MATCH(5,Issues_Register!$W$9:$W$40,0))),"")</f>
        <v>58</v>
      </c>
      <c r="H125" s="31" t="n">
        <f aca="false">IFERROR(IF(INDEX(Issues_Register!$V$9:$V$40,MATCH(5,Issues_Register!$W$9:$W$40,0))&lt;=0,"",INDEX(Issues_Register!$M$9:$M$40,MATCH(5,Issues_Register!$W$9:$W$40,0))),"")</f>
        <v>0</v>
      </c>
      <c r="I125" s="31" t="n">
        <f aca="false">IFERROR(IF(INDEX(Issues_Register!$V$9:$V$40,MATCH(5,Issues_Register!$W$9:$W$40,0))&lt;=0,"",INDEX(Issues_Register!$N$9:$N$40,MATCH(5,Issues_Register!$W$9:$W$40,0))),"")</f>
        <v>34</v>
      </c>
      <c r="J125" s="30" t="str">
        <f aca="false">IFERROR(IF(INDEX(Issues_Register!$V$9:$V$40,MATCH(5,Issues_Register!$W$9:$W$40,0))&lt;=0,"",INDEX(Issues_Register!$K$9:$K$40,MATCH(5,Issues_Register!$W$9:$W$40,0))),"")</f>
        <v>PMC Design Office</v>
      </c>
      <c r="K125" s="30"/>
      <c r="L125" s="30"/>
      <c r="M125" s="45" t="str">
        <f aca="false">IFERROR(IF(INDEX(Issues_Register!$V$9:$V$40,MATCH(5,Issues_Register!$W$9:$W$40,0))&lt;=0,"",INDEX(Issues_Register!$L$9:$L$40,MATCH(5,Issues_Register!$W$9:$W$40,0))),"")</f>
        <v>Critical</v>
      </c>
      <c r="N125" s="45"/>
      <c r="O125" s="46" t="str">
        <f aca="false">IFERROR(IF(INDEX(Issues_Register!$V$9:$V$40,MATCH(5,Issues_Register!$W$9:$W$40,0))&lt;=0,"",INDEX(Issues_Register!$T$9:$T$40,MATCH(5,Issues_Register!$W$9:$W$40,0))),"")</f>
        <v>Open</v>
      </c>
      <c r="P125" s="46"/>
    </row>
    <row r="126" customFormat="false" ht="15" hidden="false" customHeight="true" outlineLevel="0" collapsed="false">
      <c r="A126" s="5"/>
      <c r="B126" s="5"/>
      <c r="C126" s="5"/>
      <c r="D126" s="5"/>
      <c r="E126" s="5"/>
      <c r="F126" s="5"/>
      <c r="G126" s="5"/>
      <c r="H126" s="5"/>
      <c r="I126" s="5"/>
      <c r="J126" s="5"/>
      <c r="K126" s="5"/>
      <c r="L126" s="5"/>
      <c r="M126" s="5"/>
      <c r="N126" s="5"/>
      <c r="O126" s="5"/>
      <c r="P126" s="5"/>
    </row>
    <row r="127" customFormat="false" ht="19.5" hidden="false" customHeight="true" outlineLevel="0" collapsed="false">
      <c r="A127" s="13" t="s">
        <v>79</v>
      </c>
      <c r="B127" s="13"/>
      <c r="C127" s="13"/>
      <c r="D127" s="13"/>
      <c r="E127" s="13"/>
      <c r="F127" s="13"/>
      <c r="G127" s="13"/>
      <c r="H127" s="13"/>
      <c r="I127" s="13"/>
      <c r="J127" s="13"/>
      <c r="K127" s="13"/>
      <c r="L127" s="13"/>
      <c r="M127" s="13"/>
      <c r="N127" s="13"/>
      <c r="O127" s="13"/>
      <c r="P127" s="13"/>
    </row>
    <row r="128" customFormat="false" ht="15.75" hidden="false" customHeight="true" outlineLevel="0" collapsed="false">
      <c r="A128" s="53" t="s">
        <v>80</v>
      </c>
      <c r="B128" s="53"/>
      <c r="C128" s="53"/>
      <c r="D128" s="53"/>
      <c r="E128" s="53"/>
      <c r="F128" s="54" t="str">
        <f aca="false">COUNTIF(Master_Tracker!$O$65:$O$74,"OK")&amp;" of 10"</f>
        <v>10 of 10</v>
      </c>
      <c r="G128" s="54"/>
      <c r="H128" s="55" t="s">
        <v>81</v>
      </c>
      <c r="I128" s="55"/>
      <c r="J128" s="55"/>
      <c r="K128" s="55"/>
      <c r="L128" s="55"/>
      <c r="M128" s="55"/>
      <c r="N128" s="55"/>
      <c r="O128" s="55"/>
      <c r="P128" s="55"/>
    </row>
    <row r="129" customFormat="false" ht="15.75" hidden="false" customHeight="true" outlineLevel="0" collapsed="false">
      <c r="A129" s="53" t="s">
        <v>82</v>
      </c>
      <c r="B129" s="53"/>
      <c r="C129" s="53"/>
      <c r="D129" s="53"/>
      <c r="E129" s="53"/>
      <c r="F129" s="56" t="n">
        <f aca="false">Cumulative_Trend!$J$37</f>
        <v>-1400</v>
      </c>
      <c r="G129" s="56"/>
      <c r="H129" s="55" t="s">
        <v>83</v>
      </c>
      <c r="I129" s="55"/>
      <c r="J129" s="55"/>
      <c r="K129" s="55"/>
      <c r="L129" s="55"/>
      <c r="M129" s="55"/>
      <c r="N129" s="55"/>
      <c r="O129" s="55"/>
      <c r="P129" s="55"/>
    </row>
    <row r="130" customFormat="false" ht="15.75" hidden="false" customHeight="true" outlineLevel="0" collapsed="false">
      <c r="A130" s="53" t="s">
        <v>84</v>
      </c>
      <c r="B130" s="53"/>
      <c r="C130" s="53"/>
      <c r="D130" s="53"/>
      <c r="E130" s="53"/>
      <c r="F130" s="57" t="n">
        <f aca="false">Cumulative_Trend!$J$38</f>
        <v>-1411.25</v>
      </c>
      <c r="G130" s="57"/>
      <c r="H130" s="55" t="s">
        <v>85</v>
      </c>
      <c r="I130" s="55"/>
      <c r="J130" s="55"/>
      <c r="K130" s="55"/>
      <c r="L130" s="55"/>
      <c r="M130" s="55"/>
      <c r="N130" s="55"/>
      <c r="O130" s="55"/>
      <c r="P130" s="55"/>
    </row>
    <row r="131" customFormat="false" ht="15.75" hidden="false" customHeight="true" outlineLevel="0" collapsed="false">
      <c r="A131" s="53" t="s">
        <v>86</v>
      </c>
      <c r="B131" s="53"/>
      <c r="C131" s="53"/>
      <c r="D131" s="53"/>
      <c r="E131" s="53"/>
      <c r="F131" s="57" t="n">
        <f aca="false">Regression_Analysis!$D$55</f>
        <v>62929497.7700762</v>
      </c>
      <c r="G131" s="57"/>
      <c r="H131" s="55" t="s">
        <v>87</v>
      </c>
      <c r="I131" s="55"/>
      <c r="J131" s="55"/>
      <c r="K131" s="55"/>
      <c r="L131" s="55"/>
      <c r="M131" s="55"/>
      <c r="N131" s="55"/>
      <c r="O131" s="55"/>
      <c r="P131" s="55"/>
    </row>
    <row r="132" customFormat="false" ht="15.75" hidden="false" customHeight="true" outlineLevel="0" collapsed="false">
      <c r="A132" s="53" t="s">
        <v>88</v>
      </c>
      <c r="B132" s="53"/>
      <c r="C132" s="53"/>
      <c r="D132" s="53"/>
      <c r="E132" s="53"/>
      <c r="F132" s="54" t="str">
        <f aca="false">IF(AND(Master_Tracker!$H$15&gt;=0.95,Master_Tracker!$M$15&gt;=0.95),"Green",IF(OR(Master_Tracker!$H$15&lt;0.85,Master_Tracker!$M$15&lt;0.85),"Red","Amber"))</f>
        <v>Green</v>
      </c>
      <c r="G132" s="54"/>
      <c r="H132" s="55" t="s">
        <v>89</v>
      </c>
      <c r="I132" s="55"/>
      <c r="J132" s="55"/>
      <c r="K132" s="55"/>
      <c r="L132" s="55"/>
      <c r="M132" s="55"/>
      <c r="N132" s="55"/>
      <c r="O132" s="55"/>
      <c r="P132" s="55"/>
    </row>
    <row r="133" customFormat="false" ht="15" hidden="false" customHeight="true" outlineLevel="0" collapsed="false">
      <c r="A133" s="5"/>
      <c r="B133" s="5"/>
      <c r="C133" s="5"/>
      <c r="D133" s="5"/>
      <c r="E133" s="5"/>
      <c r="F133" s="5"/>
      <c r="G133" s="5"/>
      <c r="H133" s="5"/>
      <c r="I133" s="5"/>
      <c r="J133" s="5"/>
      <c r="K133" s="5"/>
      <c r="L133" s="5"/>
      <c r="M133" s="5"/>
      <c r="N133" s="5"/>
      <c r="O133" s="5"/>
      <c r="P133" s="5"/>
    </row>
    <row r="134" customFormat="false" ht="25.5" hidden="false" customHeight="true" outlineLevel="0" collapsed="false">
      <c r="A134" s="58" t="s">
        <v>90</v>
      </c>
      <c r="B134" s="58"/>
      <c r="C134" s="58"/>
      <c r="D134" s="58"/>
      <c r="E134" s="58"/>
      <c r="F134" s="58"/>
      <c r="G134" s="58"/>
      <c r="H134" s="58"/>
      <c r="I134" s="58"/>
      <c r="J134" s="58"/>
      <c r="K134" s="58"/>
      <c r="L134" s="58"/>
      <c r="M134" s="58"/>
      <c r="N134" s="58"/>
      <c r="O134" s="58"/>
      <c r="P134" s="58"/>
    </row>
  </sheetData>
  <mergeCells count="181">
    <mergeCell ref="A1:P1"/>
    <mergeCell ref="A2:P2"/>
    <mergeCell ref="A3:P3"/>
    <mergeCell ref="A5:P5"/>
    <mergeCell ref="A6:B6"/>
    <mergeCell ref="C6:E6"/>
    <mergeCell ref="F6:G6"/>
    <mergeCell ref="H6:J6"/>
    <mergeCell ref="K6:L6"/>
    <mergeCell ref="M6:O6"/>
    <mergeCell ref="P6:P7"/>
    <mergeCell ref="A7:B7"/>
    <mergeCell ref="C7:E7"/>
    <mergeCell ref="F7:G7"/>
    <mergeCell ref="H7:J7"/>
    <mergeCell ref="K7:L7"/>
    <mergeCell ref="M7:O7"/>
    <mergeCell ref="A9:P9"/>
    <mergeCell ref="A10:D10"/>
    <mergeCell ref="E10:H10"/>
    <mergeCell ref="I10:L10"/>
    <mergeCell ref="M10:P10"/>
    <mergeCell ref="A11:D11"/>
    <mergeCell ref="E11:H11"/>
    <mergeCell ref="I11:L11"/>
    <mergeCell ref="M11:P11"/>
    <mergeCell ref="A12:D12"/>
    <mergeCell ref="E12:H12"/>
    <mergeCell ref="I12:L12"/>
    <mergeCell ref="M12:P12"/>
    <mergeCell ref="A13:D13"/>
    <mergeCell ref="E13:H13"/>
    <mergeCell ref="I13:L13"/>
    <mergeCell ref="M13:P13"/>
    <mergeCell ref="A15:P15"/>
    <mergeCell ref="A16:D16"/>
    <mergeCell ref="E16:H16"/>
    <mergeCell ref="I16:L16"/>
    <mergeCell ref="M16:P16"/>
    <mergeCell ref="A17:D17"/>
    <mergeCell ref="E17:H17"/>
    <mergeCell ref="I17:L17"/>
    <mergeCell ref="M17:P17"/>
    <mergeCell ref="A18:D18"/>
    <mergeCell ref="E18:H18"/>
    <mergeCell ref="I18:L18"/>
    <mergeCell ref="M18:P18"/>
    <mergeCell ref="A19:D19"/>
    <mergeCell ref="E19:H19"/>
    <mergeCell ref="I19:L19"/>
    <mergeCell ref="M19:P19"/>
    <mergeCell ref="A21:D21"/>
    <mergeCell ref="E21:H21"/>
    <mergeCell ref="I21:L21"/>
    <mergeCell ref="M21:P21"/>
    <mergeCell ref="A22:D22"/>
    <mergeCell ref="E22:H22"/>
    <mergeCell ref="I22:L22"/>
    <mergeCell ref="M22:P22"/>
    <mergeCell ref="A23:D23"/>
    <mergeCell ref="E23:H23"/>
    <mergeCell ref="I23:L23"/>
    <mergeCell ref="M23:P23"/>
    <mergeCell ref="A24:D24"/>
    <mergeCell ref="E24:H24"/>
    <mergeCell ref="I24:L24"/>
    <mergeCell ref="M24:P24"/>
    <mergeCell ref="A26:P26"/>
    <mergeCell ref="A45:P45"/>
    <mergeCell ref="A64:P64"/>
    <mergeCell ref="A65:C65"/>
    <mergeCell ref="A66:C66"/>
    <mergeCell ref="A67:C67"/>
    <mergeCell ref="A68:C68"/>
    <mergeCell ref="A69:C69"/>
    <mergeCell ref="A70:C70"/>
    <mergeCell ref="A83:P83"/>
    <mergeCell ref="A84:C84"/>
    <mergeCell ref="A85:C85"/>
    <mergeCell ref="A86:C86"/>
    <mergeCell ref="A87:C87"/>
    <mergeCell ref="A88:C88"/>
    <mergeCell ref="A89:C89"/>
    <mergeCell ref="A90:C90"/>
    <mergeCell ref="A91:C91"/>
    <mergeCell ref="A92:C92"/>
    <mergeCell ref="A103:P103"/>
    <mergeCell ref="A104:D104"/>
    <mergeCell ref="E104:H104"/>
    <mergeCell ref="I104:L104"/>
    <mergeCell ref="M104:P104"/>
    <mergeCell ref="A105:C105"/>
    <mergeCell ref="E105:G105"/>
    <mergeCell ref="I105:K105"/>
    <mergeCell ref="M105:O105"/>
    <mergeCell ref="A106:C106"/>
    <mergeCell ref="E106:G106"/>
    <mergeCell ref="I106:K106"/>
    <mergeCell ref="M106:O106"/>
    <mergeCell ref="A107:C107"/>
    <mergeCell ref="E107:G107"/>
    <mergeCell ref="I107:K107"/>
    <mergeCell ref="M107:O107"/>
    <mergeCell ref="A108:C108"/>
    <mergeCell ref="E108:G108"/>
    <mergeCell ref="I108:K108"/>
    <mergeCell ref="M108:O108"/>
    <mergeCell ref="A109:C109"/>
    <mergeCell ref="E109:G109"/>
    <mergeCell ref="I109:K109"/>
    <mergeCell ref="M109:O109"/>
    <mergeCell ref="A110:C110"/>
    <mergeCell ref="E110:G110"/>
    <mergeCell ref="I110:K110"/>
    <mergeCell ref="M110:O110"/>
    <mergeCell ref="A112:P112"/>
    <mergeCell ref="B113:F113"/>
    <mergeCell ref="J113:L113"/>
    <mergeCell ref="M113:N113"/>
    <mergeCell ref="O113:P113"/>
    <mergeCell ref="B114:F114"/>
    <mergeCell ref="J114:L114"/>
    <mergeCell ref="M114:N114"/>
    <mergeCell ref="O114:P114"/>
    <mergeCell ref="B115:F115"/>
    <mergeCell ref="J115:L115"/>
    <mergeCell ref="M115:N115"/>
    <mergeCell ref="O115:P115"/>
    <mergeCell ref="B116:F116"/>
    <mergeCell ref="J116:L116"/>
    <mergeCell ref="M116:N116"/>
    <mergeCell ref="O116:P116"/>
    <mergeCell ref="B117:F117"/>
    <mergeCell ref="J117:L117"/>
    <mergeCell ref="M117:N117"/>
    <mergeCell ref="O117:P117"/>
    <mergeCell ref="B118:F118"/>
    <mergeCell ref="J118:L118"/>
    <mergeCell ref="M118:N118"/>
    <mergeCell ref="O118:P118"/>
    <mergeCell ref="B120:F120"/>
    <mergeCell ref="J120:L120"/>
    <mergeCell ref="M120:N120"/>
    <mergeCell ref="O120:P120"/>
    <mergeCell ref="B121:F121"/>
    <mergeCell ref="J121:L121"/>
    <mergeCell ref="M121:N121"/>
    <mergeCell ref="O121:P121"/>
    <mergeCell ref="B122:F122"/>
    <mergeCell ref="J122:L122"/>
    <mergeCell ref="M122:N122"/>
    <mergeCell ref="O122:P122"/>
    <mergeCell ref="B123:F123"/>
    <mergeCell ref="J123:L123"/>
    <mergeCell ref="M123:N123"/>
    <mergeCell ref="O123:P123"/>
    <mergeCell ref="B124:F124"/>
    <mergeCell ref="J124:L124"/>
    <mergeCell ref="M124:N124"/>
    <mergeCell ref="O124:P124"/>
    <mergeCell ref="B125:F125"/>
    <mergeCell ref="J125:L125"/>
    <mergeCell ref="M125:N125"/>
    <mergeCell ref="O125:P125"/>
    <mergeCell ref="A127:P127"/>
    <mergeCell ref="A128:E128"/>
    <mergeCell ref="F128:G128"/>
    <mergeCell ref="H128:P128"/>
    <mergeCell ref="A129:E129"/>
    <mergeCell ref="F129:G129"/>
    <mergeCell ref="H129:P129"/>
    <mergeCell ref="A130:E130"/>
    <mergeCell ref="F130:G130"/>
    <mergeCell ref="H130:P130"/>
    <mergeCell ref="A131:E131"/>
    <mergeCell ref="F131:G131"/>
    <mergeCell ref="H131:P131"/>
    <mergeCell ref="A132:E132"/>
    <mergeCell ref="F132:G132"/>
    <mergeCell ref="H132:P132"/>
    <mergeCell ref="A134:P134"/>
  </mergeCells>
  <conditionalFormatting sqref="O114:P118">
    <cfRule type="cellIs" priority="2" operator="equal" aboveAverage="0" equalAverage="0" bottom="0" percent="0" rank="0" text="" dxfId="0">
      <formula>"Low"</formula>
    </cfRule>
    <cfRule type="cellIs" priority="3" operator="equal" aboveAverage="0" equalAverage="0" bottom="0" percent="0" rank="0" text="" dxfId="1">
      <formula>"Medium"</formula>
    </cfRule>
    <cfRule type="cellIs" priority="4" operator="equal" aboveAverage="0" equalAverage="0" bottom="0" percent="0" rank="0" text="" dxfId="2">
      <formula>"High"</formula>
    </cfRule>
    <cfRule type="cellIs" priority="5" operator="equal" aboveAverage="0" equalAverage="0" bottom="0" percent="0" rank="0" text="" dxfId="2">
      <formula>"Critical"</formula>
    </cfRule>
  </conditionalFormatting>
  <conditionalFormatting sqref="M121:N125">
    <cfRule type="cellIs" priority="6" operator="equal" aboveAverage="0" equalAverage="0" bottom="0" percent="0" rank="0" text="" dxfId="0">
      <formula>"Low"</formula>
    </cfRule>
    <cfRule type="cellIs" priority="7" operator="equal" aboveAverage="0" equalAverage="0" bottom="0" percent="0" rank="0" text="" dxfId="1">
      <formula>"Medium"</formula>
    </cfRule>
    <cfRule type="cellIs" priority="8" operator="equal" aboveAverage="0" equalAverage="0" bottom="0" percent="0" rank="0" text="" dxfId="2">
      <formula>"High"</formula>
    </cfRule>
    <cfRule type="cellIs" priority="9" operator="equal" aboveAverage="0" equalAverage="0" bottom="0" percent="0" rank="0" text="" dxfId="2">
      <formula>"Critical"</formula>
    </cfRule>
  </conditionalFormatting>
  <conditionalFormatting sqref="O121:P125">
    <cfRule type="cellIs" priority="10" operator="equal" aboveAverage="0" equalAverage="0" bottom="0" percent="0" rank="0" text="" dxfId="0">
      <formula>"Closed"</formula>
    </cfRule>
    <cfRule type="cellIs" priority="11" operator="equal" aboveAverage="0" equalAverage="0" bottom="0" percent="0" rank="0" text="" dxfId="1">
      <formula>"In Progress"</formula>
    </cfRule>
    <cfRule type="cellIs" priority="12" operator="equal" aboveAverage="0" equalAverage="0" bottom="0" percent="0" rank="0" text="" dxfId="2">
      <formula>"Open"</formula>
    </cfRule>
    <cfRule type="cellIs" priority="13" operator="equal" aboveAverage="0" equalAverage="0" bottom="0" percent="0" rank="0" text="" dxfId="2">
      <formula>"Escalated"</formula>
    </cfRule>
  </conditionalFormatting>
  <conditionalFormatting sqref="F132:G132">
    <cfRule type="cellIs" priority="14" operator="equal" aboveAverage="0" equalAverage="0" bottom="0" percent="0" rank="0" text="" dxfId="0">
      <formula>"Green"</formula>
    </cfRule>
    <cfRule type="cellIs" priority="15" operator="equal" aboveAverage="0" equalAverage="0" bottom="0" percent="0" rank="0" text="" dxfId="1">
      <formula>"Amber"</formula>
    </cfRule>
    <cfRule type="cellIs" priority="16" operator="equal" aboveAverage="0" equalAverage="0" bottom="0" percent="0" rank="0" text="" dxfId="2">
      <formula>"Red"</formula>
    </cfRule>
  </conditionalFormatting>
  <dataValidations count="3">
    <dataValidation allowBlank="true" errorStyle="stop" operator="between" showDropDown="false" showErrorMessage="false" showInputMessage="false" sqref="C6" type="list">
      <formula1>"Corporate,Portfolio,Project"</formula1>
      <formula2>0</formula2>
    </dataValidation>
    <dataValidation allowBlank="true" errorStyle="stop" operator="between" showDropDown="false" showErrorMessage="false" showInputMessage="false" sqref="H6" type="list">
      <formula1>PortfolioList</formula1>
      <formula2>0</formula2>
    </dataValidation>
    <dataValidation allowBlank="true" errorStyle="stop" operator="between" showDropDown="false" showErrorMessage="false" showInputMessage="false" sqref="M6" type="list">
      <formula1>ProjectIDs</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H9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26"/>
    <col collapsed="false" customWidth="true" hidden="false" outlineLevel="0" max="2" min="2" style="1" width="34"/>
    <col collapsed="false" customWidth="true" hidden="false" outlineLevel="0" max="8" min="3" style="1" width="24"/>
  </cols>
  <sheetData>
    <row r="1" customFormat="false" ht="7.5" hidden="false" customHeight="true" outlineLevel="0" collapsed="false">
      <c r="A1" s="2"/>
      <c r="B1" s="2"/>
      <c r="C1" s="2"/>
      <c r="D1" s="2"/>
      <c r="E1" s="2"/>
      <c r="F1" s="2"/>
      <c r="G1" s="2"/>
      <c r="H1" s="2"/>
    </row>
    <row r="2" customFormat="false" ht="30" hidden="false" customHeight="true" outlineLevel="0" collapsed="false">
      <c r="A2" s="59" t="s">
        <v>91</v>
      </c>
      <c r="B2" s="59"/>
      <c r="C2" s="59"/>
      <c r="D2" s="59"/>
      <c r="E2" s="59"/>
      <c r="F2" s="59"/>
      <c r="G2" s="59"/>
      <c r="H2" s="59"/>
    </row>
    <row r="3" customFormat="false" ht="16.5" hidden="false" customHeight="true" outlineLevel="0" collapsed="false">
      <c r="A3" s="60" t="s">
        <v>92</v>
      </c>
      <c r="B3" s="60"/>
      <c r="C3" s="60"/>
      <c r="D3" s="60"/>
      <c r="E3" s="60"/>
      <c r="F3" s="60"/>
      <c r="G3" s="60"/>
      <c r="H3" s="60"/>
    </row>
    <row r="4" customFormat="false" ht="15" hidden="false" customHeight="true" outlineLevel="0" collapsed="false">
      <c r="A4" s="61" t="s">
        <v>93</v>
      </c>
      <c r="B4" s="61"/>
      <c r="C4" s="61"/>
      <c r="D4" s="61"/>
      <c r="E4" s="61"/>
      <c r="F4" s="61"/>
      <c r="G4" s="61"/>
      <c r="H4" s="61"/>
    </row>
    <row r="5" customFormat="false" ht="15" hidden="false" customHeight="true" outlineLevel="0" collapsed="false">
      <c r="A5" s="5"/>
      <c r="B5" s="5"/>
      <c r="C5" s="5"/>
      <c r="D5" s="5"/>
      <c r="E5" s="5"/>
      <c r="F5" s="5"/>
      <c r="G5" s="5"/>
      <c r="H5" s="5"/>
    </row>
    <row r="6" customFormat="false" ht="19.5" hidden="false" customHeight="true" outlineLevel="0" collapsed="false">
      <c r="A6" s="13" t="s">
        <v>94</v>
      </c>
      <c r="B6" s="13"/>
      <c r="C6" s="13"/>
      <c r="D6" s="13"/>
      <c r="E6" s="13"/>
      <c r="F6" s="13"/>
      <c r="G6" s="13"/>
      <c r="H6" s="13"/>
    </row>
    <row r="7" customFormat="false" ht="25.5" hidden="false" customHeight="true" outlineLevel="0" collapsed="false">
      <c r="A7" s="62" t="s">
        <v>95</v>
      </c>
      <c r="B7" s="63" t="s">
        <v>96</v>
      </c>
      <c r="C7" s="63"/>
      <c r="D7" s="63"/>
      <c r="E7" s="63"/>
      <c r="F7" s="63"/>
      <c r="G7" s="63"/>
      <c r="H7" s="63"/>
    </row>
    <row r="8" customFormat="false" ht="25.5" hidden="false" customHeight="true" outlineLevel="0" collapsed="false">
      <c r="A8" s="62" t="s">
        <v>95</v>
      </c>
      <c r="B8" s="63" t="s">
        <v>97</v>
      </c>
      <c r="C8" s="63"/>
      <c r="D8" s="63"/>
      <c r="E8" s="63"/>
      <c r="F8" s="63"/>
      <c r="G8" s="63"/>
      <c r="H8" s="63"/>
    </row>
    <row r="9" customFormat="false" ht="25.5" hidden="false" customHeight="true" outlineLevel="0" collapsed="false">
      <c r="A9" s="62" t="s">
        <v>95</v>
      </c>
      <c r="B9" s="63" t="s">
        <v>98</v>
      </c>
      <c r="C9" s="63"/>
      <c r="D9" s="63"/>
      <c r="E9" s="63"/>
      <c r="F9" s="63"/>
      <c r="G9" s="63"/>
      <c r="H9" s="63"/>
    </row>
    <row r="10" customFormat="false" ht="25.5" hidden="false" customHeight="true" outlineLevel="0" collapsed="false">
      <c r="A10" s="62" t="s">
        <v>95</v>
      </c>
      <c r="B10" s="63" t="s">
        <v>99</v>
      </c>
      <c r="C10" s="63"/>
      <c r="D10" s="63"/>
      <c r="E10" s="63"/>
      <c r="F10" s="63"/>
      <c r="G10" s="63"/>
      <c r="H10" s="63"/>
    </row>
    <row r="11" customFormat="false" ht="25.5" hidden="false" customHeight="true" outlineLevel="0" collapsed="false">
      <c r="A11" s="62" t="s">
        <v>95</v>
      </c>
      <c r="B11" s="63" t="s">
        <v>100</v>
      </c>
      <c r="C11" s="63"/>
      <c r="D11" s="63"/>
      <c r="E11" s="63"/>
      <c r="F11" s="63"/>
      <c r="G11" s="63"/>
      <c r="H11" s="63"/>
    </row>
    <row r="12" customFormat="false" ht="25.5" hidden="false" customHeight="true" outlineLevel="0" collapsed="false">
      <c r="A12" s="62" t="s">
        <v>95</v>
      </c>
      <c r="B12" s="63" t="s">
        <v>101</v>
      </c>
      <c r="C12" s="63"/>
      <c r="D12" s="63"/>
      <c r="E12" s="63"/>
      <c r="F12" s="63"/>
      <c r="G12" s="63"/>
      <c r="H12" s="63"/>
    </row>
    <row r="13" customFormat="false" ht="15" hidden="false" customHeight="true" outlineLevel="0" collapsed="false">
      <c r="A13" s="5"/>
      <c r="B13" s="5"/>
      <c r="C13" s="5"/>
      <c r="D13" s="5"/>
      <c r="E13" s="5"/>
      <c r="F13" s="5"/>
      <c r="G13" s="5"/>
      <c r="H13" s="5"/>
    </row>
    <row r="14" customFormat="false" ht="19.5" hidden="false" customHeight="true" outlineLevel="0" collapsed="false">
      <c r="A14" s="13" t="s">
        <v>102</v>
      </c>
      <c r="B14" s="13"/>
      <c r="C14" s="13"/>
      <c r="D14" s="13"/>
      <c r="E14" s="13"/>
      <c r="F14" s="13"/>
      <c r="G14" s="13"/>
      <c r="H14" s="13"/>
    </row>
    <row r="15" customFormat="false" ht="16.5" hidden="false" customHeight="true" outlineLevel="0" collapsed="false">
      <c r="A15" s="64" t="s">
        <v>103</v>
      </c>
      <c r="B15" s="65" t="s">
        <v>104</v>
      </c>
      <c r="C15" s="65"/>
      <c r="D15" s="65"/>
      <c r="E15" s="65"/>
      <c r="F15" s="65"/>
      <c r="G15" s="65"/>
      <c r="H15" s="65"/>
    </row>
    <row r="16" customFormat="false" ht="16.5" hidden="false" customHeight="true" outlineLevel="0" collapsed="false">
      <c r="A16" s="66" t="s">
        <v>105</v>
      </c>
      <c r="B16" s="65" t="s">
        <v>106</v>
      </c>
      <c r="C16" s="65"/>
      <c r="D16" s="65"/>
      <c r="E16" s="65"/>
      <c r="F16" s="65"/>
      <c r="G16" s="65"/>
      <c r="H16" s="65"/>
    </row>
    <row r="17" customFormat="false" ht="16.5" hidden="false" customHeight="true" outlineLevel="0" collapsed="false">
      <c r="A17" s="67" t="s">
        <v>107</v>
      </c>
      <c r="B17" s="65" t="s">
        <v>108</v>
      </c>
      <c r="C17" s="65"/>
      <c r="D17" s="65"/>
      <c r="E17" s="65"/>
      <c r="F17" s="65"/>
      <c r="G17" s="65"/>
      <c r="H17" s="65"/>
    </row>
    <row r="18" customFormat="false" ht="16.5" hidden="false" customHeight="true" outlineLevel="0" collapsed="false">
      <c r="A18" s="68" t="s">
        <v>109</v>
      </c>
      <c r="B18" s="65" t="s">
        <v>110</v>
      </c>
      <c r="C18" s="65"/>
      <c r="D18" s="65"/>
      <c r="E18" s="65"/>
      <c r="F18" s="65"/>
      <c r="G18" s="65"/>
      <c r="H18" s="65"/>
    </row>
    <row r="19" customFormat="false" ht="16.5" hidden="false" customHeight="true" outlineLevel="0" collapsed="false">
      <c r="A19" s="69" t="s">
        <v>111</v>
      </c>
      <c r="B19" s="65" t="s">
        <v>112</v>
      </c>
      <c r="C19" s="65"/>
      <c r="D19" s="65"/>
      <c r="E19" s="65"/>
      <c r="F19" s="65"/>
      <c r="G19" s="65"/>
      <c r="H19" s="65"/>
    </row>
    <row r="20" customFormat="false" ht="16.5" hidden="false" customHeight="true" outlineLevel="0" collapsed="false">
      <c r="A20" s="70" t="s">
        <v>113</v>
      </c>
      <c r="B20" s="65" t="s">
        <v>114</v>
      </c>
      <c r="C20" s="65"/>
      <c r="D20" s="65"/>
      <c r="E20" s="65"/>
      <c r="F20" s="65"/>
      <c r="G20" s="65"/>
      <c r="H20" s="65"/>
    </row>
    <row r="21" customFormat="false" ht="15" hidden="false" customHeight="true" outlineLevel="0" collapsed="false">
      <c r="A21" s="5"/>
      <c r="B21" s="5"/>
      <c r="C21" s="5"/>
      <c r="D21" s="5"/>
      <c r="E21" s="5"/>
      <c r="F21" s="5"/>
      <c r="G21" s="5"/>
      <c r="H21" s="5"/>
    </row>
    <row r="22" customFormat="false" ht="19.5" hidden="false" customHeight="true" outlineLevel="0" collapsed="false">
      <c r="A22" s="13" t="s">
        <v>115</v>
      </c>
      <c r="B22" s="13"/>
      <c r="C22" s="13"/>
      <c r="D22" s="13"/>
      <c r="E22" s="13"/>
      <c r="F22" s="13"/>
      <c r="G22" s="13"/>
      <c r="H22" s="13"/>
    </row>
    <row r="23" customFormat="false" ht="21.75" hidden="false" customHeight="true" outlineLevel="0" collapsed="false">
      <c r="A23" s="23" t="s">
        <v>116</v>
      </c>
      <c r="B23" s="23" t="s">
        <v>117</v>
      </c>
      <c r="C23" s="23" t="s">
        <v>118</v>
      </c>
      <c r="D23" s="23"/>
      <c r="E23" s="23"/>
      <c r="F23" s="23"/>
      <c r="G23" s="23"/>
      <c r="H23" s="23"/>
    </row>
    <row r="24" customFormat="false" ht="25.5" hidden="false" customHeight="true" outlineLevel="0" collapsed="false">
      <c r="A24" s="24" t="s">
        <v>119</v>
      </c>
      <c r="B24" s="71" t="s">
        <v>120</v>
      </c>
      <c r="C24" s="72" t="s">
        <v>121</v>
      </c>
      <c r="D24" s="72"/>
      <c r="E24" s="72"/>
      <c r="F24" s="72"/>
      <c r="G24" s="72"/>
      <c r="H24" s="72"/>
    </row>
    <row r="25" customFormat="false" ht="25.5" hidden="false" customHeight="true" outlineLevel="0" collapsed="false">
      <c r="A25" s="24" t="s">
        <v>122</v>
      </c>
      <c r="B25" s="71" t="s">
        <v>123</v>
      </c>
      <c r="C25" s="72" t="s">
        <v>124</v>
      </c>
      <c r="D25" s="72"/>
      <c r="E25" s="72"/>
      <c r="F25" s="72"/>
      <c r="G25" s="72"/>
      <c r="H25" s="72"/>
    </row>
    <row r="26" customFormat="false" ht="25.5" hidden="false" customHeight="true" outlineLevel="0" collapsed="false">
      <c r="A26" s="24" t="s">
        <v>125</v>
      </c>
      <c r="B26" s="71" t="s">
        <v>126</v>
      </c>
      <c r="C26" s="72" t="s">
        <v>127</v>
      </c>
      <c r="D26" s="72"/>
      <c r="E26" s="72"/>
      <c r="F26" s="72"/>
      <c r="G26" s="72"/>
      <c r="H26" s="72"/>
    </row>
    <row r="27" customFormat="false" ht="25.5" hidden="false" customHeight="true" outlineLevel="0" collapsed="false">
      <c r="A27" s="24" t="s">
        <v>128</v>
      </c>
      <c r="B27" s="71" t="s">
        <v>129</v>
      </c>
      <c r="C27" s="72" t="s">
        <v>130</v>
      </c>
      <c r="D27" s="72"/>
      <c r="E27" s="72"/>
      <c r="F27" s="72"/>
      <c r="G27" s="72"/>
      <c r="H27" s="72"/>
    </row>
    <row r="28" customFormat="false" ht="25.5" hidden="false" customHeight="true" outlineLevel="0" collapsed="false">
      <c r="A28" s="24" t="s">
        <v>131</v>
      </c>
      <c r="B28" s="71" t="s">
        <v>132</v>
      </c>
      <c r="C28" s="72" t="s">
        <v>133</v>
      </c>
      <c r="D28" s="72"/>
      <c r="E28" s="72"/>
      <c r="F28" s="72"/>
      <c r="G28" s="72"/>
      <c r="H28" s="72"/>
    </row>
    <row r="29" customFormat="false" ht="25.5" hidden="false" customHeight="true" outlineLevel="0" collapsed="false">
      <c r="A29" s="24" t="s">
        <v>134</v>
      </c>
      <c r="B29" s="71" t="s">
        <v>135</v>
      </c>
      <c r="C29" s="72" t="s">
        <v>136</v>
      </c>
      <c r="D29" s="72"/>
      <c r="E29" s="72"/>
      <c r="F29" s="72"/>
      <c r="G29" s="72"/>
      <c r="H29" s="72"/>
    </row>
    <row r="30" customFormat="false" ht="25.5" hidden="false" customHeight="true" outlineLevel="0" collapsed="false">
      <c r="A30" s="24" t="s">
        <v>137</v>
      </c>
      <c r="B30" s="71" t="s">
        <v>138</v>
      </c>
      <c r="C30" s="72" t="s">
        <v>139</v>
      </c>
      <c r="D30" s="72"/>
      <c r="E30" s="72"/>
      <c r="F30" s="72"/>
      <c r="G30" s="72"/>
      <c r="H30" s="72"/>
    </row>
    <row r="31" customFormat="false" ht="25.5" hidden="false" customHeight="true" outlineLevel="0" collapsed="false">
      <c r="A31" s="24" t="s">
        <v>140</v>
      </c>
      <c r="B31" s="71" t="s">
        <v>141</v>
      </c>
      <c r="C31" s="72" t="s">
        <v>142</v>
      </c>
      <c r="D31" s="72"/>
      <c r="E31" s="72"/>
      <c r="F31" s="72"/>
      <c r="G31" s="72"/>
      <c r="H31" s="72"/>
    </row>
    <row r="32" customFormat="false" ht="25.5" hidden="false" customHeight="true" outlineLevel="0" collapsed="false">
      <c r="A32" s="24" t="s">
        <v>143</v>
      </c>
      <c r="B32" s="71" t="s">
        <v>144</v>
      </c>
      <c r="C32" s="72" t="s">
        <v>145</v>
      </c>
      <c r="D32" s="72"/>
      <c r="E32" s="72"/>
      <c r="F32" s="72"/>
      <c r="G32" s="72"/>
      <c r="H32" s="72"/>
    </row>
    <row r="33" customFormat="false" ht="25.5" hidden="false" customHeight="true" outlineLevel="0" collapsed="false">
      <c r="A33" s="24" t="s">
        <v>146</v>
      </c>
      <c r="B33" s="71" t="s">
        <v>147</v>
      </c>
      <c r="C33" s="72" t="s">
        <v>148</v>
      </c>
      <c r="D33" s="72"/>
      <c r="E33" s="72"/>
      <c r="F33" s="72"/>
      <c r="G33" s="72"/>
      <c r="H33" s="72"/>
    </row>
    <row r="34" customFormat="false" ht="25.5" hidden="false" customHeight="true" outlineLevel="0" collapsed="false">
      <c r="A34" s="24" t="s">
        <v>149</v>
      </c>
      <c r="B34" s="71" t="s">
        <v>150</v>
      </c>
      <c r="C34" s="72" t="s">
        <v>151</v>
      </c>
      <c r="D34" s="72"/>
      <c r="E34" s="72"/>
      <c r="F34" s="72"/>
      <c r="G34" s="72"/>
      <c r="H34" s="72"/>
    </row>
    <row r="35" customFormat="false" ht="25.5" hidden="false" customHeight="true" outlineLevel="0" collapsed="false">
      <c r="A35" s="24" t="s">
        <v>152</v>
      </c>
      <c r="B35" s="71" t="s">
        <v>153</v>
      </c>
      <c r="C35" s="72" t="s">
        <v>154</v>
      </c>
      <c r="D35" s="72"/>
      <c r="E35" s="72"/>
      <c r="F35" s="72"/>
      <c r="G35" s="72"/>
      <c r="H35" s="72"/>
    </row>
    <row r="36" customFormat="false" ht="25.5" hidden="false" customHeight="true" outlineLevel="0" collapsed="false">
      <c r="A36" s="24" t="s">
        <v>155</v>
      </c>
      <c r="B36" s="71" t="s">
        <v>156</v>
      </c>
      <c r="C36" s="72" t="s">
        <v>157</v>
      </c>
      <c r="D36" s="72"/>
      <c r="E36" s="72"/>
      <c r="F36" s="72"/>
      <c r="G36" s="72"/>
      <c r="H36" s="72"/>
    </row>
    <row r="37" customFormat="false" ht="25.5" hidden="false" customHeight="true" outlineLevel="0" collapsed="false">
      <c r="A37" s="24" t="s">
        <v>158</v>
      </c>
      <c r="B37" s="71" t="s">
        <v>159</v>
      </c>
      <c r="C37" s="72" t="s">
        <v>160</v>
      </c>
      <c r="D37" s="72"/>
      <c r="E37" s="72"/>
      <c r="F37" s="72"/>
      <c r="G37" s="72"/>
      <c r="H37" s="72"/>
    </row>
    <row r="38" customFormat="false" ht="25.5" hidden="false" customHeight="true" outlineLevel="0" collapsed="false">
      <c r="A38" s="24" t="s">
        <v>161</v>
      </c>
      <c r="B38" s="71" t="s">
        <v>162</v>
      </c>
      <c r="C38" s="72" t="s">
        <v>163</v>
      </c>
      <c r="D38" s="72"/>
      <c r="E38" s="72"/>
      <c r="F38" s="72"/>
      <c r="G38" s="72"/>
      <c r="H38" s="72"/>
    </row>
    <row r="39" customFormat="false" ht="25.5" hidden="false" customHeight="true" outlineLevel="0" collapsed="false">
      <c r="A39" s="24" t="s">
        <v>164</v>
      </c>
      <c r="B39" s="71" t="s">
        <v>165</v>
      </c>
      <c r="C39" s="72" t="s">
        <v>166</v>
      </c>
      <c r="D39" s="72"/>
      <c r="E39" s="72"/>
      <c r="F39" s="72"/>
      <c r="G39" s="72"/>
      <c r="H39" s="72"/>
    </row>
    <row r="40" customFormat="false" ht="25.5" hidden="false" customHeight="true" outlineLevel="0" collapsed="false">
      <c r="A40" s="24" t="s">
        <v>167</v>
      </c>
      <c r="B40" s="71" t="s">
        <v>168</v>
      </c>
      <c r="C40" s="72" t="s">
        <v>169</v>
      </c>
      <c r="D40" s="72"/>
      <c r="E40" s="72"/>
      <c r="F40" s="72"/>
      <c r="G40" s="72"/>
      <c r="H40" s="72"/>
    </row>
    <row r="41" customFormat="false" ht="25.5" hidden="false" customHeight="true" outlineLevel="0" collapsed="false">
      <c r="A41" s="24" t="s">
        <v>170</v>
      </c>
      <c r="B41" s="71" t="s">
        <v>171</v>
      </c>
      <c r="C41" s="72" t="s">
        <v>172</v>
      </c>
      <c r="D41" s="72"/>
      <c r="E41" s="72"/>
      <c r="F41" s="72"/>
      <c r="G41" s="72"/>
      <c r="H41" s="72"/>
    </row>
    <row r="42" customFormat="false" ht="15" hidden="false" customHeight="true" outlineLevel="0" collapsed="false">
      <c r="A42" s="5"/>
      <c r="B42" s="5"/>
      <c r="C42" s="5"/>
      <c r="D42" s="5"/>
      <c r="E42" s="5"/>
      <c r="F42" s="5"/>
      <c r="G42" s="5"/>
      <c r="H42" s="5"/>
    </row>
    <row r="43" customFormat="false" ht="19.5" hidden="false" customHeight="true" outlineLevel="0" collapsed="false">
      <c r="A43" s="13" t="s">
        <v>173</v>
      </c>
      <c r="B43" s="13"/>
      <c r="C43" s="13"/>
      <c r="D43" s="13"/>
      <c r="E43" s="13"/>
      <c r="F43" s="13"/>
      <c r="G43" s="13"/>
      <c r="H43" s="13"/>
    </row>
    <row r="44" customFormat="false" ht="24" hidden="false" customHeight="true" outlineLevel="0" collapsed="false">
      <c r="A44" s="73" t="s">
        <v>174</v>
      </c>
      <c r="B44" s="63" t="s">
        <v>175</v>
      </c>
      <c r="C44" s="63"/>
      <c r="D44" s="63"/>
      <c r="E44" s="63"/>
      <c r="F44" s="63"/>
      <c r="G44" s="63"/>
      <c r="H44" s="63"/>
    </row>
    <row r="45" customFormat="false" ht="24" hidden="false" customHeight="true" outlineLevel="0" collapsed="false">
      <c r="A45" s="73" t="s">
        <v>176</v>
      </c>
      <c r="B45" s="63" t="s">
        <v>177</v>
      </c>
      <c r="C45" s="63"/>
      <c r="D45" s="63"/>
      <c r="E45" s="63"/>
      <c r="F45" s="63"/>
      <c r="G45" s="63"/>
      <c r="H45" s="63"/>
    </row>
    <row r="46" customFormat="false" ht="24" hidden="false" customHeight="true" outlineLevel="0" collapsed="false">
      <c r="A46" s="73" t="s">
        <v>178</v>
      </c>
      <c r="B46" s="63" t="s">
        <v>179</v>
      </c>
      <c r="C46" s="63"/>
      <c r="D46" s="63"/>
      <c r="E46" s="63"/>
      <c r="F46" s="63"/>
      <c r="G46" s="63"/>
      <c r="H46" s="63"/>
    </row>
    <row r="47" customFormat="false" ht="24" hidden="false" customHeight="true" outlineLevel="0" collapsed="false">
      <c r="A47" s="73" t="s">
        <v>180</v>
      </c>
      <c r="B47" s="63" t="s">
        <v>181</v>
      </c>
      <c r="C47" s="63"/>
      <c r="D47" s="63"/>
      <c r="E47" s="63"/>
      <c r="F47" s="63"/>
      <c r="G47" s="63"/>
      <c r="H47" s="63"/>
    </row>
    <row r="48" customFormat="false" ht="24" hidden="false" customHeight="true" outlineLevel="0" collapsed="false">
      <c r="A48" s="73" t="s">
        <v>182</v>
      </c>
      <c r="B48" s="63" t="s">
        <v>183</v>
      </c>
      <c r="C48" s="63"/>
      <c r="D48" s="63"/>
      <c r="E48" s="63"/>
      <c r="F48" s="63"/>
      <c r="G48" s="63"/>
      <c r="H48" s="63"/>
    </row>
    <row r="49" customFormat="false" ht="24" hidden="false" customHeight="true" outlineLevel="0" collapsed="false">
      <c r="A49" s="73" t="s">
        <v>184</v>
      </c>
      <c r="B49" s="63" t="s">
        <v>185</v>
      </c>
      <c r="C49" s="63"/>
      <c r="D49" s="63"/>
      <c r="E49" s="63"/>
      <c r="F49" s="63"/>
      <c r="G49" s="63"/>
      <c r="H49" s="63"/>
    </row>
    <row r="50" customFormat="false" ht="24" hidden="false" customHeight="true" outlineLevel="0" collapsed="false">
      <c r="A50" s="73" t="s">
        <v>186</v>
      </c>
      <c r="B50" s="63" t="s">
        <v>187</v>
      </c>
      <c r="C50" s="63"/>
      <c r="D50" s="63"/>
      <c r="E50" s="63"/>
      <c r="F50" s="63"/>
      <c r="G50" s="63"/>
      <c r="H50" s="63"/>
    </row>
    <row r="51" customFormat="false" ht="24" hidden="false" customHeight="true" outlineLevel="0" collapsed="false">
      <c r="A51" s="73" t="s">
        <v>188</v>
      </c>
      <c r="B51" s="63" t="s">
        <v>189</v>
      </c>
      <c r="C51" s="63"/>
      <c r="D51" s="63"/>
      <c r="E51" s="63"/>
      <c r="F51" s="63"/>
      <c r="G51" s="63"/>
      <c r="H51" s="63"/>
    </row>
    <row r="52" customFormat="false" ht="24" hidden="false" customHeight="true" outlineLevel="0" collapsed="false">
      <c r="A52" s="73" t="s">
        <v>190</v>
      </c>
      <c r="B52" s="63" t="s">
        <v>191</v>
      </c>
      <c r="C52" s="63"/>
      <c r="D52" s="63"/>
      <c r="E52" s="63"/>
      <c r="F52" s="63"/>
      <c r="G52" s="63"/>
      <c r="H52" s="63"/>
    </row>
    <row r="53" customFormat="false" ht="24" hidden="false" customHeight="true" outlineLevel="0" collapsed="false">
      <c r="A53" s="73" t="s">
        <v>192</v>
      </c>
      <c r="B53" s="63" t="s">
        <v>193</v>
      </c>
      <c r="C53" s="63"/>
      <c r="D53" s="63"/>
      <c r="E53" s="63"/>
      <c r="F53" s="63"/>
      <c r="G53" s="63"/>
      <c r="H53" s="63"/>
    </row>
    <row r="54" customFormat="false" ht="24" hidden="false" customHeight="true" outlineLevel="0" collapsed="false">
      <c r="A54" s="73" t="s">
        <v>194</v>
      </c>
      <c r="B54" s="63" t="s">
        <v>195</v>
      </c>
      <c r="C54" s="63"/>
      <c r="D54" s="63"/>
      <c r="E54" s="63"/>
      <c r="F54" s="63"/>
      <c r="G54" s="63"/>
      <c r="H54" s="63"/>
    </row>
    <row r="55" customFormat="false" ht="15" hidden="false" customHeight="true" outlineLevel="0" collapsed="false">
      <c r="A55" s="5"/>
      <c r="B55" s="5"/>
      <c r="C55" s="5"/>
      <c r="D55" s="5"/>
      <c r="E55" s="5"/>
      <c r="F55" s="5"/>
      <c r="G55" s="5"/>
      <c r="H55" s="5"/>
    </row>
    <row r="56" customFormat="false" ht="19.5" hidden="false" customHeight="true" outlineLevel="0" collapsed="false">
      <c r="A56" s="13" t="s">
        <v>196</v>
      </c>
      <c r="B56" s="13"/>
      <c r="C56" s="13"/>
      <c r="D56" s="13"/>
      <c r="E56" s="13"/>
      <c r="F56" s="13"/>
      <c r="G56" s="13"/>
      <c r="H56" s="13"/>
    </row>
    <row r="57" customFormat="false" ht="19.5" hidden="false" customHeight="true" outlineLevel="0" collapsed="false">
      <c r="A57" s="24" t="s">
        <v>197</v>
      </c>
      <c r="B57" s="71" t="s">
        <v>198</v>
      </c>
      <c r="C57" s="71"/>
      <c r="D57" s="71"/>
      <c r="E57" s="71"/>
      <c r="F57" s="71"/>
      <c r="G57" s="71"/>
      <c r="H57" s="71"/>
    </row>
    <row r="58" customFormat="false" ht="19.5" hidden="false" customHeight="true" outlineLevel="0" collapsed="false">
      <c r="A58" s="24" t="s">
        <v>199</v>
      </c>
      <c r="B58" s="71" t="s">
        <v>200</v>
      </c>
      <c r="C58" s="71"/>
      <c r="D58" s="71"/>
      <c r="E58" s="71"/>
      <c r="F58" s="71"/>
      <c r="G58" s="71"/>
      <c r="H58" s="71"/>
    </row>
    <row r="59" customFormat="false" ht="19.5" hidden="false" customHeight="true" outlineLevel="0" collapsed="false">
      <c r="A59" s="24" t="s">
        <v>201</v>
      </c>
      <c r="B59" s="71" t="s">
        <v>202</v>
      </c>
      <c r="C59" s="71"/>
      <c r="D59" s="71"/>
      <c r="E59" s="71"/>
      <c r="F59" s="71"/>
      <c r="G59" s="71"/>
      <c r="H59" s="71"/>
    </row>
    <row r="60" customFormat="false" ht="19.5" hidden="false" customHeight="true" outlineLevel="0" collapsed="false">
      <c r="A60" s="24" t="s">
        <v>203</v>
      </c>
      <c r="B60" s="71" t="s">
        <v>204</v>
      </c>
      <c r="C60" s="71"/>
      <c r="D60" s="71"/>
      <c r="E60" s="71"/>
      <c r="F60" s="71"/>
      <c r="G60" s="71"/>
      <c r="H60" s="71"/>
    </row>
    <row r="61" customFormat="false" ht="19.5" hidden="false" customHeight="true" outlineLevel="0" collapsed="false">
      <c r="A61" s="24" t="s">
        <v>205</v>
      </c>
      <c r="B61" s="71" t="s">
        <v>206</v>
      </c>
      <c r="C61" s="71"/>
      <c r="D61" s="71"/>
      <c r="E61" s="71"/>
      <c r="F61" s="71"/>
      <c r="G61" s="71"/>
      <c r="H61" s="71"/>
    </row>
    <row r="62" customFormat="false" ht="19.5" hidden="false" customHeight="true" outlineLevel="0" collapsed="false">
      <c r="A62" s="24" t="s">
        <v>207</v>
      </c>
      <c r="B62" s="71" t="s">
        <v>208</v>
      </c>
      <c r="C62" s="71"/>
      <c r="D62" s="71"/>
      <c r="E62" s="71"/>
      <c r="F62" s="71"/>
      <c r="G62" s="71"/>
      <c r="H62" s="71"/>
    </row>
    <row r="63" customFormat="false" ht="19.5" hidden="false" customHeight="true" outlineLevel="0" collapsed="false">
      <c r="A63" s="24" t="s">
        <v>209</v>
      </c>
      <c r="B63" s="71" t="s">
        <v>210</v>
      </c>
      <c r="C63" s="71"/>
      <c r="D63" s="71"/>
      <c r="E63" s="71"/>
      <c r="F63" s="71"/>
      <c r="G63" s="71"/>
      <c r="H63" s="71"/>
    </row>
    <row r="64" customFormat="false" ht="19.5" hidden="false" customHeight="true" outlineLevel="0" collapsed="false">
      <c r="A64" s="24" t="s">
        <v>211</v>
      </c>
      <c r="B64" s="71" t="s">
        <v>212</v>
      </c>
      <c r="C64" s="71"/>
      <c r="D64" s="71"/>
      <c r="E64" s="71"/>
      <c r="F64" s="71"/>
      <c r="G64" s="71"/>
      <c r="H64" s="71"/>
    </row>
    <row r="65" customFormat="false" ht="19.5" hidden="false" customHeight="true" outlineLevel="0" collapsed="false">
      <c r="A65" s="24" t="s">
        <v>213</v>
      </c>
      <c r="B65" s="71" t="s">
        <v>214</v>
      </c>
      <c r="C65" s="71"/>
      <c r="D65" s="71"/>
      <c r="E65" s="71"/>
      <c r="F65" s="71"/>
      <c r="G65" s="71"/>
      <c r="H65" s="71"/>
    </row>
    <row r="66" customFormat="false" ht="19.5" hidden="false" customHeight="true" outlineLevel="0" collapsed="false">
      <c r="A66" s="24" t="s">
        <v>215</v>
      </c>
      <c r="B66" s="71" t="s">
        <v>216</v>
      </c>
      <c r="C66" s="71"/>
      <c r="D66" s="71"/>
      <c r="E66" s="71"/>
      <c r="F66" s="71"/>
      <c r="G66" s="71"/>
      <c r="H66" s="71"/>
    </row>
    <row r="67" customFormat="false" ht="19.5" hidden="false" customHeight="true" outlineLevel="0" collapsed="false">
      <c r="A67" s="24" t="s">
        <v>217</v>
      </c>
      <c r="B67" s="71" t="s">
        <v>218</v>
      </c>
      <c r="C67" s="71"/>
      <c r="D67" s="71"/>
      <c r="E67" s="71"/>
      <c r="F67" s="71"/>
      <c r="G67" s="71"/>
      <c r="H67" s="71"/>
    </row>
    <row r="68" customFormat="false" ht="19.5" hidden="false" customHeight="true" outlineLevel="0" collapsed="false">
      <c r="A68" s="24" t="s">
        <v>219</v>
      </c>
      <c r="B68" s="71" t="s">
        <v>220</v>
      </c>
      <c r="C68" s="71"/>
      <c r="D68" s="71"/>
      <c r="E68" s="71"/>
      <c r="F68" s="71"/>
      <c r="G68" s="71"/>
      <c r="H68" s="71"/>
    </row>
    <row r="69" customFormat="false" ht="19.5" hidden="false" customHeight="true" outlineLevel="0" collapsed="false">
      <c r="A69" s="24" t="s">
        <v>221</v>
      </c>
      <c r="B69" s="71" t="s">
        <v>222</v>
      </c>
      <c r="C69" s="71"/>
      <c r="D69" s="71"/>
      <c r="E69" s="71"/>
      <c r="F69" s="71"/>
      <c r="G69" s="71"/>
      <c r="H69" s="71"/>
    </row>
    <row r="70" customFormat="false" ht="19.5" hidden="false" customHeight="true" outlineLevel="0" collapsed="false">
      <c r="A70" s="24" t="s">
        <v>223</v>
      </c>
      <c r="B70" s="71" t="s">
        <v>224</v>
      </c>
      <c r="C70" s="71"/>
      <c r="D70" s="71"/>
      <c r="E70" s="71"/>
      <c r="F70" s="71"/>
      <c r="G70" s="71"/>
      <c r="H70" s="71"/>
    </row>
    <row r="71" customFormat="false" ht="19.5" hidden="false" customHeight="true" outlineLevel="0" collapsed="false">
      <c r="A71" s="24" t="s">
        <v>225</v>
      </c>
      <c r="B71" s="71" t="s">
        <v>226</v>
      </c>
      <c r="C71" s="71"/>
      <c r="D71" s="71"/>
      <c r="E71" s="71"/>
      <c r="F71" s="71"/>
      <c r="G71" s="71"/>
      <c r="H71" s="71"/>
    </row>
    <row r="72" customFormat="false" ht="19.5" hidden="false" customHeight="true" outlineLevel="0" collapsed="false">
      <c r="A72" s="24" t="s">
        <v>227</v>
      </c>
      <c r="B72" s="71" t="s">
        <v>228</v>
      </c>
      <c r="C72" s="71"/>
      <c r="D72" s="71"/>
      <c r="E72" s="71"/>
      <c r="F72" s="71"/>
      <c r="G72" s="71"/>
      <c r="H72" s="71"/>
    </row>
    <row r="73" customFormat="false" ht="19.5" hidden="false" customHeight="true" outlineLevel="0" collapsed="false">
      <c r="A73" s="24" t="s">
        <v>229</v>
      </c>
      <c r="B73" s="71" t="s">
        <v>230</v>
      </c>
      <c r="C73" s="71"/>
      <c r="D73" s="71"/>
      <c r="E73" s="71"/>
      <c r="F73" s="71"/>
      <c r="G73" s="71"/>
      <c r="H73" s="71"/>
    </row>
    <row r="74" customFormat="false" ht="15" hidden="false" customHeight="true" outlineLevel="0" collapsed="false">
      <c r="A74" s="5"/>
      <c r="B74" s="5"/>
      <c r="C74" s="5"/>
      <c r="D74" s="5"/>
      <c r="E74" s="5"/>
      <c r="F74" s="5"/>
      <c r="G74" s="5"/>
      <c r="H74" s="5"/>
    </row>
    <row r="75" customFormat="false" ht="19.5" hidden="false" customHeight="true" outlineLevel="0" collapsed="false">
      <c r="A75" s="13" t="s">
        <v>231</v>
      </c>
      <c r="B75" s="13"/>
      <c r="C75" s="13"/>
      <c r="D75" s="13"/>
      <c r="E75" s="13"/>
      <c r="F75" s="13"/>
      <c r="G75" s="13"/>
      <c r="H75" s="13"/>
    </row>
    <row r="76" customFormat="false" ht="30" hidden="false" customHeight="true" outlineLevel="0" collapsed="false">
      <c r="A76" s="62" t="s">
        <v>232</v>
      </c>
      <c r="B76" s="63" t="s">
        <v>233</v>
      </c>
      <c r="C76" s="63"/>
      <c r="D76" s="63"/>
      <c r="E76" s="63"/>
      <c r="F76" s="63"/>
      <c r="G76" s="63"/>
      <c r="H76" s="63"/>
    </row>
    <row r="77" customFormat="false" ht="30" hidden="false" customHeight="true" outlineLevel="0" collapsed="false">
      <c r="A77" s="62" t="s">
        <v>232</v>
      </c>
      <c r="B77" s="63" t="s">
        <v>234</v>
      </c>
      <c r="C77" s="63"/>
      <c r="D77" s="63"/>
      <c r="E77" s="63"/>
      <c r="F77" s="63"/>
      <c r="G77" s="63"/>
      <c r="H77" s="63"/>
    </row>
    <row r="78" customFormat="false" ht="30" hidden="false" customHeight="true" outlineLevel="0" collapsed="false">
      <c r="A78" s="62" t="s">
        <v>232</v>
      </c>
      <c r="B78" s="63" t="s">
        <v>235</v>
      </c>
      <c r="C78" s="63"/>
      <c r="D78" s="63"/>
      <c r="E78" s="63"/>
      <c r="F78" s="63"/>
      <c r="G78" s="63"/>
      <c r="H78" s="63"/>
    </row>
    <row r="79" customFormat="false" ht="30" hidden="false" customHeight="true" outlineLevel="0" collapsed="false">
      <c r="A79" s="62" t="s">
        <v>232</v>
      </c>
      <c r="B79" s="63" t="s">
        <v>236</v>
      </c>
      <c r="C79" s="63"/>
      <c r="D79" s="63"/>
      <c r="E79" s="63"/>
      <c r="F79" s="63"/>
      <c r="G79" s="63"/>
      <c r="H79" s="63"/>
    </row>
    <row r="80" customFormat="false" ht="30" hidden="false" customHeight="true" outlineLevel="0" collapsed="false">
      <c r="A80" s="62" t="s">
        <v>232</v>
      </c>
      <c r="B80" s="63" t="s">
        <v>237</v>
      </c>
      <c r="C80" s="63"/>
      <c r="D80" s="63"/>
      <c r="E80" s="63"/>
      <c r="F80" s="63"/>
      <c r="G80" s="63"/>
      <c r="H80" s="63"/>
    </row>
    <row r="81" customFormat="false" ht="30" hidden="false" customHeight="true" outlineLevel="0" collapsed="false">
      <c r="A81" s="62" t="s">
        <v>232</v>
      </c>
      <c r="B81" s="63" t="s">
        <v>238</v>
      </c>
      <c r="C81" s="63"/>
      <c r="D81" s="63"/>
      <c r="E81" s="63"/>
      <c r="F81" s="63"/>
      <c r="G81" s="63"/>
      <c r="H81" s="63"/>
    </row>
    <row r="82" customFormat="false" ht="30" hidden="false" customHeight="true" outlineLevel="0" collapsed="false">
      <c r="A82" s="62" t="s">
        <v>232</v>
      </c>
      <c r="B82" s="63" t="s">
        <v>239</v>
      </c>
      <c r="C82" s="63"/>
      <c r="D82" s="63"/>
      <c r="E82" s="63"/>
      <c r="F82" s="63"/>
      <c r="G82" s="63"/>
      <c r="H82" s="63"/>
    </row>
    <row r="83" customFormat="false" ht="30" hidden="false" customHeight="true" outlineLevel="0" collapsed="false">
      <c r="A83" s="62" t="s">
        <v>232</v>
      </c>
      <c r="B83" s="63" t="s">
        <v>240</v>
      </c>
      <c r="C83" s="63"/>
      <c r="D83" s="63"/>
      <c r="E83" s="63"/>
      <c r="F83" s="63"/>
      <c r="G83" s="63"/>
      <c r="H83" s="63"/>
    </row>
    <row r="84" customFormat="false" ht="30" hidden="false" customHeight="true" outlineLevel="0" collapsed="false">
      <c r="A84" s="62" t="s">
        <v>232</v>
      </c>
      <c r="B84" s="63" t="s">
        <v>241</v>
      </c>
      <c r="C84" s="63"/>
      <c r="D84" s="63"/>
      <c r="E84" s="63"/>
      <c r="F84" s="63"/>
      <c r="G84" s="63"/>
      <c r="H84" s="63"/>
    </row>
    <row r="85" customFormat="false" ht="30" hidden="false" customHeight="true" outlineLevel="0" collapsed="false">
      <c r="A85" s="62" t="s">
        <v>232</v>
      </c>
      <c r="B85" s="63" t="s">
        <v>242</v>
      </c>
      <c r="C85" s="63"/>
      <c r="D85" s="63"/>
      <c r="E85" s="63"/>
      <c r="F85" s="63"/>
      <c r="G85" s="63"/>
      <c r="H85" s="63"/>
    </row>
    <row r="86" customFormat="false" ht="15" hidden="false" customHeight="true" outlineLevel="0" collapsed="false">
      <c r="A86" s="5"/>
      <c r="B86" s="5"/>
      <c r="C86" s="5"/>
      <c r="D86" s="5"/>
      <c r="E86" s="5"/>
      <c r="F86" s="5"/>
      <c r="G86" s="5"/>
      <c r="H86" s="5"/>
    </row>
    <row r="87" customFormat="false" ht="19.5" hidden="false" customHeight="true" outlineLevel="0" collapsed="false">
      <c r="A87" s="74" t="s">
        <v>243</v>
      </c>
      <c r="B87" s="74"/>
      <c r="C87" s="74"/>
      <c r="D87" s="74"/>
      <c r="E87" s="74"/>
      <c r="F87" s="74"/>
      <c r="G87" s="74"/>
      <c r="H87" s="74"/>
    </row>
    <row r="88" customFormat="false" ht="16.5" hidden="false" customHeight="true" outlineLevel="0" collapsed="false">
      <c r="A88" s="75" t="s">
        <v>244</v>
      </c>
      <c r="B88" s="75"/>
      <c r="C88" s="76" t="s">
        <v>245</v>
      </c>
      <c r="D88" s="76"/>
      <c r="E88" s="76"/>
      <c r="F88" s="76"/>
      <c r="G88" s="76"/>
      <c r="H88" s="76"/>
    </row>
    <row r="89" customFormat="false" ht="16.5" hidden="false" customHeight="true" outlineLevel="0" collapsed="false">
      <c r="A89" s="77" t="s">
        <v>246</v>
      </c>
      <c r="B89" s="77"/>
      <c r="C89" s="76" t="s">
        <v>247</v>
      </c>
      <c r="D89" s="76"/>
      <c r="E89" s="76"/>
      <c r="F89" s="76"/>
      <c r="G89" s="76"/>
      <c r="H89" s="76"/>
    </row>
    <row r="90" customFormat="false" ht="16.5" hidden="false" customHeight="true" outlineLevel="0" collapsed="false">
      <c r="A90" s="78" t="s">
        <v>248</v>
      </c>
      <c r="B90" s="78"/>
      <c r="C90" s="76" t="s">
        <v>249</v>
      </c>
      <c r="D90" s="76"/>
      <c r="E90" s="76"/>
      <c r="F90" s="76"/>
      <c r="G90" s="76"/>
      <c r="H90" s="76"/>
    </row>
    <row r="91" customFormat="false" ht="16.5" hidden="false" customHeight="true" outlineLevel="0" collapsed="false">
      <c r="A91" s="79" t="s">
        <v>250</v>
      </c>
      <c r="B91" s="79"/>
      <c r="C91" s="76" t="s">
        <v>251</v>
      </c>
      <c r="D91" s="76"/>
      <c r="E91" s="76"/>
      <c r="F91" s="76"/>
      <c r="G91" s="76"/>
      <c r="H91" s="76"/>
    </row>
  </sheetData>
  <mergeCells count="88">
    <mergeCell ref="A1:H1"/>
    <mergeCell ref="A2:H2"/>
    <mergeCell ref="A3:H3"/>
    <mergeCell ref="A4:H4"/>
    <mergeCell ref="A6:H6"/>
    <mergeCell ref="B7:H7"/>
    <mergeCell ref="B8:H8"/>
    <mergeCell ref="B9:H9"/>
    <mergeCell ref="B10:H10"/>
    <mergeCell ref="B11:H11"/>
    <mergeCell ref="B12:H12"/>
    <mergeCell ref="A14:H14"/>
    <mergeCell ref="B15:H15"/>
    <mergeCell ref="B16:H16"/>
    <mergeCell ref="B17:H17"/>
    <mergeCell ref="B18:H18"/>
    <mergeCell ref="B19:H19"/>
    <mergeCell ref="B20:H20"/>
    <mergeCell ref="A22:H22"/>
    <mergeCell ref="C23:H23"/>
    <mergeCell ref="C24:H24"/>
    <mergeCell ref="C25:H25"/>
    <mergeCell ref="C26:H26"/>
    <mergeCell ref="C27:H27"/>
    <mergeCell ref="C28:H28"/>
    <mergeCell ref="C29:H29"/>
    <mergeCell ref="C30:H30"/>
    <mergeCell ref="C31:H31"/>
    <mergeCell ref="C32:H32"/>
    <mergeCell ref="C33:H33"/>
    <mergeCell ref="C34:H34"/>
    <mergeCell ref="C35:H35"/>
    <mergeCell ref="C36:H36"/>
    <mergeCell ref="C37:H37"/>
    <mergeCell ref="C38:H38"/>
    <mergeCell ref="C39:H39"/>
    <mergeCell ref="C40:H40"/>
    <mergeCell ref="C41:H41"/>
    <mergeCell ref="A43:H43"/>
    <mergeCell ref="B44:H44"/>
    <mergeCell ref="B45:H45"/>
    <mergeCell ref="B46:H46"/>
    <mergeCell ref="B47:H47"/>
    <mergeCell ref="B48:H48"/>
    <mergeCell ref="B49:H49"/>
    <mergeCell ref="B50:H50"/>
    <mergeCell ref="B51:H51"/>
    <mergeCell ref="B52:H52"/>
    <mergeCell ref="B53:H53"/>
    <mergeCell ref="B54:H54"/>
    <mergeCell ref="A56:H56"/>
    <mergeCell ref="B57:H57"/>
    <mergeCell ref="B58:H58"/>
    <mergeCell ref="B59:H59"/>
    <mergeCell ref="B60:H60"/>
    <mergeCell ref="B61:H61"/>
    <mergeCell ref="B62:H62"/>
    <mergeCell ref="B63:H63"/>
    <mergeCell ref="B64:H64"/>
    <mergeCell ref="B65:H65"/>
    <mergeCell ref="B66:H66"/>
    <mergeCell ref="B67:H67"/>
    <mergeCell ref="B68:H68"/>
    <mergeCell ref="B69:H69"/>
    <mergeCell ref="B70:H70"/>
    <mergeCell ref="B71:H71"/>
    <mergeCell ref="B72:H72"/>
    <mergeCell ref="B73:H73"/>
    <mergeCell ref="A75:H75"/>
    <mergeCell ref="B76:H76"/>
    <mergeCell ref="B77:H77"/>
    <mergeCell ref="B78:H78"/>
    <mergeCell ref="B79:H79"/>
    <mergeCell ref="B80:H80"/>
    <mergeCell ref="B81:H81"/>
    <mergeCell ref="B82:H82"/>
    <mergeCell ref="B83:H83"/>
    <mergeCell ref="B84:H84"/>
    <mergeCell ref="B85:H85"/>
    <mergeCell ref="A87:H87"/>
    <mergeCell ref="A88:B88"/>
    <mergeCell ref="C88:H88"/>
    <mergeCell ref="A89:B89"/>
    <mergeCell ref="C89:H89"/>
    <mergeCell ref="A90:B90"/>
    <mergeCell ref="C90:H90"/>
    <mergeCell ref="A91:B91"/>
    <mergeCell ref="C91:H91"/>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M2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8" topLeftCell="C9" activePane="bottomRight" state="frozen"/>
      <selection pane="topLeft" activeCell="A1" activeCellId="0" sqref="A1"/>
      <selection pane="topRight" activeCell="C1" activeCellId="0" sqref="C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44"/>
    <col collapsed="false" customWidth="true" hidden="false" outlineLevel="0" max="3" min="3" style="1" width="23"/>
    <col collapsed="false" customWidth="true" hidden="false" outlineLevel="0" max="4" min="4" style="1" width="26"/>
    <col collapsed="false" customWidth="true" hidden="false" outlineLevel="0" max="5" min="5" style="1" width="15"/>
    <col collapsed="false" customWidth="true" hidden="false" outlineLevel="0" max="6" min="6" style="1" width="11"/>
    <col collapsed="false" customWidth="true" hidden="false" outlineLevel="0" max="7" min="7" style="1" width="19"/>
    <col collapsed="false" customWidth="true" hidden="false" outlineLevel="0" max="9" min="8" style="1" width="10"/>
    <col collapsed="false" customWidth="true" hidden="false" outlineLevel="0" max="10" min="10" style="1" width="7"/>
    <col collapsed="false" customWidth="true" hidden="false" outlineLevel="0" max="11" min="11" style="1" width="10"/>
    <col collapsed="false" customWidth="true" hidden="false" outlineLevel="0" max="13" min="12" style="1" width="15"/>
    <col collapsed="false" customWidth="true" hidden="false" outlineLevel="0" max="14" min="14" style="1" width="8"/>
    <col collapsed="false" customWidth="true" hidden="false" outlineLevel="0" max="16" min="15" style="1" width="13"/>
    <col collapsed="false" customWidth="true" hidden="false" outlineLevel="0" max="18" min="17" style="1" width="15"/>
    <col collapsed="false" customWidth="true" hidden="false" outlineLevel="0" max="22" min="19" style="1" width="14"/>
    <col collapsed="false" customWidth="true" hidden="false" outlineLevel="0" max="24" min="23" style="1" width="8"/>
    <col collapsed="false" customWidth="true" hidden="false" outlineLevel="0" max="26" min="25" style="1" width="7"/>
    <col collapsed="false" customWidth="true" hidden="false" outlineLevel="0" max="27" min="27" style="1" width="15"/>
    <col collapsed="false" customWidth="true" hidden="false" outlineLevel="0" max="28" min="28" style="1" width="14"/>
    <col collapsed="false" customWidth="true" hidden="false" outlineLevel="0" max="29" min="29" style="1" width="8"/>
    <col collapsed="false" customWidth="true" hidden="false" outlineLevel="0" max="31" min="30" style="1" width="7"/>
    <col collapsed="false" customWidth="true" hidden="false" outlineLevel="0" max="33" min="32" style="1" width="14"/>
    <col collapsed="false" customWidth="true" hidden="false" outlineLevel="0" max="34" min="34" style="1" width="12"/>
    <col collapsed="false" customWidth="true" hidden="false" outlineLevel="0" max="35" min="35" style="1" width="13"/>
    <col collapsed="false" customWidth="true" hidden="false" outlineLevel="0" max="36" min="36" style="1" width="11"/>
    <col collapsed="false" customWidth="true" hidden="false" outlineLevel="0" max="38" min="37" style="1" width="7"/>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5"/>
    </row>
    <row r="2" customFormat="false" ht="30" hidden="false" customHeight="true" outlineLevel="0" collapsed="false">
      <c r="A2" s="59" t="s">
        <v>252</v>
      </c>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
    </row>
    <row r="3" customFormat="false" ht="16.5" hidden="false" customHeight="true" outlineLevel="0" collapsed="false">
      <c r="A3" s="60" t="s">
        <v>92</v>
      </c>
      <c r="B3" s="60"/>
      <c r="C3" s="60"/>
      <c r="D3" s="60"/>
      <c r="E3" s="60"/>
      <c r="F3" s="60"/>
      <c r="G3" s="60"/>
      <c r="H3" s="60"/>
      <c r="I3" s="60"/>
      <c r="J3" s="60"/>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5"/>
    </row>
    <row r="4" customFormat="false" ht="15" hidden="false" customHeight="true" outlineLevel="0" collapsed="false">
      <c r="A4" s="61" t="s">
        <v>253</v>
      </c>
      <c r="B4" s="61"/>
      <c r="C4" s="61"/>
      <c r="D4" s="61"/>
      <c r="E4" s="61"/>
      <c r="F4" s="61"/>
      <c r="G4" s="61"/>
      <c r="H4" s="61"/>
      <c r="I4" s="61"/>
      <c r="J4" s="61"/>
      <c r="K4" s="61"/>
      <c r="L4" s="61"/>
      <c r="M4" s="61"/>
      <c r="N4" s="61"/>
      <c r="O4" s="61"/>
      <c r="P4" s="61"/>
      <c r="Q4" s="61"/>
      <c r="R4" s="61"/>
      <c r="S4" s="61"/>
      <c r="T4" s="61"/>
      <c r="U4" s="61"/>
      <c r="V4" s="61"/>
      <c r="W4" s="61"/>
      <c r="X4" s="61"/>
      <c r="Y4" s="61"/>
      <c r="Z4" s="61"/>
      <c r="AA4" s="61"/>
      <c r="AB4" s="61"/>
      <c r="AC4" s="61"/>
      <c r="AD4" s="61"/>
      <c r="AE4" s="61"/>
      <c r="AF4" s="61"/>
      <c r="AG4" s="61"/>
      <c r="AH4" s="61"/>
      <c r="AI4" s="61"/>
      <c r="AJ4" s="61"/>
      <c r="AK4" s="61"/>
      <c r="AL4" s="61"/>
      <c r="AM4" s="5"/>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row>
    <row r="6" customFormat="false" ht="19.5" hidden="false" customHeight="true" outlineLevel="0" collapsed="false">
      <c r="A6" s="13" t="s">
        <v>254</v>
      </c>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5"/>
    </row>
    <row r="7" customFormat="false" ht="13.5" hidden="false" customHeight="true" outlineLevel="0" collapsed="false">
      <c r="A7" s="80" t="s">
        <v>255</v>
      </c>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5"/>
    </row>
    <row r="8" customFormat="false" ht="43.5" hidden="false" customHeight="true" outlineLevel="0" collapsed="false">
      <c r="A8" s="23" t="s">
        <v>256</v>
      </c>
      <c r="B8" s="23" t="s">
        <v>257</v>
      </c>
      <c r="C8" s="23" t="s">
        <v>5</v>
      </c>
      <c r="D8" s="23" t="s">
        <v>258</v>
      </c>
      <c r="E8" s="23" t="s">
        <v>259</v>
      </c>
      <c r="F8" s="23" t="s">
        <v>260</v>
      </c>
      <c r="G8" s="23" t="s">
        <v>261</v>
      </c>
      <c r="H8" s="23" t="s">
        <v>262</v>
      </c>
      <c r="I8" s="23" t="s">
        <v>263</v>
      </c>
      <c r="J8" s="23" t="s">
        <v>264</v>
      </c>
      <c r="K8" s="23" t="s">
        <v>265</v>
      </c>
      <c r="L8" s="23" t="s">
        <v>266</v>
      </c>
      <c r="M8" s="23" t="s">
        <v>267</v>
      </c>
      <c r="N8" s="23" t="s">
        <v>268</v>
      </c>
      <c r="O8" s="23" t="s">
        <v>269</v>
      </c>
      <c r="P8" s="23" t="s">
        <v>270</v>
      </c>
      <c r="Q8" s="23" t="s">
        <v>271</v>
      </c>
      <c r="R8" s="23" t="s">
        <v>272</v>
      </c>
      <c r="S8" s="23" t="s">
        <v>273</v>
      </c>
      <c r="T8" s="23" t="s">
        <v>274</v>
      </c>
      <c r="U8" s="23" t="s">
        <v>275</v>
      </c>
      <c r="V8" s="23" t="s">
        <v>276</v>
      </c>
      <c r="W8" s="23" t="s">
        <v>277</v>
      </c>
      <c r="X8" s="23" t="s">
        <v>278</v>
      </c>
      <c r="Y8" s="23" t="s">
        <v>32</v>
      </c>
      <c r="Z8" s="23" t="s">
        <v>33</v>
      </c>
      <c r="AA8" s="23" t="s">
        <v>279</v>
      </c>
      <c r="AB8" s="23" t="s">
        <v>280</v>
      </c>
      <c r="AC8" s="23" t="s">
        <v>281</v>
      </c>
      <c r="AD8" s="23" t="s">
        <v>282</v>
      </c>
      <c r="AE8" s="23" t="s">
        <v>283</v>
      </c>
      <c r="AF8" s="23" t="s">
        <v>284</v>
      </c>
      <c r="AG8" s="23" t="s">
        <v>285</v>
      </c>
      <c r="AH8" s="23" t="s">
        <v>286</v>
      </c>
      <c r="AI8" s="23" t="s">
        <v>287</v>
      </c>
      <c r="AJ8" s="23" t="s">
        <v>78</v>
      </c>
      <c r="AK8" s="23" t="s">
        <v>288</v>
      </c>
      <c r="AL8" s="23" t="s">
        <v>289</v>
      </c>
      <c r="AM8" s="5"/>
    </row>
    <row r="9" customFormat="false" ht="15" hidden="false" customHeight="true" outlineLevel="0" collapsed="false">
      <c r="A9" s="81" t="s">
        <v>8</v>
      </c>
      <c r="B9" s="82" t="str">
        <f aca="false">'PT_RES-01'!D8</f>
        <v>Tazayud Riyadh Residences — Towers B &amp; C</v>
      </c>
      <c r="C9" s="82" t="str">
        <f aca="false">'PT_RES-01'!J7</f>
        <v>Residential</v>
      </c>
      <c r="D9" s="82" t="str">
        <f aca="false">'PT_RES-01'!P7</f>
        <v>PMC-Delivered</v>
      </c>
      <c r="E9" s="82" t="str">
        <f aca="false">'PT_RES-01'!J8</f>
        <v>PMC — Lead Consultant A</v>
      </c>
      <c r="F9" s="82" t="s">
        <v>290</v>
      </c>
      <c r="G9" s="82" t="s">
        <v>291</v>
      </c>
      <c r="H9" s="83" t="n">
        <f aca="false">'PT_RES-01'!$P$10</f>
        <v>46265</v>
      </c>
      <c r="I9" s="83" t="n">
        <f aca="false">'PT_RES-01'!$R$10</f>
        <v>0</v>
      </c>
      <c r="J9" s="84" t="n">
        <v>30</v>
      </c>
      <c r="K9" s="85" t="n">
        <f aca="false">$I9+$J9</f>
        <v>30</v>
      </c>
      <c r="L9" s="86" t="n">
        <f aca="false">'PT_RES-01'!$D$14</f>
        <v>97923423</v>
      </c>
      <c r="M9" s="86" t="n">
        <f aca="false">'PT_RES-01'!$D$15</f>
        <v>86172612</v>
      </c>
      <c r="N9" s="87" t="n">
        <f aca="false">IF($L9=0,0,($L9-$M9)/$L9)</f>
        <v>0.120000002450895</v>
      </c>
      <c r="O9" s="88" t="n">
        <f aca="false">SUMIFS(Variation_Orders!$J$9:$J$32,Variation_Orders!$A$9:$A$32,$A9,Variation_Orders!$T$9:$T$32,"Approved")</f>
        <v>1831168</v>
      </c>
      <c r="P9" s="88" t="n">
        <f aca="false">SUMIFS(Variation_Orders!$K$9:$K$32,Variation_Orders!$A$9:$A$32,$A9,Variation_Orders!$T$9:$T$32,"Approved")</f>
        <v>1595173</v>
      </c>
      <c r="Q9" s="89" t="n">
        <f aca="false">$L9+$O9</f>
        <v>99754591</v>
      </c>
      <c r="R9" s="89" t="n">
        <f aca="false">$M9+$P9</f>
        <v>87767785</v>
      </c>
      <c r="S9" s="88" t="n">
        <f aca="false">SUMIFS(WBS_Register!$P$9:$P$80,WBS_Register!$A$9:$A$80,$A9)</f>
        <v>14715654.9405</v>
      </c>
      <c r="T9" s="88" t="n">
        <f aca="false">SUMIFS(WBS_Register!$Q$9:$Q$80,WBS_Register!$A$9:$A$80,$A9)</f>
        <v>13022068.497</v>
      </c>
      <c r="U9" s="88" t="n">
        <f aca="false">SUMIFS(WBS_Register!$R$9:$R$80,WBS_Register!$A$9:$A$80,$A9)</f>
        <v>13927161</v>
      </c>
      <c r="V9" s="88" t="n">
        <f aca="false">SUMIFS(WBS_Register!$S$9:$S$80,WBS_Register!$A$9:$A$80,$A9)</f>
        <v>41184584</v>
      </c>
      <c r="W9" s="87" t="n">
        <f aca="false">IF($R9=0,0,$S9/$R9)</f>
        <v>0.167665789224372</v>
      </c>
      <c r="X9" s="87" t="n">
        <f aca="false">IF($R9=0,0,$T9/$R9)</f>
        <v>0.148369569734499</v>
      </c>
      <c r="Y9" s="32" t="n">
        <f aca="false">IF($S9&lt;=0,1,$T9/$S9)</f>
        <v>0.884912601556118</v>
      </c>
      <c r="Z9" s="32" t="n">
        <f aca="false">IF($U9&lt;=0,1,$T9/$U9)</f>
        <v>0.935012419042187</v>
      </c>
      <c r="AA9" s="31" t="n">
        <f aca="false">IF($Z9&lt;=0,$R9,$R9/$Z9)</f>
        <v>93868041.9773548</v>
      </c>
      <c r="AB9" s="31" t="n">
        <f aca="false">$R9-$AA9</f>
        <v>-6100256.97735477</v>
      </c>
      <c r="AC9" s="90" t="n">
        <f aca="false">IF($Q9=0,0,($Q9-$AA9)/$Q9)</f>
        <v>0.0590103068303416</v>
      </c>
      <c r="AD9" s="91" t="n">
        <f aca="false">'PT_RES-01'!$J$14</f>
        <v>0.1</v>
      </c>
      <c r="AE9" s="91" t="n">
        <f aca="false">'PT_RES-01'!$R$14</f>
        <v>0</v>
      </c>
      <c r="AF9" s="92" t="n">
        <v>10952404</v>
      </c>
      <c r="AG9" s="92" t="n">
        <v>11979739</v>
      </c>
      <c r="AH9" s="92" t="n">
        <v>9200019</v>
      </c>
      <c r="AI9" s="92" t="n">
        <v>459596</v>
      </c>
      <c r="AJ9" s="92" t="n">
        <v>1641657</v>
      </c>
      <c r="AK9" s="93" t="s">
        <v>292</v>
      </c>
      <c r="AL9" s="46" t="str">
        <f aca="false">IF(AND($Y9&gt;=0.95,$Z9&gt;=0.95),"Green",IF(OR($Y9&lt;0.85,$Z9&lt;0.85),"Red","Amber"))</f>
        <v>Amber</v>
      </c>
      <c r="AM9" s="94" t="n">
        <f aca="false">IF(Dashboard!$C$6="Corporate",1,IF(Dashboard!$C$6="Project",IF($A9=Dashboard!$M$6,1,0),IF($C9=Dashboard!$H$6,1,0)))</f>
        <v>1</v>
      </c>
    </row>
    <row r="10" customFormat="false" ht="15" hidden="false" customHeight="true" outlineLevel="0" collapsed="false">
      <c r="A10" s="95" t="s">
        <v>293</v>
      </c>
      <c r="B10" s="37" t="str">
        <f aca="false">'PT_RES-02'!D8</f>
        <v>Tazayud Buraydah Residential Compound — Phase 2 (180 Villas)</v>
      </c>
      <c r="C10" s="37" t="str">
        <f aca="false">'PT_RES-02'!J7</f>
        <v>Residential</v>
      </c>
      <c r="D10" s="37" t="str">
        <f aca="false">'PT_RES-02'!P7</f>
        <v>Self-Execution</v>
      </c>
      <c r="E10" s="37" t="str">
        <f aca="false">'PT_RES-02'!J8</f>
        <v>Internal PM — PMO Delivery Team 1</v>
      </c>
      <c r="F10" s="37" t="s">
        <v>294</v>
      </c>
      <c r="G10" s="37" t="s">
        <v>295</v>
      </c>
      <c r="H10" s="96" t="n">
        <f aca="false">'PT_RES-02'!$P$10</f>
        <v>46265</v>
      </c>
      <c r="I10" s="96" t="n">
        <f aca="false">'PT_RES-02'!$R$10</f>
        <v>0</v>
      </c>
      <c r="J10" s="97" t="n">
        <v>30</v>
      </c>
      <c r="K10" s="98" t="n">
        <f aca="false">$I10+$J10</f>
        <v>30</v>
      </c>
      <c r="L10" s="99" t="n">
        <f aca="false">'PT_RES-02'!$D$14</f>
        <v>51200000</v>
      </c>
      <c r="M10" s="99" t="n">
        <f aca="false">'PT_RES-02'!$D$15</f>
        <v>43264000</v>
      </c>
      <c r="N10" s="100" t="n">
        <f aca="false">IF($L10=0,0,($L10-$M10)/$L10)</f>
        <v>0.155</v>
      </c>
      <c r="O10" s="101" t="n">
        <f aca="false">SUMIFS(Variation_Orders!$J$9:$J$32,Variation_Orders!$A$9:$A$32,$A10,Variation_Orders!$T$9:$T$32,"Approved")</f>
        <v>291840</v>
      </c>
      <c r="P10" s="101" t="n">
        <f aca="false">SUMIFS(Variation_Orders!$K$9:$K$32,Variation_Orders!$A$9:$A$32,$A10,Variation_Orders!$T$9:$T$32,"Approved")</f>
        <v>253645</v>
      </c>
      <c r="Q10" s="38" t="n">
        <f aca="false">$L10+$O10</f>
        <v>51491840</v>
      </c>
      <c r="R10" s="38" t="n">
        <f aca="false">$M10+$P10</f>
        <v>43517645</v>
      </c>
      <c r="S10" s="101" t="n">
        <f aca="false">SUMIFS(WBS_Register!$P$9:$P$80,WBS_Register!$A$9:$A$80,$A10)</f>
        <v>4124412.778</v>
      </c>
      <c r="T10" s="101" t="n">
        <f aca="false">SUMIFS(WBS_Register!$Q$9:$Q$80,WBS_Register!$A$9:$A$80,$A10)</f>
        <v>3221214.274</v>
      </c>
      <c r="U10" s="101" t="n">
        <f aca="false">SUMIFS(WBS_Register!$R$9:$R$80,WBS_Register!$A$9:$A$80,$A10)</f>
        <v>3643447</v>
      </c>
      <c r="V10" s="101" t="n">
        <f aca="false">SUMIFS(WBS_Register!$S$9:$S$80,WBS_Register!$A$9:$A$80,$A10)</f>
        <v>20376241</v>
      </c>
      <c r="W10" s="100" t="n">
        <f aca="false">IF($R10=0,0,$S10/$R10)</f>
        <v>0.0947756427996046</v>
      </c>
      <c r="X10" s="100" t="n">
        <f aca="false">IF($R10=0,0,$T10/$R10)</f>
        <v>0.0740208776003389</v>
      </c>
      <c r="Y10" s="41" t="n">
        <f aca="false">IF($S10&lt;=0,1,$T10/$S10)</f>
        <v>0.781011612412379</v>
      </c>
      <c r="Z10" s="41" t="n">
        <f aca="false">IF($U10&lt;=0,1,$T10/$U10)</f>
        <v>0.884111741984994</v>
      </c>
      <c r="AA10" s="49" t="n">
        <f aca="false">IF($Z10&lt;=0,$R10,$R10/$Z10)</f>
        <v>49221883.3134088</v>
      </c>
      <c r="AB10" s="49" t="n">
        <f aca="false">$R10-$AA10</f>
        <v>-5704238.31340884</v>
      </c>
      <c r="AC10" s="40" t="n">
        <f aca="false">IF($Q10=0,0,($Q10-$AA10)/$Q10)</f>
        <v>0.0440838137963444</v>
      </c>
      <c r="AD10" s="102" t="n">
        <f aca="false">'PT_RES-02'!$J$14</f>
        <v>0.1</v>
      </c>
      <c r="AE10" s="102" t="n">
        <f aca="false">'PT_RES-02'!$R$14</f>
        <v>0</v>
      </c>
      <c r="AF10" s="99" t="n">
        <v>2820489</v>
      </c>
      <c r="AG10" s="99" t="n">
        <v>3120250</v>
      </c>
      <c r="AH10" s="99" t="n">
        <v>2369210</v>
      </c>
      <c r="AI10" s="99" t="n">
        <v>120234</v>
      </c>
      <c r="AJ10" s="99" t="n">
        <v>485197</v>
      </c>
      <c r="AK10" s="103" t="s">
        <v>292</v>
      </c>
      <c r="AL10" s="52" t="str">
        <f aca="false">IF(AND($Y10&gt;=0.95,$Z10&gt;=0.95),"Green",IF(OR($Y10&lt;0.85,$Z10&lt;0.85),"Red","Amber"))</f>
        <v>Red</v>
      </c>
      <c r="AM10" s="94" t="n">
        <f aca="false">IF(Dashboard!$C$6="Corporate",1,IF(Dashboard!$C$6="Project",IF($A10=Dashboard!$M$6,1,0),IF($C10=Dashboard!$H$6,1,0)))</f>
        <v>1</v>
      </c>
    </row>
    <row r="11" customFormat="false" ht="15" hidden="false" customHeight="true" outlineLevel="0" collapsed="false">
      <c r="A11" s="81" t="s">
        <v>296</v>
      </c>
      <c r="B11" s="82" t="str">
        <f aca="false">'PT_COM-01'!D8</f>
        <v>Tazayud Business Park — Tower A Shell, Core &amp; MEP</v>
      </c>
      <c r="C11" s="82" t="str">
        <f aca="false">'PT_COM-01'!J7</f>
        <v>Commercial</v>
      </c>
      <c r="D11" s="82" t="str">
        <f aca="false">'PT_COM-01'!P7</f>
        <v>PMC-Delivered</v>
      </c>
      <c r="E11" s="82" t="str">
        <f aca="false">'PT_COM-01'!J8</f>
        <v>PMC — Lead Consultant C</v>
      </c>
      <c r="F11" s="82" t="s">
        <v>290</v>
      </c>
      <c r="G11" s="82" t="s">
        <v>291</v>
      </c>
      <c r="H11" s="83" t="n">
        <f aca="false">'PT_COM-01'!$P$10</f>
        <v>46265</v>
      </c>
      <c r="I11" s="83" t="n">
        <f aca="false">'PT_COM-01'!$R$10</f>
        <v>0</v>
      </c>
      <c r="J11" s="84" t="n">
        <v>0</v>
      </c>
      <c r="K11" s="85" t="n">
        <f aca="false">$I11+$J11</f>
        <v>0</v>
      </c>
      <c r="L11" s="86" t="n">
        <f aca="false">'PT_COM-01'!$D$14</f>
        <v>210400000</v>
      </c>
      <c r="M11" s="86" t="n">
        <f aca="false">'PT_COM-01'!$D$15</f>
        <v>187256000</v>
      </c>
      <c r="N11" s="87" t="n">
        <f aca="false">IF($L11=0,0,($L11-$M11)/$L11)</f>
        <v>0.11</v>
      </c>
      <c r="O11" s="88" t="n">
        <f aca="false">SUMIFS(Variation_Orders!$J$9:$J$32,Variation_Orders!$A$9:$A$32,$A11,Variation_Orders!$T$9:$T$32,"Approved")</f>
        <v>3934480</v>
      </c>
      <c r="P11" s="88" t="n">
        <f aca="false">SUMIFS(Variation_Orders!$K$9:$K$32,Variation_Orders!$A$9:$A$32,$A11,Variation_Orders!$T$9:$T$32,"Approved")</f>
        <v>3427416</v>
      </c>
      <c r="Q11" s="89" t="n">
        <f aca="false">$L11+$O11</f>
        <v>214334480</v>
      </c>
      <c r="R11" s="89" t="n">
        <f aca="false">$M11+$P11</f>
        <v>190683416</v>
      </c>
      <c r="S11" s="88" t="n">
        <f aca="false">SUMIFS(WBS_Register!$P$9:$P$80,WBS_Register!$A$9:$A$80,$A11)</f>
        <v>31971086.6736</v>
      </c>
      <c r="T11" s="88" t="n">
        <f aca="false">SUMIFS(WBS_Register!$Q$9:$Q$80,WBS_Register!$A$9:$A$80,$A11)</f>
        <v>30525137.9216</v>
      </c>
      <c r="U11" s="88" t="n">
        <f aca="false">SUMIFS(WBS_Register!$R$9:$R$80,WBS_Register!$A$9:$A$80,$A11)</f>
        <v>30801610</v>
      </c>
      <c r="V11" s="88" t="n">
        <f aca="false">SUMIFS(WBS_Register!$S$9:$S$80,WBS_Register!$A$9:$A$80,$A11)</f>
        <v>89474073</v>
      </c>
      <c r="W11" s="87" t="n">
        <f aca="false">IF($R11=0,0,$S11/$R11)</f>
        <v>0.167665795716603</v>
      </c>
      <c r="X11" s="87" t="n">
        <f aca="false">IF($R11=0,0,$T11/$R11)</f>
        <v>0.160082814551634</v>
      </c>
      <c r="Y11" s="32" t="n">
        <f aca="false">IF($S11&lt;=0,1,$T11/$S11)</f>
        <v>0.954773237245202</v>
      </c>
      <c r="Z11" s="32" t="n">
        <f aca="false">IF($U11&lt;=0,1,$T11/$U11)</f>
        <v>0.991024103012797</v>
      </c>
      <c r="AA11" s="31" t="n">
        <f aca="false">IF($Z11&lt;=0,$R11,$R11/$Z11)</f>
        <v>192410472.581147</v>
      </c>
      <c r="AB11" s="31" t="n">
        <f aca="false">$R11-$AA11</f>
        <v>-1727056.58114743</v>
      </c>
      <c r="AC11" s="90" t="n">
        <f aca="false">IF($Q11=0,0,($Q11-$AA11)/$Q11)</f>
        <v>0.102288756428049</v>
      </c>
      <c r="AD11" s="91" t="n">
        <f aca="false">'PT_COM-01'!$J$14</f>
        <v>0.1</v>
      </c>
      <c r="AE11" s="91" t="n">
        <f aca="false">'PT_COM-01'!$R$14</f>
        <v>0</v>
      </c>
      <c r="AF11" s="92" t="n">
        <v>25390337</v>
      </c>
      <c r="AG11" s="92" t="n">
        <v>27534298</v>
      </c>
      <c r="AH11" s="92" t="n">
        <v>21327883</v>
      </c>
      <c r="AI11" s="92" t="n">
        <v>1016453</v>
      </c>
      <c r="AJ11" s="92" t="n">
        <v>3527293</v>
      </c>
      <c r="AK11" s="93" t="s">
        <v>297</v>
      </c>
      <c r="AL11" s="46" t="str">
        <f aca="false">IF(AND($Y11&gt;=0.95,$Z11&gt;=0.95),"Green",IF(OR($Y11&lt;0.85,$Z11&lt;0.85),"Red","Amber"))</f>
        <v>Green</v>
      </c>
      <c r="AM11" s="94" t="n">
        <f aca="false">IF(Dashboard!$C$6="Corporate",1,IF(Dashboard!$C$6="Project",IF($A11=Dashboard!$M$6,1,0),IF($C11=Dashboard!$H$6,1,0)))</f>
        <v>1</v>
      </c>
    </row>
    <row r="12" customFormat="false" ht="15" hidden="false" customHeight="true" outlineLevel="0" collapsed="false">
      <c r="A12" s="95" t="s">
        <v>298</v>
      </c>
      <c r="B12" s="37" t="str">
        <f aca="false">'PT_COM-02'!D8</f>
        <v>Tazayud Commercial Offices — Block B</v>
      </c>
      <c r="C12" s="37" t="str">
        <f aca="false">'PT_COM-02'!J7</f>
        <v>Commercial</v>
      </c>
      <c r="D12" s="37" t="str">
        <f aca="false">'PT_COM-02'!P7</f>
        <v>PMC-Delivered</v>
      </c>
      <c r="E12" s="37" t="str">
        <f aca="false">'PT_COM-02'!J8</f>
        <v>PMC — Lead Consultant B</v>
      </c>
      <c r="F12" s="37" t="s">
        <v>290</v>
      </c>
      <c r="G12" s="37" t="s">
        <v>295</v>
      </c>
      <c r="H12" s="96" t="n">
        <f aca="false">'PT_COM-02'!$P$10</f>
        <v>46265</v>
      </c>
      <c r="I12" s="96" t="n">
        <f aca="false">'PT_COM-02'!$R$10</f>
        <v>0</v>
      </c>
      <c r="J12" s="97" t="n">
        <v>0</v>
      </c>
      <c r="K12" s="98" t="n">
        <f aca="false">$I12+$J12</f>
        <v>0</v>
      </c>
      <c r="L12" s="99" t="n">
        <f aca="false">'PT_COM-02'!$D$14</f>
        <v>124800000</v>
      </c>
      <c r="M12" s="99" t="n">
        <f aca="false">'PT_COM-02'!$D$15</f>
        <v>109200000</v>
      </c>
      <c r="N12" s="100" t="n">
        <f aca="false">IF($L12=0,0,($L12-$M12)/$L12)</f>
        <v>0.125</v>
      </c>
      <c r="O12" s="101" t="n">
        <f aca="false">SUMIFS(Variation_Orders!$J$9:$J$32,Variation_Orders!$A$9:$A$32,$A12,Variation_Orders!$T$9:$T$32,"Approved")</f>
        <v>711360</v>
      </c>
      <c r="P12" s="101" t="n">
        <f aca="false">SUMIFS(Variation_Orders!$K$9:$K$32,Variation_Orders!$A$9:$A$32,$A12,Variation_Orders!$T$9:$T$32,"Approved")</f>
        <v>618259</v>
      </c>
      <c r="Q12" s="38" t="n">
        <f aca="false">$L12+$O12</f>
        <v>125511360</v>
      </c>
      <c r="R12" s="38" t="n">
        <f aca="false">$M12+$P12</f>
        <v>109818259</v>
      </c>
      <c r="S12" s="101" t="n">
        <f aca="false">SUMIFS(WBS_Register!$P$9:$P$80,WBS_Register!$A$9:$A$80,$A12)</f>
        <v>19324955.984</v>
      </c>
      <c r="T12" s="101" t="n">
        <f aca="false">SUMIFS(WBS_Register!$Q$9:$Q$80,WBS_Register!$A$9:$A$80,$A12)</f>
        <v>19968017.0862</v>
      </c>
      <c r="U12" s="101" t="n">
        <f aca="false">SUMIFS(WBS_Register!$R$9:$R$80,WBS_Register!$A$9:$A$80,$A12)</f>
        <v>19730893</v>
      </c>
      <c r="V12" s="101" t="n">
        <f aca="false">SUMIFS(WBS_Register!$S$9:$S$80,WBS_Register!$A$9:$A$80,$A12)</f>
        <v>51418342</v>
      </c>
      <c r="W12" s="100" t="n">
        <f aca="false">IF($R12=0,0,$S12/$R12)</f>
        <v>0.175972157635462</v>
      </c>
      <c r="X12" s="100" t="n">
        <f aca="false">IF($R12=0,0,$T12/$R12)</f>
        <v>0.181827842364538</v>
      </c>
      <c r="Y12" s="41" t="n">
        <f aca="false">IF($S12&lt;=0,1,$T12/$S12)</f>
        <v>1.03327620009755</v>
      </c>
      <c r="Z12" s="41" t="n">
        <f aca="false">IF($U12&lt;=0,1,$T12/$U12)</f>
        <v>1.01201790948844</v>
      </c>
      <c r="AA12" s="49" t="n">
        <f aca="false">IF($Z12&lt;=0,$R12,$R12/$Z12)</f>
        <v>108514145.817352</v>
      </c>
      <c r="AB12" s="49" t="n">
        <f aca="false">$R12-$AA12</f>
        <v>1304113.18264779</v>
      </c>
      <c r="AC12" s="40" t="n">
        <f aca="false">IF($Q12=0,0,($Q12-$AA12)/$Q12)</f>
        <v>0.135423711309062</v>
      </c>
      <c r="AD12" s="102" t="n">
        <f aca="false">'PT_COM-02'!$J$14</f>
        <v>0.1</v>
      </c>
      <c r="AE12" s="102" t="n">
        <f aca="false">'PT_COM-02'!$R$14</f>
        <v>0</v>
      </c>
      <c r="AF12" s="99" t="n">
        <v>16887880</v>
      </c>
      <c r="AG12" s="99" t="n">
        <v>18143663</v>
      </c>
      <c r="AH12" s="99" t="n">
        <v>14185819</v>
      </c>
      <c r="AI12" s="99" t="n">
        <v>651119</v>
      </c>
      <c r="AJ12" s="99" t="n">
        <v>2196088</v>
      </c>
      <c r="AK12" s="103" t="s">
        <v>299</v>
      </c>
      <c r="AL12" s="52" t="str">
        <f aca="false">IF(AND($Y12&gt;=0.95,$Z12&gt;=0.95),"Green",IF(OR($Y12&lt;0.85,$Z12&lt;0.85),"Red","Amber"))</f>
        <v>Green</v>
      </c>
      <c r="AM12" s="94" t="n">
        <f aca="false">IF(Dashboard!$C$6="Corporate",1,IF(Dashboard!$C$6="Project",IF($A12=Dashboard!$M$6,1,0),IF($C12=Dashboard!$H$6,1,0)))</f>
        <v>1</v>
      </c>
    </row>
    <row r="13" customFormat="false" ht="15" hidden="false" customHeight="true" outlineLevel="0" collapsed="false">
      <c r="A13" s="81" t="s">
        <v>300</v>
      </c>
      <c r="B13" s="82" t="str">
        <f aca="false">'PT_MXU-01'!D8</f>
        <v>Tazayud Mixed-Use District — Podium, Retail &amp; Residences</v>
      </c>
      <c r="C13" s="82" t="str">
        <f aca="false">'PT_MXU-01'!J7</f>
        <v>Mixed Use</v>
      </c>
      <c r="D13" s="82" t="str">
        <f aca="false">'PT_MXU-01'!P7</f>
        <v>PMC-Delivered</v>
      </c>
      <c r="E13" s="82" t="str">
        <f aca="false">'PT_MXU-01'!J8</f>
        <v>PMC — Lead Consultant C</v>
      </c>
      <c r="F13" s="82" t="s">
        <v>290</v>
      </c>
      <c r="G13" s="82" t="s">
        <v>291</v>
      </c>
      <c r="H13" s="83" t="n">
        <f aca="false">'PT_MXU-01'!$P$10</f>
        <v>46265</v>
      </c>
      <c r="I13" s="83" t="n">
        <f aca="false">'PT_MXU-01'!$R$10</f>
        <v>0</v>
      </c>
      <c r="J13" s="84" t="n">
        <v>30</v>
      </c>
      <c r="K13" s="85" t="n">
        <f aca="false">$I13+$J13</f>
        <v>30</v>
      </c>
      <c r="L13" s="86" t="n">
        <f aca="false">'PT_MXU-01'!$D$14</f>
        <v>186300000</v>
      </c>
      <c r="M13" s="86" t="n">
        <f aca="false">'PT_MXU-01'!$D$15</f>
        <v>164875500</v>
      </c>
      <c r="N13" s="87" t="n">
        <f aca="false">IF($L13=0,0,($L13-$M13)/$L13)</f>
        <v>0.115</v>
      </c>
      <c r="O13" s="88" t="n">
        <f aca="false">SUMIFS(Variation_Orders!$J$9:$J$32,Variation_Orders!$A$9:$A$32,$A13,Variation_Orders!$T$9:$T$32,"Approved")</f>
        <v>3483810</v>
      </c>
      <c r="P13" s="88" t="n">
        <f aca="false">SUMIFS(Variation_Orders!$K$9:$K$32,Variation_Orders!$A$9:$A$32,$A13,Variation_Orders!$T$9:$T$32,"Approved")</f>
        <v>3034827</v>
      </c>
      <c r="Q13" s="89" t="n">
        <f aca="false">$L13+$O13</f>
        <v>189783810</v>
      </c>
      <c r="R13" s="89" t="n">
        <f aca="false">$M13+$P13</f>
        <v>167910327</v>
      </c>
      <c r="S13" s="88" t="n">
        <f aca="false">SUMIFS(WBS_Register!$P$9:$P$80,WBS_Register!$A$9:$A$80,$A13)</f>
        <v>14026777.8595</v>
      </c>
      <c r="T13" s="88" t="n">
        <f aca="false">SUMIFS(WBS_Register!$Q$9:$Q$80,WBS_Register!$A$9:$A$80,$A13)</f>
        <v>12232528.0594</v>
      </c>
      <c r="U13" s="88" t="n">
        <f aca="false">SUMIFS(WBS_Register!$R$9:$R$80,WBS_Register!$A$9:$A$80,$A13)</f>
        <v>13280110</v>
      </c>
      <c r="V13" s="88" t="n">
        <f aca="false">SUMIFS(WBS_Register!$S$9:$S$80,WBS_Register!$A$9:$A$80,$A13)</f>
        <v>78789670</v>
      </c>
      <c r="W13" s="87" t="n">
        <f aca="false">IF($R13=0,0,$S13/$R13)</f>
        <v>0.0835373148877258</v>
      </c>
      <c r="X13" s="87" t="n">
        <f aca="false">IF($R13=0,0,$T13/$R13)</f>
        <v>0.0728515528374857</v>
      </c>
      <c r="Y13" s="32" t="n">
        <f aca="false">IF($S13&lt;=0,1,$T13/$S13)</f>
        <v>0.87208396553562</v>
      </c>
      <c r="Z13" s="32" t="n">
        <f aca="false">IF($U13&lt;=0,1,$T13/$U13)</f>
        <v>0.921116471128628</v>
      </c>
      <c r="AA13" s="31" t="n">
        <f aca="false">IF($Z13&lt;=0,$R13,$R13/$Z13)</f>
        <v>182290005.94709</v>
      </c>
      <c r="AB13" s="31" t="n">
        <f aca="false">$R13-$AA13</f>
        <v>-14379678.9470899</v>
      </c>
      <c r="AC13" s="90" t="n">
        <f aca="false">IF($Q13=0,0,($Q13-$AA13)/$Q13)</f>
        <v>0.0394860027992384</v>
      </c>
      <c r="AD13" s="91" t="n">
        <f aca="false">'PT_MXU-01'!$J$14</f>
        <v>0.1</v>
      </c>
      <c r="AE13" s="91" t="n">
        <f aca="false">'PT_MXU-01'!$R$14</f>
        <v>0</v>
      </c>
      <c r="AF13" s="92" t="n">
        <v>10231273</v>
      </c>
      <c r="AG13" s="92" t="n">
        <v>11206928</v>
      </c>
      <c r="AH13" s="92" t="n">
        <v>8594270</v>
      </c>
      <c r="AI13" s="92" t="n">
        <v>438244</v>
      </c>
      <c r="AJ13" s="92" t="n">
        <v>1556253</v>
      </c>
      <c r="AK13" s="93" t="s">
        <v>292</v>
      </c>
      <c r="AL13" s="46" t="str">
        <f aca="false">IF(AND($Y13&gt;=0.95,$Z13&gt;=0.95),"Green",IF(OR($Y13&lt;0.85,$Z13&lt;0.85),"Red","Amber"))</f>
        <v>Amber</v>
      </c>
      <c r="AM13" s="94" t="n">
        <f aca="false">IF(Dashboard!$C$6="Corporate",1,IF(Dashboard!$C$6="Project",IF($A13=Dashboard!$M$6,1,0),IF($C13=Dashboard!$H$6,1,0)))</f>
        <v>1</v>
      </c>
    </row>
    <row r="14" customFormat="false" ht="15" hidden="false" customHeight="true" outlineLevel="0" collapsed="false">
      <c r="A14" s="95" t="s">
        <v>301</v>
      </c>
      <c r="B14" s="37" t="str">
        <f aca="false">'PT_MXU-02'!D8</f>
        <v>Tazayud Boulevard — Hospitality, Retail &amp; Serviced Apartments</v>
      </c>
      <c r="C14" s="37" t="str">
        <f aca="false">'PT_MXU-02'!J7</f>
        <v>Mixed Use</v>
      </c>
      <c r="D14" s="37" t="str">
        <f aca="false">'PT_MXU-02'!P7</f>
        <v>Self-Execution</v>
      </c>
      <c r="E14" s="37" t="str">
        <f aca="false">'PT_MXU-02'!J8</f>
        <v>Internal PM — PMO Delivery Team 2</v>
      </c>
      <c r="F14" s="37" t="s">
        <v>294</v>
      </c>
      <c r="G14" s="37" t="s">
        <v>302</v>
      </c>
      <c r="H14" s="96" t="n">
        <f aca="false">'PT_MXU-02'!$P$10</f>
        <v>46265</v>
      </c>
      <c r="I14" s="96" t="n">
        <f aca="false">'PT_MXU-02'!$R$10</f>
        <v>0</v>
      </c>
      <c r="J14" s="97" t="n">
        <v>0</v>
      </c>
      <c r="K14" s="98" t="n">
        <f aca="false">$I14+$J14</f>
        <v>0</v>
      </c>
      <c r="L14" s="99" t="n">
        <f aca="false">'PT_MXU-02'!$D$14</f>
        <v>95700000</v>
      </c>
      <c r="M14" s="99" t="n">
        <f aca="false">'PT_MXU-02'!$D$15</f>
        <v>83259000</v>
      </c>
      <c r="N14" s="100" t="n">
        <f aca="false">IF($L14=0,0,($L14-$M14)/$L14)</f>
        <v>0.13</v>
      </c>
      <c r="O14" s="101" t="n">
        <f aca="false">SUMIFS(Variation_Orders!$J$9:$J$32,Variation_Orders!$A$9:$A$32,$A14,Variation_Orders!$T$9:$T$32,"Approved")</f>
        <v>545490</v>
      </c>
      <c r="P14" s="101" t="n">
        <f aca="false">SUMIFS(Variation_Orders!$K$9:$K$32,Variation_Orders!$A$9:$A$32,$A14,Variation_Orders!$T$9:$T$32,"Approved")</f>
        <v>474098</v>
      </c>
      <c r="Q14" s="38" t="n">
        <f aca="false">$L14+$O14</f>
        <v>96245490</v>
      </c>
      <c r="R14" s="38" t="n">
        <f aca="false">$M14+$P14</f>
        <v>83733098</v>
      </c>
      <c r="S14" s="101" t="n">
        <f aca="false">SUMIFS(WBS_Register!$P$9:$P$80,WBS_Register!$A$9:$A$80,$A14)</f>
        <v>11772998.4673</v>
      </c>
      <c r="T14" s="101" t="n">
        <f aca="false">SUMIFS(WBS_Register!$Q$9:$Q$80,WBS_Register!$A$9:$A$80,$A14)</f>
        <v>11550921.315</v>
      </c>
      <c r="U14" s="101" t="n">
        <f aca="false">SUMIFS(WBS_Register!$R$9:$R$80,WBS_Register!$A$9:$A$80,$A14)</f>
        <v>12070916</v>
      </c>
      <c r="V14" s="101" t="n">
        <f aca="false">SUMIFS(WBS_Register!$S$9:$S$80,WBS_Register!$A$9:$A$80,$A14)</f>
        <v>39205150</v>
      </c>
      <c r="W14" s="100" t="n">
        <f aca="false">IF($R14=0,0,$S14/$R14)</f>
        <v>0.140601491506979</v>
      </c>
      <c r="X14" s="100" t="n">
        <f aca="false">IF($R14=0,0,$T14/$R14)</f>
        <v>0.13794928876273</v>
      </c>
      <c r="Y14" s="41" t="n">
        <f aca="false">IF($S14&lt;=0,1,$T14/$S14)</f>
        <v>0.981136738196575</v>
      </c>
      <c r="Z14" s="41" t="n">
        <f aca="false">IF($U14&lt;=0,1,$T14/$U14)</f>
        <v>0.956921688047535</v>
      </c>
      <c r="AA14" s="49" t="n">
        <f aca="false">IF($Z14&lt;=0,$R14,$R14/$Z14)</f>
        <v>87502560.6022638</v>
      </c>
      <c r="AB14" s="49" t="n">
        <f aca="false">$R14-$AA14</f>
        <v>-3769462.60226378</v>
      </c>
      <c r="AC14" s="40" t="n">
        <f aca="false">IF($Q14=0,0,($Q14-$AA14)/$Q14)</f>
        <v>0.0908398866038941</v>
      </c>
      <c r="AD14" s="102" t="n">
        <f aca="false">'PT_MXU-02'!$J$14</f>
        <v>0.1</v>
      </c>
      <c r="AE14" s="102" t="n">
        <f aca="false">'PT_MXU-02'!$R$14</f>
        <v>0</v>
      </c>
      <c r="AF14" s="99" t="n">
        <v>9824978</v>
      </c>
      <c r="AG14" s="99" t="n">
        <v>10618050</v>
      </c>
      <c r="AH14" s="99" t="n">
        <v>8252981</v>
      </c>
      <c r="AI14" s="99" t="n">
        <v>398340</v>
      </c>
      <c r="AJ14" s="99" t="n">
        <v>1345495</v>
      </c>
      <c r="AK14" s="103" t="s">
        <v>299</v>
      </c>
      <c r="AL14" s="52" t="str">
        <f aca="false">IF(AND($Y14&gt;=0.95,$Z14&gt;=0.95),"Green",IF(OR($Y14&lt;0.85,$Z14&lt;0.85),"Red","Amber"))</f>
        <v>Green</v>
      </c>
      <c r="AM14" s="94" t="n">
        <f aca="false">IF(Dashboard!$C$6="Corporate",1,IF(Dashboard!$C$6="Project",IF($A14=Dashboard!$M$6,1,0),IF($C14=Dashboard!$H$6,1,0)))</f>
        <v>1</v>
      </c>
    </row>
    <row r="15" customFormat="false" ht="15" hidden="false" customHeight="true" outlineLevel="0" collapsed="false">
      <c r="A15" s="81" t="s">
        <v>303</v>
      </c>
      <c r="B15" s="82" t="str">
        <f aca="false">'PT_LND-01'!D8</f>
        <v>Tazayud Master Community — Infrastructure Works (Phases 04 &amp; 05)</v>
      </c>
      <c r="C15" s="82" t="str">
        <f aca="false">'PT_LND-01'!J7</f>
        <v>Land Development</v>
      </c>
      <c r="D15" s="82" t="str">
        <f aca="false">'PT_LND-01'!P7</f>
        <v>PMC-Delivered</v>
      </c>
      <c r="E15" s="82" t="str">
        <f aca="false">'PT_LND-01'!J8</f>
        <v>PMC — Lead Consultant A</v>
      </c>
      <c r="F15" s="82" t="s">
        <v>290</v>
      </c>
      <c r="G15" s="82" t="s">
        <v>302</v>
      </c>
      <c r="H15" s="83" t="n">
        <f aca="false">'PT_LND-01'!$P$10</f>
        <v>46265</v>
      </c>
      <c r="I15" s="83" t="n">
        <f aca="false">'PT_LND-01'!$R$10</f>
        <v>0</v>
      </c>
      <c r="J15" s="84" t="n">
        <v>0</v>
      </c>
      <c r="K15" s="85" t="n">
        <f aca="false">$I15+$J15</f>
        <v>0</v>
      </c>
      <c r="L15" s="86" t="n">
        <f aca="false">'PT_LND-01'!$D$14</f>
        <v>142600000</v>
      </c>
      <c r="M15" s="86" t="n">
        <f aca="false">'PT_LND-01'!$D$15</f>
        <v>123349000</v>
      </c>
      <c r="N15" s="87" t="n">
        <f aca="false">IF($L15=0,0,($L15-$M15)/$L15)</f>
        <v>0.135</v>
      </c>
      <c r="O15" s="88" t="n">
        <f aca="false">SUMIFS(Variation_Orders!$J$9:$J$32,Variation_Orders!$A$9:$A$32,$A15,Variation_Orders!$T$9:$T$32,"Approved")</f>
        <v>2666620</v>
      </c>
      <c r="P15" s="88" t="n">
        <f aca="false">SUMIFS(Variation_Orders!$K$9:$K$32,Variation_Orders!$A$9:$A$32,$A15,Variation_Orders!$T$9:$T$32,"Approved")</f>
        <v>2322954</v>
      </c>
      <c r="Q15" s="89" t="n">
        <f aca="false">$L15+$O15</f>
        <v>145266620</v>
      </c>
      <c r="R15" s="89" t="n">
        <f aca="false">$M15+$P15</f>
        <v>125671954</v>
      </c>
      <c r="S15" s="88" t="n">
        <f aca="false">SUMIFS(WBS_Register!$P$9:$P$80,WBS_Register!$A$9:$A$80,$A15)</f>
        <v>21070883.8734</v>
      </c>
      <c r="T15" s="88" t="n">
        <f aca="false">SUMIFS(WBS_Register!$Q$9:$Q$80,WBS_Register!$A$9:$A$80,$A15)</f>
        <v>21243124.139</v>
      </c>
      <c r="U15" s="88" t="n">
        <f aca="false">SUMIFS(WBS_Register!$R$9:$R$80,WBS_Register!$A$9:$A$80,$A15)</f>
        <v>20465094</v>
      </c>
      <c r="V15" s="88" t="n">
        <f aca="false">SUMIFS(WBS_Register!$S$9:$S$80,WBS_Register!$A$9:$A$80,$A15)</f>
        <v>58974121</v>
      </c>
      <c r="W15" s="87" t="n">
        <f aca="false">IF($R15=0,0,$S15/$R15)</f>
        <v>0.167665761554085</v>
      </c>
      <c r="X15" s="87" t="n">
        <f aca="false">IF($R15=0,0,$T15/$R15)</f>
        <v>0.169036316082107</v>
      </c>
      <c r="Y15" s="32" t="n">
        <f aca="false">IF($S15&lt;=0,1,$T15/$S15)</f>
        <v>1.0081743256066</v>
      </c>
      <c r="Z15" s="32" t="n">
        <f aca="false">IF($U15&lt;=0,1,$T15/$U15)</f>
        <v>1.03801742317919</v>
      </c>
      <c r="AA15" s="31" t="n">
        <f aca="false">IF($Z15&lt;=0,$R15,$R15/$Z15)</f>
        <v>121069214.440638</v>
      </c>
      <c r="AB15" s="31" t="n">
        <f aca="false">$R15-$AA15</f>
        <v>4602739.5593624</v>
      </c>
      <c r="AC15" s="90" t="n">
        <f aca="false">IF($Q15=0,0,($Q15-$AA15)/$Q15)</f>
        <v>0.166572372643918</v>
      </c>
      <c r="AD15" s="91" t="n">
        <f aca="false">'PT_LND-01'!$J$14</f>
        <v>0.1</v>
      </c>
      <c r="AE15" s="91" t="n">
        <f aca="false">'PT_LND-01'!$R$14</f>
        <v>0</v>
      </c>
      <c r="AF15" s="92" t="n">
        <v>18170947</v>
      </c>
      <c r="AG15" s="92" t="n">
        <v>19578832</v>
      </c>
      <c r="AH15" s="92" t="n">
        <v>15263596</v>
      </c>
      <c r="AI15" s="92" t="n">
        <v>675348</v>
      </c>
      <c r="AJ15" s="92" t="n">
        <v>2390646</v>
      </c>
      <c r="AK15" s="93" t="s">
        <v>299</v>
      </c>
      <c r="AL15" s="46" t="str">
        <f aca="false">IF(AND($Y15&gt;=0.95,$Z15&gt;=0.95),"Green",IF(OR($Y15&lt;0.85,$Z15&lt;0.85),"Red","Amber"))</f>
        <v>Green</v>
      </c>
      <c r="AM15" s="94" t="n">
        <f aca="false">IF(Dashboard!$C$6="Corporate",1,IF(Dashboard!$C$6="Project",IF($A15=Dashboard!$M$6,1,0),IF($C15=Dashboard!$H$6,1,0)))</f>
        <v>1</v>
      </c>
    </row>
    <row r="16" customFormat="false" ht="15" hidden="false" customHeight="true" outlineLevel="0" collapsed="false">
      <c r="A16" s="95" t="s">
        <v>304</v>
      </c>
      <c r="B16" s="37" t="str">
        <f aca="false">'PT_LND-02'!D8</f>
        <v>Tazayud Land Development — Utility &amp; Road Network</v>
      </c>
      <c r="C16" s="37" t="str">
        <f aca="false">'PT_LND-02'!J7</f>
        <v>Land Development</v>
      </c>
      <c r="D16" s="37" t="str">
        <f aca="false">'PT_LND-02'!P7</f>
        <v>PMC-Delivered</v>
      </c>
      <c r="E16" s="37" t="str">
        <f aca="false">'PT_LND-02'!J8</f>
        <v>PMC — Lead Consultant B</v>
      </c>
      <c r="F16" s="37" t="s">
        <v>294</v>
      </c>
      <c r="G16" s="37" t="s">
        <v>295</v>
      </c>
      <c r="H16" s="96" t="n">
        <f aca="false">'PT_LND-02'!$P$10</f>
        <v>46265</v>
      </c>
      <c r="I16" s="96" t="n">
        <f aca="false">'PT_LND-02'!$R$10</f>
        <v>0</v>
      </c>
      <c r="J16" s="97" t="n">
        <v>0</v>
      </c>
      <c r="K16" s="98" t="n">
        <f aca="false">$I16+$J16</f>
        <v>0</v>
      </c>
      <c r="L16" s="99" t="n">
        <f aca="false">'PT_LND-02'!$D$14</f>
        <v>68450000</v>
      </c>
      <c r="M16" s="99" t="n">
        <f aca="false">'PT_LND-02'!$D$15</f>
        <v>58524750</v>
      </c>
      <c r="N16" s="100" t="n">
        <f aca="false">IF($L16=0,0,($L16-$M16)/$L16)</f>
        <v>0.145</v>
      </c>
      <c r="O16" s="101" t="n">
        <f aca="false">SUMIFS(Variation_Orders!$J$9:$J$32,Variation_Orders!$A$9:$A$32,$A16,Variation_Orders!$T$9:$T$32,"Approved")</f>
        <v>390165</v>
      </c>
      <c r="P16" s="101" t="n">
        <f aca="false">SUMIFS(Variation_Orders!$K$9:$K$32,Variation_Orders!$A$9:$A$32,$A16,Variation_Orders!$T$9:$T$32,"Approved")</f>
        <v>339101</v>
      </c>
      <c r="Q16" s="38" t="n">
        <f aca="false">$L16+$O16</f>
        <v>68840165</v>
      </c>
      <c r="R16" s="38" t="n">
        <f aca="false">$M16+$P16</f>
        <v>58863851</v>
      </c>
      <c r="S16" s="101" t="n">
        <f aca="false">SUMIFS(WBS_Register!$P$9:$P$80,WBS_Register!$A$9:$A$80,$A16)</f>
        <v>9207945.0868</v>
      </c>
      <c r="T16" s="101" t="n">
        <f aca="false">SUMIFS(WBS_Register!$Q$9:$Q$80,WBS_Register!$A$9:$A$80,$A16)</f>
        <v>8615473.2268</v>
      </c>
      <c r="U16" s="101" t="n">
        <f aca="false">SUMIFS(WBS_Register!$R$9:$R$80,WBS_Register!$A$9:$A$80,$A16)</f>
        <v>8900234</v>
      </c>
      <c r="V16" s="101" t="n">
        <f aca="false">SUMIFS(WBS_Register!$S$9:$S$80,WBS_Register!$A$9:$A$80,$A16)</f>
        <v>27561458</v>
      </c>
      <c r="W16" s="100" t="n">
        <f aca="false">IF($R16=0,0,$S16/$R16)</f>
        <v>0.156427840353157</v>
      </c>
      <c r="X16" s="100" t="n">
        <f aca="false">IF($R16=0,0,$T16/$R16)</f>
        <v>0.146362718042352</v>
      </c>
      <c r="Y16" s="41" t="n">
        <f aca="false">IF($S16&lt;=0,1,$T16/$S16)</f>
        <v>0.935656451638777</v>
      </c>
      <c r="Z16" s="41" t="n">
        <f aca="false">IF($U16&lt;=0,1,$T16/$U16)</f>
        <v>0.968005248715933</v>
      </c>
      <c r="AA16" s="49" t="n">
        <f aca="false">IF($Z16&lt;=0,$R16,$R16/$Z16)</f>
        <v>60809433.7071864</v>
      </c>
      <c r="AB16" s="49" t="n">
        <f aca="false">$R16-$AA16</f>
        <v>-1945582.70718641</v>
      </c>
      <c r="AC16" s="40" t="n">
        <f aca="false">IF($Q16=0,0,($Q16-$AA16)/$Q16)</f>
        <v>0.116657641550011</v>
      </c>
      <c r="AD16" s="102" t="n">
        <f aca="false">'PT_LND-02'!$J$14</f>
        <v>0.1</v>
      </c>
      <c r="AE16" s="102" t="n">
        <f aca="false">'PT_LND-02'!$R$14</f>
        <v>0</v>
      </c>
      <c r="AF16" s="99" t="n">
        <v>7455969</v>
      </c>
      <c r="AG16" s="99" t="n">
        <v>8104340</v>
      </c>
      <c r="AH16" s="99" t="n">
        <v>6263014</v>
      </c>
      <c r="AI16" s="99" t="n">
        <v>293708</v>
      </c>
      <c r="AJ16" s="99" t="n">
        <v>1070671</v>
      </c>
      <c r="AK16" s="103" t="s">
        <v>297</v>
      </c>
      <c r="AL16" s="52" t="str">
        <f aca="false">IF(AND($Y16&gt;=0.95,$Z16&gt;=0.95),"Green",IF(OR($Y16&lt;0.85,$Z16&lt;0.85),"Red","Amber"))</f>
        <v>Amber</v>
      </c>
      <c r="AM16" s="94" t="n">
        <f aca="false">IF(Dashboard!$C$6="Corporate",1,IF(Dashboard!$C$6="Project",IF($A16=Dashboard!$M$6,1,0),IF($C16=Dashboard!$H$6,1,0)))</f>
        <v>1</v>
      </c>
    </row>
    <row r="17" customFormat="false" ht="18" hidden="false" customHeight="true" outlineLevel="0" collapsed="false">
      <c r="A17" s="27" t="s">
        <v>305</v>
      </c>
      <c r="B17" s="27"/>
      <c r="C17" s="27"/>
      <c r="D17" s="27"/>
      <c r="E17" s="27"/>
      <c r="F17" s="27"/>
      <c r="G17" s="27"/>
      <c r="H17" s="27"/>
      <c r="I17" s="27"/>
      <c r="J17" s="27"/>
      <c r="K17" s="27"/>
      <c r="L17" s="28" t="n">
        <f aca="false">SUM($L$9:$L$16)</f>
        <v>977373423</v>
      </c>
      <c r="M17" s="28" t="n">
        <f aca="false">SUM($M$9:$M$16)</f>
        <v>855900862</v>
      </c>
      <c r="N17" s="104" t="n">
        <f aca="false">IF($L17=0,0,($L17-$M17)/$L17)</f>
        <v>0.124284698295914</v>
      </c>
      <c r="O17" s="28" t="n">
        <f aca="false">SUM($O$9:$O$16)</f>
        <v>13854933</v>
      </c>
      <c r="P17" s="28" t="n">
        <f aca="false">SUM($P$9:$P$16)</f>
        <v>12065473</v>
      </c>
      <c r="Q17" s="28" t="n">
        <f aca="false">SUM($Q$9:$Q$16)</f>
        <v>991228356</v>
      </c>
      <c r="R17" s="28" t="n">
        <f aca="false">SUM($R$9:$R$16)</f>
        <v>867966335</v>
      </c>
      <c r="S17" s="28" t="n">
        <f aca="false">SUM($S$9:$S$16)</f>
        <v>126214715.6631</v>
      </c>
      <c r="T17" s="28" t="n">
        <f aca="false">SUM($T$9:$T$16)</f>
        <v>120378484.519</v>
      </c>
      <c r="U17" s="28" t="n">
        <f aca="false">SUM($U$9:$U$16)</f>
        <v>122819465</v>
      </c>
      <c r="V17" s="28" t="n">
        <f aca="false">SUM($V$9:$V$16)</f>
        <v>406983639</v>
      </c>
      <c r="W17" s="104" t="n">
        <f aca="false">IF($R17=0,0,$S17/$R17)</f>
        <v>0.145414298427945</v>
      </c>
      <c r="X17" s="104" t="n">
        <f aca="false">IF($R17=0,0,$T17/$R17)</f>
        <v>0.138690269040216</v>
      </c>
      <c r="Y17" s="29" t="n">
        <f aca="false">IF($S17&lt;=0,1,$T17/$S17)</f>
        <v>0.953759503292164</v>
      </c>
      <c r="Z17" s="29" t="n">
        <f aca="false">IF($U17&lt;=0,1,$T17/$U17)</f>
        <v>0.980125459095592</v>
      </c>
      <c r="AA17" s="28" t="n">
        <f aca="false">SUM($AA$9:$AA$16)</f>
        <v>895685758.386441</v>
      </c>
      <c r="AB17" s="28" t="n">
        <f aca="false">SUM($AB$9:$AB$16)</f>
        <v>-27719423.3864409</v>
      </c>
      <c r="AC17" s="104" t="n">
        <f aca="false">IF($Q17=0,0,($Q17-$AA17)/$Q17)</f>
        <v>0.0963880795330668</v>
      </c>
      <c r="AD17" s="105"/>
      <c r="AE17" s="105"/>
      <c r="AF17" s="28" t="n">
        <f aca="false">SUM($AF$9:$AF$16)</f>
        <v>101734277</v>
      </c>
      <c r="AG17" s="28" t="n">
        <f aca="false">SUM($AG$9:$AG$16)</f>
        <v>110286100</v>
      </c>
      <c r="AH17" s="28" t="n">
        <f aca="false">SUM($AH$9:$AH$16)</f>
        <v>85456792</v>
      </c>
      <c r="AI17" s="28" t="n">
        <f aca="false">SUM($AI$9:$AI$16)</f>
        <v>4053042</v>
      </c>
      <c r="AJ17" s="28" t="n">
        <f aca="false">SUM($AJ$9:$AJ$16)</f>
        <v>14213300</v>
      </c>
      <c r="AK17" s="105"/>
      <c r="AL17" s="28"/>
      <c r="AM17" s="5"/>
    </row>
    <row r="18" customFormat="false" ht="15" hidden="false" customHeight="true" outlineLevel="0" collapsed="false">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row>
    <row r="19" customFormat="false" ht="25.5" hidden="false" customHeight="true" outlineLevel="0" collapsed="false">
      <c r="A19" s="58" t="s">
        <v>306</v>
      </c>
      <c r="B19" s="58"/>
      <c r="C19" s="58"/>
      <c r="D19" s="58"/>
      <c r="E19" s="58"/>
      <c r="F19" s="58"/>
      <c r="G19" s="58"/>
      <c r="H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
    </row>
    <row r="20" customFormat="false" ht="15" hidden="false" customHeight="true" outlineLevel="0" collapsed="false">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row>
    <row r="21" customFormat="false" ht="15" hidden="false" customHeight="true" outlineLevel="0" collapsed="false">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row>
    <row r="22" customFormat="false" ht="25.5" hidden="false" customHeight="true" outlineLevel="0" collapsed="false">
      <c r="A22" s="106" t="s">
        <v>307</v>
      </c>
      <c r="B22" s="106"/>
      <c r="C22" s="106"/>
      <c r="D22" s="107" t="s">
        <v>308</v>
      </c>
      <c r="E22" s="107"/>
      <c r="F22" s="107"/>
      <c r="G22" s="5"/>
      <c r="H22" s="108" t="s">
        <v>309</v>
      </c>
      <c r="I22" s="108"/>
      <c r="J22" s="108"/>
      <c r="K22" s="108"/>
      <c r="L22" s="108"/>
      <c r="M22" s="108"/>
      <c r="N22" s="108"/>
      <c r="O22" s="108"/>
      <c r="P22" s="108"/>
      <c r="Q22" s="108"/>
      <c r="R22" s="108"/>
      <c r="S22" s="5"/>
      <c r="T22" s="5"/>
      <c r="U22" s="5"/>
      <c r="V22" s="5"/>
      <c r="W22" s="5"/>
      <c r="X22" s="5"/>
      <c r="Y22" s="5"/>
      <c r="Z22" s="5"/>
      <c r="AA22" s="5"/>
      <c r="AB22" s="5"/>
      <c r="AC22" s="5"/>
      <c r="AD22" s="5"/>
      <c r="AE22" s="5"/>
      <c r="AF22" s="5"/>
      <c r="AG22" s="5"/>
      <c r="AH22" s="5"/>
      <c r="AI22" s="5"/>
      <c r="AJ22" s="5"/>
      <c r="AK22" s="5"/>
      <c r="AL22" s="5"/>
      <c r="AM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row>
    <row r="24" customFormat="false" ht="19.5" hidden="false" customHeight="true" outlineLevel="0" collapsed="false">
      <c r="A24" s="109" t="s">
        <v>310</v>
      </c>
      <c r="B24" s="109"/>
      <c r="C24" s="109"/>
      <c r="D24" s="109"/>
      <c r="E24" s="109"/>
      <c r="F24" s="109"/>
      <c r="G24" s="109"/>
      <c r="H24" s="109"/>
      <c r="I24" s="109"/>
      <c r="J24" s="109"/>
      <c r="K24" s="109"/>
      <c r="L24" s="109"/>
      <c r="M24" s="109"/>
      <c r="N24" s="109"/>
      <c r="O24" s="109"/>
      <c r="P24" s="109"/>
      <c r="Q24" s="109"/>
      <c r="R24" s="109"/>
      <c r="S24" s="5"/>
      <c r="T24" s="5"/>
      <c r="U24" s="5"/>
      <c r="V24" s="5"/>
      <c r="W24" s="5"/>
      <c r="X24" s="5"/>
      <c r="Y24" s="5"/>
      <c r="Z24" s="5"/>
      <c r="AA24" s="5"/>
      <c r="AB24" s="5"/>
      <c r="AC24" s="5"/>
      <c r="AD24" s="5"/>
      <c r="AE24" s="5"/>
      <c r="AF24" s="5"/>
      <c r="AG24" s="5"/>
      <c r="AH24" s="5"/>
      <c r="AI24" s="5"/>
      <c r="AJ24" s="5"/>
      <c r="AK24" s="5"/>
      <c r="AL24" s="5"/>
      <c r="AM24" s="5"/>
    </row>
    <row r="25" customFormat="false" ht="19.5" hidden="false" customHeight="true" outlineLevel="0" collapsed="false">
      <c r="A25" s="110" t="s">
        <v>311</v>
      </c>
      <c r="B25" s="110"/>
      <c r="C25" s="111"/>
      <c r="D25" s="111"/>
      <c r="E25" s="111"/>
      <c r="F25" s="110" t="s">
        <v>312</v>
      </c>
      <c r="G25" s="110"/>
      <c r="H25" s="110"/>
      <c r="I25" s="111"/>
      <c r="J25" s="111"/>
      <c r="K25" s="111"/>
      <c r="L25" s="111"/>
      <c r="M25" s="111"/>
      <c r="N25" s="111"/>
      <c r="O25" s="110" t="s">
        <v>5</v>
      </c>
      <c r="P25" s="110"/>
      <c r="Q25" s="111"/>
      <c r="R25" s="111"/>
      <c r="S25" s="5"/>
      <c r="T25" s="5"/>
      <c r="U25" s="5"/>
      <c r="V25" s="5"/>
      <c r="W25" s="5"/>
      <c r="X25" s="5"/>
      <c r="Y25" s="5"/>
      <c r="Z25" s="5"/>
      <c r="AA25" s="5"/>
      <c r="AB25" s="5"/>
      <c r="AC25" s="5"/>
      <c r="AD25" s="5"/>
      <c r="AE25" s="5"/>
      <c r="AF25" s="5"/>
      <c r="AG25" s="5"/>
      <c r="AH25" s="5"/>
      <c r="AI25" s="5"/>
      <c r="AJ25" s="5"/>
      <c r="AK25" s="5"/>
      <c r="AL25" s="5"/>
      <c r="AM25" s="5"/>
    </row>
    <row r="26" customFormat="false" ht="15" hidden="false" customHeight="true" outlineLevel="0" collapsed="false">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row>
    <row r="27" customFormat="false" ht="19.5" hidden="false" customHeight="true" outlineLevel="0" collapsed="false">
      <c r="A27" s="112" t="s">
        <v>313</v>
      </c>
      <c r="B27" s="112"/>
      <c r="C27" s="112"/>
      <c r="D27" s="112"/>
      <c r="E27" s="112"/>
      <c r="F27" s="112"/>
      <c r="G27" s="112"/>
      <c r="H27" s="112"/>
      <c r="I27" s="112"/>
      <c r="J27" s="112"/>
      <c r="K27" s="112"/>
      <c r="L27" s="112"/>
      <c r="M27" s="112"/>
      <c r="N27" s="112"/>
      <c r="O27" s="112"/>
      <c r="P27" s="112"/>
      <c r="Q27" s="112"/>
      <c r="R27" s="112"/>
      <c r="S27" s="5"/>
      <c r="T27" s="5"/>
      <c r="U27" s="5"/>
      <c r="V27" s="5"/>
      <c r="W27" s="5"/>
      <c r="X27" s="5"/>
      <c r="Y27" s="5"/>
      <c r="Z27" s="5"/>
      <c r="AA27" s="5"/>
      <c r="AB27" s="5"/>
      <c r="AC27" s="5"/>
      <c r="AD27" s="5"/>
      <c r="AE27" s="5"/>
      <c r="AF27" s="5"/>
      <c r="AG27" s="5"/>
      <c r="AH27" s="5"/>
      <c r="AI27" s="5"/>
      <c r="AJ27" s="5"/>
      <c r="AK27" s="5"/>
      <c r="AL27" s="5"/>
      <c r="AM27" s="5"/>
    </row>
    <row r="28" customFormat="false" ht="15" hidden="false" customHeight="true" outlineLevel="0" collapsed="false">
      <c r="A28" s="110" t="s">
        <v>314</v>
      </c>
      <c r="B28" s="110"/>
      <c r="C28" s="111"/>
      <c r="D28" s="111"/>
      <c r="E28" s="111"/>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row>
  </sheetData>
  <autoFilter ref="A8:AM16"/>
  <mergeCells count="21">
    <mergeCell ref="A1:AL1"/>
    <mergeCell ref="A2:AL2"/>
    <mergeCell ref="A3:AL3"/>
    <mergeCell ref="A4:AL4"/>
    <mergeCell ref="A6:AL6"/>
    <mergeCell ref="A7:AL7"/>
    <mergeCell ref="A17:K17"/>
    <mergeCell ref="A19:AL19"/>
    <mergeCell ref="A22:C22"/>
    <mergeCell ref="D22:F22"/>
    <mergeCell ref="H22:R22"/>
    <mergeCell ref="A24:R24"/>
    <mergeCell ref="A25:B25"/>
    <mergeCell ref="C25:E25"/>
    <mergeCell ref="F25:H25"/>
    <mergeCell ref="I25:N25"/>
    <mergeCell ref="O25:P25"/>
    <mergeCell ref="Q25:R25"/>
    <mergeCell ref="A27:R27"/>
    <mergeCell ref="A28:B28"/>
    <mergeCell ref="C28:E28"/>
  </mergeCells>
  <conditionalFormatting sqref="AL9:AL16">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AK9:AK16">
    <cfRule type="cellIs" priority="5" operator="equal" aboveAverage="0" equalAverage="0" bottom="0" percent="0" rank="0" text="" dxfId="0">
      <formula>"On Track"</formula>
    </cfRule>
    <cfRule type="cellIs" priority="6" operator="equal" aboveAverage="0" equalAverage="0" bottom="0" percent="0" rank="0" text="" dxfId="0">
      <formula>"Complete"</formula>
    </cfRule>
    <cfRule type="cellIs" priority="7" operator="equal" aboveAverage="0" equalAverage="0" bottom="0" percent="0" rank="0" text="" dxfId="1">
      <formula>"Watch"</formula>
    </cfRule>
    <cfRule type="cellIs" priority="8" operator="equal" aboveAverage="0" equalAverage="0" bottom="0" percent="0" rank="0" text="" dxfId="1">
      <formula>"On Hold"</formula>
    </cfRule>
    <cfRule type="cellIs" priority="9" operator="equal" aboveAverage="0" equalAverage="0" bottom="0" percent="0" rank="0" text="" dxfId="2">
      <formula>"At Risk"</formula>
    </cfRule>
  </conditionalFormatting>
  <conditionalFormatting sqref="AM9:AM16">
    <cfRule type="cellIs" priority="10" operator="equal" aboveAverage="0" equalAverage="0" bottom="0" percent="0" rank="0" text="" dxfId="0">
      <formula>"1"</formula>
    </cfRule>
  </conditionalFormatting>
  <dataValidations count="5">
    <dataValidation allowBlank="true" errorStyle="stop" operator="between" showDropDown="false" showErrorMessage="false" showInputMessage="false" sqref="AK9:AK16" type="list">
      <formula1>"On Track,Watch,At Risk,On Hold,Complete"</formula1>
      <formula2>0</formula2>
    </dataValidation>
    <dataValidation allowBlank="true" errorStyle="stop" operator="between" showDropDown="false" showErrorMessage="false" showInputMessage="false" sqref="C9:C16" type="list">
      <formula1>"Residential,Commercial,Mixed Use,Land Development"</formula1>
      <formula2>0</formula2>
    </dataValidation>
    <dataValidation allowBlank="true" errorStyle="stop" operator="between" showDropDown="false" showErrorMessage="false" showInputMessage="false" sqref="D9:D16" type="list">
      <formula1>"PMC-Delivered,Self-Execution"</formula1>
      <formula2>0</formula2>
    </dataValidation>
    <dataValidation allowBlank="true" errorStyle="stop" operator="between" showDropDown="false" showErrorMessage="false" showInputMessage="false" sqref="Q25" type="list">
      <formula1>PortfolioList</formula1>
      <formula2>0</formula2>
    </dataValidation>
    <dataValidation allowBlank="true" errorStyle="stop" operator="between" showDropDown="false" showErrorMessage="false" showInputMessage="false" sqref="C28" type="list">
      <formula1>ProjectIDs</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X7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22"/>
    <col collapsed="false" customWidth="true" hidden="false" outlineLevel="0" max="2" min="2" style="1" width="16"/>
    <col collapsed="false" customWidth="true" hidden="false" outlineLevel="0" max="3" min="3" style="1" width="15"/>
    <col collapsed="false" customWidth="true" hidden="false" outlineLevel="0" max="4" min="4" style="1" width="8"/>
    <col collapsed="false" customWidth="true" hidden="false" outlineLevel="0" max="5" min="5" style="1" width="6"/>
    <col collapsed="false" customWidth="true" hidden="false" outlineLevel="0" max="6" min="6" style="1" width="22"/>
    <col collapsed="false" customWidth="true" hidden="false" outlineLevel="0" max="7" min="7" style="1" width="16"/>
    <col collapsed="false" customWidth="true" hidden="false" outlineLevel="0" max="8" min="8" style="1" width="15"/>
    <col collapsed="false" customWidth="true" hidden="false" outlineLevel="0" max="9" min="9" style="1" width="8"/>
    <col collapsed="false" customWidth="true" hidden="false" outlineLevel="0" max="10" min="10" style="1" width="6"/>
    <col collapsed="false" customWidth="true" hidden="false" outlineLevel="0" max="11" min="11" style="1" width="22"/>
    <col collapsed="false" customWidth="true" hidden="false" outlineLevel="0" max="12" min="12" style="1" width="16"/>
    <col collapsed="false" customWidth="true" hidden="false" outlineLevel="0" max="13" min="13" style="1" width="15"/>
    <col collapsed="false" customWidth="true" hidden="false" outlineLevel="0" max="14" min="14" style="1" width="8"/>
    <col collapsed="false" customWidth="true" hidden="false" outlineLevel="0" max="15" min="15" style="1" width="6"/>
    <col collapsed="false" customWidth="true" hidden="false" outlineLevel="0" max="18" min="16" style="1" width="13"/>
    <col collapsed="false" customWidth="true" hidden="false" outlineLevel="0" max="20" min="19" style="1" width="9"/>
    <col collapsed="false" customWidth="true" hidden="false" outlineLevel="0" max="22" min="21" style="1" width="13"/>
    <col collapsed="false" customWidth="true" hidden="false" outlineLevel="0" max="23" min="23" style="1" width="11"/>
    <col collapsed="false" customWidth="true" hidden="false" outlineLevel="0" max="24" min="24" style="1" width="8"/>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c r="V1" s="2"/>
      <c r="W1" s="2"/>
      <c r="X1" s="2"/>
    </row>
    <row r="2" customFormat="false" ht="30" hidden="false" customHeight="true" outlineLevel="0" collapsed="false">
      <c r="A2" s="59" t="s">
        <v>315</v>
      </c>
      <c r="B2" s="59"/>
      <c r="C2" s="59"/>
      <c r="D2" s="59"/>
      <c r="E2" s="59"/>
      <c r="F2" s="59"/>
      <c r="G2" s="59"/>
      <c r="H2" s="59"/>
      <c r="I2" s="59"/>
      <c r="J2" s="59"/>
      <c r="K2" s="59"/>
      <c r="L2" s="59"/>
      <c r="M2" s="59"/>
      <c r="N2" s="59"/>
      <c r="O2" s="59"/>
      <c r="P2" s="59"/>
      <c r="Q2" s="59"/>
      <c r="R2" s="59"/>
      <c r="S2" s="59"/>
      <c r="T2" s="59"/>
      <c r="U2" s="59"/>
      <c r="V2" s="59"/>
      <c r="W2" s="59"/>
      <c r="X2" s="59"/>
    </row>
    <row r="3" customFormat="false" ht="16.5" hidden="false" customHeight="true" outlineLevel="0" collapsed="false">
      <c r="A3" s="60" t="s">
        <v>316</v>
      </c>
      <c r="B3" s="60"/>
      <c r="C3" s="60"/>
      <c r="D3" s="60"/>
      <c r="E3" s="60"/>
      <c r="F3" s="60"/>
      <c r="G3" s="60"/>
      <c r="H3" s="60"/>
      <c r="I3" s="60"/>
      <c r="J3" s="60"/>
      <c r="K3" s="60"/>
      <c r="L3" s="60"/>
      <c r="M3" s="60"/>
      <c r="N3" s="60"/>
      <c r="O3" s="60"/>
      <c r="P3" s="60"/>
      <c r="Q3" s="60"/>
      <c r="R3" s="60"/>
      <c r="S3" s="60"/>
      <c r="T3" s="60"/>
      <c r="U3" s="60"/>
      <c r="V3" s="60"/>
      <c r="W3" s="60"/>
      <c r="X3" s="60"/>
    </row>
    <row r="4" customFormat="false" ht="15" hidden="false" customHeight="true" outlineLevel="0" collapsed="false">
      <c r="A4" s="61" t="s">
        <v>317</v>
      </c>
      <c r="B4" s="61"/>
      <c r="C4" s="61"/>
      <c r="D4" s="61"/>
      <c r="E4" s="61"/>
      <c r="F4" s="61"/>
      <c r="G4" s="61"/>
      <c r="H4" s="61"/>
      <c r="I4" s="61"/>
      <c r="J4" s="61"/>
      <c r="K4" s="61"/>
      <c r="L4" s="61"/>
      <c r="M4" s="61"/>
      <c r="N4" s="61"/>
      <c r="O4" s="61"/>
      <c r="P4" s="61"/>
      <c r="Q4" s="61"/>
      <c r="R4" s="61"/>
      <c r="S4" s="61"/>
      <c r="T4" s="61"/>
      <c r="U4" s="61"/>
      <c r="V4" s="61"/>
      <c r="W4" s="61"/>
      <c r="X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c r="V5" s="5"/>
      <c r="W5" s="5"/>
      <c r="X5" s="5"/>
    </row>
    <row r="6" customFormat="false" ht="19.5" hidden="false" customHeight="true" outlineLevel="0" collapsed="false">
      <c r="A6" s="13" t="s">
        <v>318</v>
      </c>
      <c r="B6" s="13"/>
      <c r="C6" s="13"/>
      <c r="D6" s="13"/>
      <c r="E6" s="13"/>
      <c r="F6" s="13"/>
      <c r="G6" s="13"/>
      <c r="H6" s="13"/>
      <c r="I6" s="13"/>
      <c r="J6" s="13"/>
      <c r="K6" s="13"/>
      <c r="L6" s="13"/>
      <c r="M6" s="13"/>
      <c r="N6" s="13"/>
      <c r="O6" s="13"/>
      <c r="P6" s="13"/>
      <c r="Q6" s="13"/>
      <c r="R6" s="13"/>
      <c r="S6" s="13"/>
      <c r="T6" s="13"/>
      <c r="U6" s="13"/>
      <c r="V6" s="13"/>
      <c r="W6" s="13"/>
      <c r="X6" s="13"/>
    </row>
    <row r="7" customFormat="false" ht="16.5" hidden="false" customHeight="true" outlineLevel="0" collapsed="false">
      <c r="A7" s="53" t="s">
        <v>319</v>
      </c>
      <c r="B7" s="53"/>
      <c r="C7" s="113" t="str">
        <f aca="false">Dashboard!$C$6</f>
        <v>Corporate</v>
      </c>
      <c r="D7" s="113"/>
      <c r="E7" s="113"/>
      <c r="F7" s="53" t="s">
        <v>320</v>
      </c>
      <c r="G7" s="53"/>
      <c r="H7" s="113" t="str">
        <f aca="false">Dashboard!$H$6</f>
        <v>Residential</v>
      </c>
      <c r="I7" s="113"/>
      <c r="J7" s="113"/>
      <c r="K7" s="53" t="s">
        <v>321</v>
      </c>
      <c r="L7" s="53"/>
      <c r="M7" s="113" t="str">
        <f aca="false">Dashboard!$M$6</f>
        <v>RES-01</v>
      </c>
      <c r="N7" s="113"/>
      <c r="O7" s="113"/>
      <c r="P7" s="114" t="s">
        <v>322</v>
      </c>
      <c r="Q7" s="114"/>
      <c r="R7" s="114"/>
      <c r="S7" s="114"/>
      <c r="T7" s="114"/>
      <c r="U7" s="114"/>
      <c r="V7" s="114"/>
      <c r="W7" s="114"/>
      <c r="X7" s="114"/>
    </row>
    <row r="8" customFormat="false" ht="16.5" hidden="false" customHeight="true" outlineLevel="0" collapsed="false">
      <c r="A8" s="53" t="s">
        <v>323</v>
      </c>
      <c r="B8" s="53"/>
      <c r="C8" s="115" t="n">
        <f aca="false">Dashboard!$C$7</f>
        <v>46265</v>
      </c>
      <c r="D8" s="115"/>
      <c r="E8" s="115"/>
      <c r="F8" s="53" t="s">
        <v>324</v>
      </c>
      <c r="G8" s="53"/>
      <c r="H8" s="116" t="n">
        <f aca="false">Dashboard!$H$7</f>
        <v>5</v>
      </c>
      <c r="I8" s="116"/>
      <c r="J8" s="116"/>
      <c r="K8" s="53" t="s">
        <v>325</v>
      </c>
      <c r="L8" s="53"/>
      <c r="M8" s="113" t="str">
        <f aca="false">Dashboard!$M$7</f>
        <v>CORPORATE — all portfolios</v>
      </c>
      <c r="N8" s="113"/>
      <c r="O8" s="113"/>
      <c r="P8" s="114"/>
      <c r="Q8" s="114"/>
      <c r="R8" s="114"/>
      <c r="S8" s="114"/>
      <c r="T8" s="114"/>
      <c r="U8" s="114"/>
      <c r="V8" s="114"/>
      <c r="W8" s="114"/>
      <c r="X8" s="114"/>
    </row>
    <row r="9" customFormat="false" ht="15" hidden="false" customHeight="true" outlineLevel="0" collapsed="false">
      <c r="A9" s="5"/>
      <c r="B9" s="5"/>
      <c r="C9" s="5"/>
      <c r="D9" s="5"/>
      <c r="E9" s="5"/>
      <c r="F9" s="5"/>
      <c r="G9" s="5"/>
      <c r="H9" s="5"/>
      <c r="I9" s="5"/>
      <c r="J9" s="5"/>
      <c r="K9" s="5"/>
      <c r="L9" s="5"/>
      <c r="M9" s="5"/>
      <c r="N9" s="5"/>
      <c r="O9" s="5"/>
      <c r="P9" s="5"/>
      <c r="Q9" s="5"/>
      <c r="R9" s="5"/>
      <c r="S9" s="5"/>
      <c r="T9" s="5"/>
      <c r="U9" s="5"/>
      <c r="V9" s="5"/>
      <c r="W9" s="5"/>
      <c r="X9" s="5"/>
    </row>
    <row r="10" customFormat="false" ht="19.5" hidden="false" customHeight="true" outlineLevel="0" collapsed="false">
      <c r="A10" s="13" t="s">
        <v>326</v>
      </c>
      <c r="B10" s="13"/>
      <c r="C10" s="13"/>
      <c r="D10" s="13"/>
      <c r="E10" s="13"/>
      <c r="F10" s="13"/>
      <c r="G10" s="13"/>
      <c r="H10" s="13"/>
      <c r="I10" s="13"/>
      <c r="J10" s="13"/>
      <c r="K10" s="13"/>
      <c r="L10" s="13"/>
      <c r="M10" s="13"/>
      <c r="N10" s="13"/>
      <c r="O10" s="13"/>
      <c r="P10" s="13"/>
      <c r="Q10" s="13"/>
      <c r="R10" s="13"/>
      <c r="S10" s="13"/>
      <c r="T10" s="13"/>
      <c r="U10" s="13"/>
      <c r="V10" s="13"/>
      <c r="W10" s="13"/>
      <c r="X10" s="13"/>
    </row>
    <row r="11" customFormat="false" ht="16.5" hidden="false" customHeight="true" outlineLevel="0" collapsed="false">
      <c r="A11" s="53" t="s">
        <v>327</v>
      </c>
      <c r="B11" s="53"/>
      <c r="C11" s="117" t="n">
        <f aca="false">SUMPRODUCT(Projects!$AM$9:$AM$16,Projects!$L$9:$L$16)</f>
        <v>977373423</v>
      </c>
      <c r="D11" s="117"/>
      <c r="E11" s="117"/>
      <c r="F11" s="53" t="s">
        <v>328</v>
      </c>
      <c r="G11" s="53"/>
      <c r="H11" s="117" t="n">
        <f aca="false">SUMPRODUCT(Projects!$AM$9:$AM$16,Projects!$O$9:$O$16)</f>
        <v>13854933</v>
      </c>
      <c r="I11" s="117"/>
      <c r="J11" s="117"/>
      <c r="K11" s="53" t="s">
        <v>329</v>
      </c>
      <c r="L11" s="53"/>
      <c r="M11" s="118" t="n">
        <f aca="false">Variation_Orders!$D$37</f>
        <v>17447154</v>
      </c>
      <c r="N11" s="118"/>
      <c r="O11" s="118"/>
      <c r="P11" s="119" t="s">
        <v>330</v>
      </c>
      <c r="Q11" s="119"/>
      <c r="R11" s="119"/>
      <c r="S11" s="119"/>
      <c r="T11" s="119"/>
      <c r="U11" s="119"/>
      <c r="V11" s="119"/>
      <c r="W11" s="119"/>
      <c r="X11" s="119"/>
    </row>
    <row r="12" customFormat="false" ht="16.5" hidden="false" customHeight="true" outlineLevel="0" collapsed="false">
      <c r="A12" s="53" t="s">
        <v>331</v>
      </c>
      <c r="B12" s="53"/>
      <c r="C12" s="117" t="n">
        <f aca="false">SUMPRODUCT(Projects!$AM$9:$AM$16,Projects!$Q$9:$Q$16)</f>
        <v>991228356</v>
      </c>
      <c r="D12" s="117"/>
      <c r="E12" s="117"/>
      <c r="F12" s="53" t="s">
        <v>332</v>
      </c>
      <c r="G12" s="53"/>
      <c r="H12" s="117" t="n">
        <f aca="false">SUMPRODUCT(Projects!$AM$9:$AM$16,Projects!$M$9:$M$16)</f>
        <v>855900862</v>
      </c>
      <c r="I12" s="117"/>
      <c r="J12" s="117"/>
      <c r="K12" s="53" t="s">
        <v>333</v>
      </c>
      <c r="L12" s="53"/>
      <c r="M12" s="117" t="n">
        <f aca="false">SUMPRODUCT(Projects!$AM$9:$AM$16,Projects!$P$9:$P$16)</f>
        <v>12065473</v>
      </c>
      <c r="N12" s="117"/>
      <c r="O12" s="117"/>
      <c r="P12" s="119"/>
      <c r="Q12" s="119"/>
      <c r="R12" s="119"/>
      <c r="S12" s="119"/>
      <c r="T12" s="119"/>
      <c r="U12" s="119"/>
      <c r="V12" s="119"/>
      <c r="W12" s="119"/>
      <c r="X12" s="119"/>
    </row>
    <row r="13" customFormat="false" ht="16.5" hidden="false" customHeight="true" outlineLevel="0" collapsed="false">
      <c r="A13" s="53" t="s">
        <v>334</v>
      </c>
      <c r="B13" s="53"/>
      <c r="C13" s="117" t="n">
        <f aca="false">SUMPRODUCT(Projects!$AM$9:$AM$16,Projects!$R$9:$R$16)</f>
        <v>867966335</v>
      </c>
      <c r="D13" s="117"/>
      <c r="E13" s="117"/>
      <c r="F13" s="53" t="s">
        <v>335</v>
      </c>
      <c r="G13" s="53"/>
      <c r="H13" s="117" t="n">
        <f aca="false">SUMPRODUCT(WBS_Register!$C$9:$C$80,WBS_Register!$P$9:$P$80)</f>
        <v>126214715.6631</v>
      </c>
      <c r="I13" s="117"/>
      <c r="J13" s="117"/>
      <c r="K13" s="53" t="s">
        <v>336</v>
      </c>
      <c r="L13" s="53"/>
      <c r="M13" s="117" t="n">
        <f aca="false">SUMPRODUCT(WBS_Register!$C$9:$C$80,WBS_Register!$Q$9:$Q$80)</f>
        <v>120378484.519</v>
      </c>
      <c r="N13" s="117"/>
      <c r="O13" s="117"/>
      <c r="P13" s="119"/>
      <c r="Q13" s="119"/>
      <c r="R13" s="119"/>
      <c r="S13" s="119"/>
      <c r="T13" s="119"/>
      <c r="U13" s="119"/>
      <c r="V13" s="119"/>
      <c r="W13" s="119"/>
      <c r="X13" s="119"/>
    </row>
    <row r="14" customFormat="false" ht="16.5" hidden="false" customHeight="true" outlineLevel="0" collapsed="false">
      <c r="A14" s="53" t="s">
        <v>337</v>
      </c>
      <c r="B14" s="53"/>
      <c r="C14" s="117" t="n">
        <f aca="false">SUMPRODUCT(WBS_Register!$C$9:$C$80,WBS_Register!$R$9:$R$80)</f>
        <v>122819465</v>
      </c>
      <c r="D14" s="117"/>
      <c r="E14" s="117"/>
      <c r="F14" s="53" t="s">
        <v>338</v>
      </c>
      <c r="G14" s="53"/>
      <c r="H14" s="117" t="n">
        <f aca="false">SUMPRODUCT(WBS_Register!$C$9:$C$80,WBS_Register!$S$9:$S$80)</f>
        <v>406983639</v>
      </c>
      <c r="I14" s="117"/>
      <c r="J14" s="117"/>
      <c r="K14" s="53" t="s">
        <v>339</v>
      </c>
      <c r="L14" s="53"/>
      <c r="M14" s="117" t="n">
        <f aca="false">$M$13-$H$13</f>
        <v>-5836231.1441</v>
      </c>
      <c r="N14" s="117"/>
      <c r="O14" s="117"/>
      <c r="P14" s="119"/>
      <c r="Q14" s="119"/>
      <c r="R14" s="119"/>
      <c r="S14" s="119"/>
      <c r="T14" s="119"/>
      <c r="U14" s="119"/>
      <c r="V14" s="119"/>
      <c r="W14" s="119"/>
      <c r="X14" s="119"/>
    </row>
    <row r="15" customFormat="false" ht="16.5" hidden="false" customHeight="true" outlineLevel="0" collapsed="false">
      <c r="A15" s="53" t="s">
        <v>340</v>
      </c>
      <c r="B15" s="53"/>
      <c r="C15" s="117" t="n">
        <f aca="false">$M$13-$C$14</f>
        <v>-2440980.48100001</v>
      </c>
      <c r="D15" s="117"/>
      <c r="E15" s="117"/>
      <c r="F15" s="53" t="s">
        <v>341</v>
      </c>
      <c r="G15" s="53"/>
      <c r="H15" s="120" t="n">
        <f aca="false">IF($H$13&lt;=0,1,$M$13/$H$13)</f>
        <v>0.953759503292164</v>
      </c>
      <c r="I15" s="120"/>
      <c r="J15" s="120"/>
      <c r="K15" s="53" t="s">
        <v>342</v>
      </c>
      <c r="L15" s="53"/>
      <c r="M15" s="120" t="n">
        <f aca="false">IF($C$14&lt;=0,1,$M$13/$C$14)</f>
        <v>0.980125459095592</v>
      </c>
      <c r="N15" s="120"/>
      <c r="O15" s="120"/>
      <c r="P15" s="119"/>
      <c r="Q15" s="119"/>
      <c r="R15" s="119"/>
      <c r="S15" s="119"/>
      <c r="T15" s="119"/>
      <c r="U15" s="119"/>
      <c r="V15" s="119"/>
      <c r="W15" s="119"/>
      <c r="X15" s="119"/>
    </row>
    <row r="16" customFormat="false" ht="16.5" hidden="false" customHeight="true" outlineLevel="0" collapsed="false">
      <c r="A16" s="53" t="s">
        <v>343</v>
      </c>
      <c r="B16" s="53"/>
      <c r="C16" s="121" t="n">
        <f aca="false">IF($C$13=0,0,$H$13/$C$13)</f>
        <v>0.145414298427945</v>
      </c>
      <c r="D16" s="121"/>
      <c r="E16" s="121"/>
      <c r="F16" s="53" t="s">
        <v>344</v>
      </c>
      <c r="G16" s="53"/>
      <c r="H16" s="121" t="n">
        <f aca="false">IF($C$13=0,0,$M$13/$C$13)</f>
        <v>0.138690269040216</v>
      </c>
      <c r="I16" s="121"/>
      <c r="J16" s="121"/>
      <c r="K16" s="53" t="s">
        <v>345</v>
      </c>
      <c r="L16" s="53"/>
      <c r="M16" s="117" t="n">
        <f aca="false">SUM(Projects!$AM$9:$AM$16)</f>
        <v>8</v>
      </c>
      <c r="N16" s="117"/>
      <c r="O16" s="117"/>
      <c r="P16" s="119"/>
      <c r="Q16" s="119"/>
      <c r="R16" s="119"/>
      <c r="S16" s="119"/>
      <c r="T16" s="119"/>
      <c r="U16" s="119"/>
      <c r="V16" s="119"/>
      <c r="W16" s="119"/>
      <c r="X16" s="119"/>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c r="U17" s="5"/>
      <c r="V17" s="5"/>
      <c r="W17" s="5"/>
      <c r="X17" s="5"/>
    </row>
    <row r="18" customFormat="false" ht="19.5" hidden="false" customHeight="true" outlineLevel="0" collapsed="false">
      <c r="A18" s="13" t="s">
        <v>346</v>
      </c>
      <c r="B18" s="13"/>
      <c r="C18" s="13"/>
      <c r="D18" s="13"/>
      <c r="E18" s="13"/>
      <c r="F18" s="13"/>
      <c r="G18" s="13"/>
      <c r="H18" s="13"/>
      <c r="I18" s="13"/>
      <c r="J18" s="13"/>
      <c r="K18" s="13"/>
      <c r="L18" s="13"/>
      <c r="M18" s="13"/>
      <c r="N18" s="13"/>
      <c r="O18" s="13"/>
      <c r="P18" s="13"/>
      <c r="Q18" s="13"/>
      <c r="R18" s="13"/>
      <c r="S18" s="13"/>
      <c r="T18" s="13"/>
      <c r="U18" s="13"/>
      <c r="V18" s="13"/>
      <c r="W18" s="13"/>
      <c r="X18" s="13"/>
    </row>
    <row r="19" customFormat="false" ht="13.5" hidden="false" customHeight="true" outlineLevel="0" collapsed="false">
      <c r="A19" s="80" t="s">
        <v>347</v>
      </c>
      <c r="B19" s="80"/>
      <c r="C19" s="80"/>
      <c r="D19" s="80"/>
      <c r="E19" s="80"/>
      <c r="F19" s="80"/>
      <c r="G19" s="80"/>
      <c r="H19" s="80"/>
      <c r="I19" s="80"/>
      <c r="J19" s="80"/>
      <c r="K19" s="80"/>
      <c r="L19" s="80"/>
      <c r="M19" s="80"/>
      <c r="N19" s="80"/>
      <c r="O19" s="80"/>
      <c r="P19" s="80"/>
      <c r="Q19" s="80"/>
      <c r="R19" s="80"/>
      <c r="S19" s="80"/>
      <c r="T19" s="80"/>
      <c r="U19" s="80"/>
      <c r="V19" s="80"/>
      <c r="W19" s="80"/>
      <c r="X19" s="80"/>
    </row>
    <row r="20" customFormat="false" ht="30" hidden="false" customHeight="true" outlineLevel="0" collapsed="false">
      <c r="A20" s="23" t="s">
        <v>348</v>
      </c>
      <c r="B20" s="23" t="s">
        <v>349</v>
      </c>
      <c r="C20" s="23"/>
      <c r="D20" s="23" t="s">
        <v>350</v>
      </c>
      <c r="E20" s="23"/>
      <c r="F20" s="23" t="s">
        <v>351</v>
      </c>
      <c r="G20" s="23"/>
      <c r="H20" s="23" t="s">
        <v>352</v>
      </c>
      <c r="I20" s="23"/>
      <c r="J20" s="23" t="s">
        <v>353</v>
      </c>
      <c r="K20" s="23"/>
      <c r="L20" s="23" t="s">
        <v>288</v>
      </c>
      <c r="M20" s="23"/>
      <c r="N20" s="23" t="s">
        <v>354</v>
      </c>
      <c r="O20" s="23"/>
      <c r="P20" s="23" t="s">
        <v>355</v>
      </c>
      <c r="Q20" s="23"/>
      <c r="R20" s="23"/>
      <c r="S20" s="23"/>
      <c r="T20" s="23"/>
      <c r="U20" s="23"/>
      <c r="V20" s="23"/>
      <c r="W20" s="23"/>
      <c r="X20" s="23"/>
    </row>
    <row r="21" customFormat="false" ht="15" hidden="false" customHeight="true" outlineLevel="0" collapsed="false">
      <c r="A21" s="24" t="s">
        <v>356</v>
      </c>
      <c r="B21" s="65" t="s">
        <v>357</v>
      </c>
      <c r="C21" s="65"/>
      <c r="D21" s="122" t="n">
        <f aca="false">Master_Tracker!$C$16</f>
        <v>0.145414298427945</v>
      </c>
      <c r="E21" s="122"/>
      <c r="F21" s="123" t="n">
        <f aca="false">Master_Tracker!$H$16</f>
        <v>0.138690269040216</v>
      </c>
      <c r="G21" s="123"/>
      <c r="H21" s="122" t="n">
        <f aca="false">$F21-$D21</f>
        <v>-0.00672402938772965</v>
      </c>
      <c r="I21" s="122"/>
      <c r="J21" s="124" t="n">
        <f aca="false">Master_Tracker!$H$15</f>
        <v>0.953759503292164</v>
      </c>
      <c r="K21" s="124"/>
      <c r="L21" s="125" t="str">
        <f aca="false">IF($J21&gt;=0.98,"Green",IF($J21&gt;=0.9,"Amber","Red"))</f>
        <v>Amber</v>
      </c>
      <c r="M21" s="125"/>
      <c r="N21" s="126" t="s">
        <v>128</v>
      </c>
      <c r="O21" s="126"/>
      <c r="P21" s="55" t="s">
        <v>358</v>
      </c>
      <c r="Q21" s="55"/>
      <c r="R21" s="55"/>
      <c r="S21" s="55"/>
      <c r="T21" s="55"/>
      <c r="U21" s="55"/>
      <c r="V21" s="55"/>
      <c r="W21" s="55"/>
      <c r="X21" s="55"/>
    </row>
    <row r="22" customFormat="false" ht="15" hidden="false" customHeight="true" outlineLevel="0" collapsed="false">
      <c r="A22" s="127" t="s">
        <v>356</v>
      </c>
      <c r="B22" s="128" t="s">
        <v>359</v>
      </c>
      <c r="C22" s="128"/>
      <c r="D22" s="129" t="n">
        <f aca="false">Dashboard!$H$7</f>
        <v>5</v>
      </c>
      <c r="E22" s="129"/>
      <c r="F22" s="130" t="n">
        <f aca="false">Cumulative_Trend!$D$35</f>
        <v>4.85186002889021</v>
      </c>
      <c r="G22" s="130"/>
      <c r="H22" s="129" t="n">
        <f aca="false">$F22-$D22</f>
        <v>-0.14813997110979</v>
      </c>
      <c r="I22" s="129"/>
      <c r="J22" s="131" t="n">
        <f aca="false">Cumulative_Trend!$D$36</f>
        <v>0.970372005778042</v>
      </c>
      <c r="K22" s="131"/>
      <c r="L22" s="132" t="str">
        <f aca="false">IF($J22&gt;=0.98,"Green",IF($J22&gt;=0.9,"Amber","Red"))</f>
        <v>Amber</v>
      </c>
      <c r="M22" s="132"/>
      <c r="N22" s="133" t="s">
        <v>167</v>
      </c>
      <c r="O22" s="133"/>
      <c r="P22" s="134" t="s">
        <v>360</v>
      </c>
      <c r="Q22" s="134"/>
      <c r="R22" s="134"/>
      <c r="S22" s="134"/>
      <c r="T22" s="134"/>
      <c r="U22" s="134"/>
      <c r="V22" s="134"/>
      <c r="W22" s="134"/>
      <c r="X22" s="134"/>
    </row>
    <row r="23" customFormat="false" ht="15" hidden="false" customHeight="true" outlineLevel="0" collapsed="false">
      <c r="A23" s="24" t="s">
        <v>361</v>
      </c>
      <c r="B23" s="65" t="s">
        <v>362</v>
      </c>
      <c r="C23" s="65"/>
      <c r="D23" s="25" t="n">
        <f aca="false">0</f>
        <v>0</v>
      </c>
      <c r="E23" s="25"/>
      <c r="F23" s="135" t="n">
        <f aca="false">Master_Tracker!$C$15</f>
        <v>-2440980.48100001</v>
      </c>
      <c r="G23" s="135"/>
      <c r="H23" s="25" t="n">
        <f aca="false">$F23-$D23</f>
        <v>-2440980.48100001</v>
      </c>
      <c r="I23" s="25"/>
      <c r="J23" s="124" t="n">
        <f aca="false">Master_Tracker!$M$15</f>
        <v>0.980125459095592</v>
      </c>
      <c r="K23" s="124"/>
      <c r="L23" s="125" t="str">
        <f aca="false">IF($J23&gt;=0.98,"Green",IF($J23&gt;=0.9,"Amber","Red"))</f>
        <v>Green</v>
      </c>
      <c r="M23" s="125"/>
      <c r="N23" s="126" t="s">
        <v>128</v>
      </c>
      <c r="O23" s="126"/>
      <c r="P23" s="55" t="s">
        <v>363</v>
      </c>
      <c r="Q23" s="55"/>
      <c r="R23" s="55"/>
      <c r="S23" s="55"/>
      <c r="T23" s="55"/>
      <c r="U23" s="55"/>
      <c r="V23" s="55"/>
      <c r="W23" s="55"/>
      <c r="X23" s="55"/>
    </row>
    <row r="24" customFormat="false" ht="15" hidden="false" customHeight="true" outlineLevel="0" collapsed="false">
      <c r="A24" s="127" t="s">
        <v>361</v>
      </c>
      <c r="B24" s="128" t="s">
        <v>364</v>
      </c>
      <c r="C24" s="128"/>
      <c r="D24" s="136" t="n">
        <f aca="false">Master_Tracker!$C$13</f>
        <v>867966335</v>
      </c>
      <c r="E24" s="136"/>
      <c r="F24" s="137" t="n">
        <f aca="false">Cost_Financials!$F$32</f>
        <v>885566563.897762</v>
      </c>
      <c r="G24" s="137"/>
      <c r="H24" s="136" t="n">
        <f aca="false">$F24-$D24</f>
        <v>17600228.8977621</v>
      </c>
      <c r="I24" s="136"/>
      <c r="J24" s="131" t="n">
        <f aca="false">IF(Cost_Financials!$F$32=0,1,Master_Tracker!$C$13/Cost_Financials!$F$32)</f>
        <v>0.980125459095592</v>
      </c>
      <c r="K24" s="131"/>
      <c r="L24" s="132" t="str">
        <f aca="false">IF($J24&gt;=0.98,"Green",IF($J24&gt;=0.9,"Amber","Red"))</f>
        <v>Green</v>
      </c>
      <c r="M24" s="132"/>
      <c r="N24" s="133" t="s">
        <v>131</v>
      </c>
      <c r="O24" s="133"/>
      <c r="P24" s="134" t="s">
        <v>365</v>
      </c>
      <c r="Q24" s="134"/>
      <c r="R24" s="134"/>
      <c r="S24" s="134"/>
      <c r="T24" s="134"/>
      <c r="U24" s="134"/>
      <c r="V24" s="134"/>
      <c r="W24" s="134"/>
      <c r="X24" s="134"/>
    </row>
    <row r="25" customFormat="false" ht="15" hidden="false" customHeight="true" outlineLevel="0" collapsed="false">
      <c r="A25" s="24" t="s">
        <v>366</v>
      </c>
      <c r="B25" s="65" t="s">
        <v>367</v>
      </c>
      <c r="C25" s="65"/>
      <c r="D25" s="25" t="n">
        <f aca="false">Master_Tracker!$H$13</f>
        <v>126214715.6631</v>
      </c>
      <c r="E25" s="25"/>
      <c r="F25" s="135" t="n">
        <f aca="false">Master_Tracker!$M$13</f>
        <v>120378484.519</v>
      </c>
      <c r="G25" s="135"/>
      <c r="H25" s="25" t="n">
        <f aca="false">$F25-$D25</f>
        <v>-5836231.1441</v>
      </c>
      <c r="I25" s="25"/>
      <c r="J25" s="124" t="n">
        <f aca="false">Master_Tracker!$H$15</f>
        <v>0.953759503292164</v>
      </c>
      <c r="K25" s="124"/>
      <c r="L25" s="125" t="str">
        <f aca="false">IF($J25&gt;=0.98,"Green",IF($J25&gt;=0.9,"Amber","Red"))</f>
        <v>Amber</v>
      </c>
      <c r="M25" s="125"/>
      <c r="N25" s="126" t="s">
        <v>128</v>
      </c>
      <c r="O25" s="126"/>
      <c r="P25" s="55" t="s">
        <v>368</v>
      </c>
      <c r="Q25" s="55"/>
      <c r="R25" s="55"/>
      <c r="S25" s="55"/>
      <c r="T25" s="55"/>
      <c r="U25" s="55"/>
      <c r="V25" s="55"/>
      <c r="W25" s="55"/>
      <c r="X25" s="55"/>
    </row>
    <row r="26" customFormat="false" ht="15" hidden="false" customHeight="true" outlineLevel="0" collapsed="false">
      <c r="A26" s="127" t="s">
        <v>369</v>
      </c>
      <c r="B26" s="128" t="s">
        <v>370</v>
      </c>
      <c r="C26" s="128"/>
      <c r="D26" s="136" t="n">
        <f aca="false">Master_Tracker!$C$11</f>
        <v>977373423</v>
      </c>
      <c r="E26" s="136"/>
      <c r="F26" s="137" t="n">
        <f aca="false">Master_Tracker!$C$12</f>
        <v>991228356</v>
      </c>
      <c r="G26" s="137"/>
      <c r="H26" s="136" t="n">
        <f aca="false">$F26-$D26</f>
        <v>13854933</v>
      </c>
      <c r="I26" s="136"/>
      <c r="J26" s="131" t="n">
        <f aca="false">IF(Master_Tracker!$C$12=0,1,Master_Tracker!$C$11/Master_Tracker!$C$12)</f>
        <v>0.98602246100393</v>
      </c>
      <c r="K26" s="131"/>
      <c r="L26" s="132" t="str">
        <f aca="false">IF($J26&gt;=0.98,"Green",IF($J26&gt;=0.9,"Amber","Red"))</f>
        <v>Green</v>
      </c>
      <c r="M26" s="132"/>
      <c r="N26" s="133" t="s">
        <v>122</v>
      </c>
      <c r="O26" s="133"/>
      <c r="P26" s="134" t="s">
        <v>371</v>
      </c>
      <c r="Q26" s="134"/>
      <c r="R26" s="134"/>
      <c r="S26" s="134"/>
      <c r="T26" s="134"/>
      <c r="U26" s="134"/>
      <c r="V26" s="134"/>
      <c r="W26" s="134"/>
      <c r="X26" s="134"/>
    </row>
    <row r="27" customFormat="false" ht="15" hidden="false" customHeight="true" outlineLevel="0" collapsed="false">
      <c r="A27" s="24" t="s">
        <v>372</v>
      </c>
      <c r="B27" s="65" t="s">
        <v>373</v>
      </c>
      <c r="C27" s="65"/>
      <c r="D27" s="25" t="n">
        <f aca="false">Master_Tracker!$C$13</f>
        <v>867966335</v>
      </c>
      <c r="E27" s="25"/>
      <c r="F27" s="135" t="n">
        <f aca="false">Cost_Financials!$F$32</f>
        <v>885566563.897762</v>
      </c>
      <c r="G27" s="135"/>
      <c r="H27" s="25" t="n">
        <f aca="false">$F27-$D27</f>
        <v>17600228.8977621</v>
      </c>
      <c r="I27" s="25"/>
      <c r="J27" s="124" t="n">
        <f aca="false">IF(Cost_Financials!$F$32=0,1,Master_Tracker!$C$13/Cost_Financials!$F$32)</f>
        <v>0.980125459095592</v>
      </c>
      <c r="K27" s="124"/>
      <c r="L27" s="125" t="str">
        <f aca="false">IF($J27&gt;=0.98,"Green",IF($J27&gt;=0.9,"Amber","Red"))</f>
        <v>Green</v>
      </c>
      <c r="M27" s="125"/>
      <c r="N27" s="126" t="s">
        <v>131</v>
      </c>
      <c r="O27" s="126"/>
      <c r="P27" s="55" t="s">
        <v>374</v>
      </c>
      <c r="Q27" s="55"/>
      <c r="R27" s="55"/>
      <c r="S27" s="55"/>
      <c r="T27" s="55"/>
      <c r="U27" s="55"/>
      <c r="V27" s="55"/>
      <c r="W27" s="55"/>
      <c r="X27" s="55"/>
    </row>
    <row r="28" customFormat="false" ht="15" hidden="false" customHeight="true" outlineLevel="0" collapsed="false">
      <c r="A28" s="127" t="s">
        <v>375</v>
      </c>
      <c r="B28" s="128" t="s">
        <v>376</v>
      </c>
      <c r="C28" s="128"/>
      <c r="D28" s="136" t="n">
        <f aca="false">Master_Tracker!$H$11</f>
        <v>13854933</v>
      </c>
      <c r="E28" s="136"/>
      <c r="F28" s="137" t="n">
        <f aca="false">Master_Tracker!$M$11</f>
        <v>17447154</v>
      </c>
      <c r="G28" s="137"/>
      <c r="H28" s="136" t="n">
        <f aca="false">$F28-$D28</f>
        <v>3592221</v>
      </c>
      <c r="I28" s="136"/>
      <c r="J28" s="131" t="n">
        <f aca="false">IF(Master_Tracker!$C$11=0,0,Master_Tracker!$M$11/Master_Tracker!$C$11)</f>
        <v>0.0178510624388034</v>
      </c>
      <c r="K28" s="131"/>
      <c r="L28" s="132" t="str">
        <f aca="false">IF($F28&lt;=$D28,"Green",IF($F28&lt;=$D28*2+1,"Amber","Red"))</f>
        <v>Amber</v>
      </c>
      <c r="M28" s="132"/>
      <c r="N28" s="133" t="s">
        <v>137</v>
      </c>
      <c r="O28" s="133"/>
      <c r="P28" s="134" t="s">
        <v>377</v>
      </c>
      <c r="Q28" s="134"/>
      <c r="R28" s="134"/>
      <c r="S28" s="134"/>
      <c r="T28" s="134"/>
      <c r="U28" s="134"/>
      <c r="V28" s="134"/>
      <c r="W28" s="134"/>
      <c r="X28" s="134"/>
    </row>
    <row r="29" customFormat="false" ht="15" hidden="false" customHeight="true" outlineLevel="0" collapsed="false">
      <c r="A29" s="24" t="s">
        <v>378</v>
      </c>
      <c r="B29" s="65" t="s">
        <v>379</v>
      </c>
      <c r="C29" s="65"/>
      <c r="D29" s="25" t="n">
        <f aca="false">0</f>
        <v>0</v>
      </c>
      <c r="E29" s="25"/>
      <c r="F29" s="135" t="n">
        <f aca="false">Change_Log!$D$36</f>
        <v>8</v>
      </c>
      <c r="G29" s="135"/>
      <c r="H29" s="25" t="n">
        <f aca="false">$F29-$D29</f>
        <v>8</v>
      </c>
      <c r="I29" s="25"/>
      <c r="J29" s="124" t="n">
        <f aca="false">IF((Change_Log!$D$36+Change_Log!$D$37+Change_Log!$D$38)=0,1,(Change_Log!$D$37+Change_Log!$D$38)/(Change_Log!$D$36+Change_Log!$D$37+Change_Log!$D$38))</f>
        <v>0.666666666666667</v>
      </c>
      <c r="K29" s="124"/>
      <c r="L29" s="125" t="str">
        <f aca="false">IF($F29&lt;=$D29,"Green",IF($F29&lt;=$D29+5,"Amber","Red"))</f>
        <v>Red</v>
      </c>
      <c r="M29" s="125"/>
      <c r="N29" s="126" t="s">
        <v>134</v>
      </c>
      <c r="O29" s="126"/>
      <c r="P29" s="55" t="s">
        <v>380</v>
      </c>
      <c r="Q29" s="55"/>
      <c r="R29" s="55"/>
      <c r="S29" s="55"/>
      <c r="T29" s="55"/>
      <c r="U29" s="55"/>
      <c r="V29" s="55"/>
      <c r="W29" s="55"/>
      <c r="X29" s="55"/>
    </row>
    <row r="30" customFormat="false" ht="15" hidden="false" customHeight="true" outlineLevel="0" collapsed="false">
      <c r="A30" s="127" t="s">
        <v>381</v>
      </c>
      <c r="B30" s="128" t="s">
        <v>382</v>
      </c>
      <c r="C30" s="128"/>
      <c r="D30" s="138" t="n">
        <f aca="false">0.95</f>
        <v>0.95</v>
      </c>
      <c r="E30" s="138"/>
      <c r="F30" s="139" t="n">
        <f aca="false">Procurement_Register!$D$46</f>
        <v>0.75</v>
      </c>
      <c r="G30" s="139"/>
      <c r="H30" s="138" t="n">
        <f aca="false">$F30-$D30</f>
        <v>-0.2</v>
      </c>
      <c r="I30" s="138"/>
      <c r="J30" s="131" t="n">
        <f aca="false">Procurement_Register!$I$46</f>
        <v>0.671875</v>
      </c>
      <c r="K30" s="131"/>
      <c r="L30" s="132" t="str">
        <f aca="false">IF($J30&gt;=0.98,"Green",IF($J30&gt;=0.9,"Amber","Red"))</f>
        <v>Red</v>
      </c>
      <c r="M30" s="132"/>
      <c r="N30" s="133" t="s">
        <v>140</v>
      </c>
      <c r="O30" s="133"/>
      <c r="P30" s="134" t="s">
        <v>383</v>
      </c>
      <c r="Q30" s="134"/>
      <c r="R30" s="134"/>
      <c r="S30" s="134"/>
      <c r="T30" s="134"/>
      <c r="U30" s="134"/>
      <c r="V30" s="134"/>
      <c r="W30" s="134"/>
      <c r="X30" s="134"/>
    </row>
    <row r="31" customFormat="false" ht="15" hidden="false" customHeight="true" outlineLevel="0" collapsed="false">
      <c r="A31" s="24" t="s">
        <v>384</v>
      </c>
      <c r="B31" s="65" t="s">
        <v>385</v>
      </c>
      <c r="C31" s="65"/>
      <c r="D31" s="122" t="n">
        <f aca="false">1</f>
        <v>1</v>
      </c>
      <c r="E31" s="122"/>
      <c r="F31" s="123" t="n">
        <f aca="false">Manpower_Register!$Q$60</f>
        <v>1</v>
      </c>
      <c r="G31" s="123"/>
      <c r="H31" s="122" t="n">
        <f aca="false">$F31-$D31</f>
        <v>0</v>
      </c>
      <c r="I31" s="122"/>
      <c r="J31" s="124" t="n">
        <f aca="false">Manpower_Register!$Q$60</f>
        <v>1</v>
      </c>
      <c r="K31" s="124"/>
      <c r="L31" s="125" t="str">
        <f aca="false">IF($J31&gt;=0.98,"Green",IF($J31&gt;=0.9,"Amber","Red"))</f>
        <v>Green</v>
      </c>
      <c r="M31" s="125"/>
      <c r="N31" s="126" t="s">
        <v>143</v>
      </c>
      <c r="O31" s="126"/>
      <c r="P31" s="55" t="s">
        <v>386</v>
      </c>
      <c r="Q31" s="55"/>
      <c r="R31" s="55"/>
      <c r="S31" s="55"/>
      <c r="T31" s="55"/>
      <c r="U31" s="55"/>
      <c r="V31" s="55"/>
      <c r="W31" s="55"/>
      <c r="X31" s="55"/>
    </row>
    <row r="32" customFormat="false" ht="15" hidden="false" customHeight="true" outlineLevel="0" collapsed="false">
      <c r="A32" s="127" t="s">
        <v>387</v>
      </c>
      <c r="B32" s="128" t="s">
        <v>62</v>
      </c>
      <c r="C32" s="128"/>
      <c r="D32" s="138" t="n">
        <f aca="false">0.9</f>
        <v>0.9</v>
      </c>
      <c r="E32" s="138"/>
      <c r="F32" s="139" t="n">
        <f aca="false">Equipment_Register!$D$44</f>
        <v>0.961039135036643</v>
      </c>
      <c r="G32" s="139"/>
      <c r="H32" s="138" t="n">
        <f aca="false">$F32-$D32</f>
        <v>0.061039135036643</v>
      </c>
      <c r="I32" s="138"/>
      <c r="J32" s="131" t="n">
        <f aca="false">IF(Equipment_Register!$D$44=0,0,Equipment_Register!$D$44/0.9)</f>
        <v>1.06782126115183</v>
      </c>
      <c r="K32" s="131"/>
      <c r="L32" s="132" t="str">
        <f aca="false">IF($J32&gt;=0.98,"Green",IF($J32&gt;=0.9,"Amber","Red"))</f>
        <v>Green</v>
      </c>
      <c r="M32" s="132"/>
      <c r="N32" s="133" t="s">
        <v>146</v>
      </c>
      <c r="O32" s="133"/>
      <c r="P32" s="134" t="s">
        <v>388</v>
      </c>
      <c r="Q32" s="134"/>
      <c r="R32" s="134"/>
      <c r="S32" s="134"/>
      <c r="T32" s="134"/>
      <c r="U32" s="134"/>
      <c r="V32" s="134"/>
      <c r="W32" s="134"/>
      <c r="X32" s="134"/>
    </row>
    <row r="33" customFormat="false" ht="15" hidden="false" customHeight="true" outlineLevel="0" collapsed="false">
      <c r="A33" s="24" t="s">
        <v>389</v>
      </c>
      <c r="B33" s="65" t="s">
        <v>390</v>
      </c>
      <c r="C33" s="65"/>
      <c r="D33" s="122" t="n">
        <f aca="false">0.9</f>
        <v>0.9</v>
      </c>
      <c r="E33" s="122"/>
      <c r="F33" s="123" t="n">
        <f aca="false">Quality_Register!$D$20</f>
        <v>0.835365853658537</v>
      </c>
      <c r="G33" s="123"/>
      <c r="H33" s="122" t="n">
        <f aca="false">$F33-$D33</f>
        <v>-0.0646341463414635</v>
      </c>
      <c r="I33" s="122"/>
      <c r="J33" s="124" t="n">
        <f aca="false">Quality_Register!$I$23</f>
        <v>0.86362062997577</v>
      </c>
      <c r="K33" s="124"/>
      <c r="L33" s="125" t="str">
        <f aca="false">IF($J33&gt;=0.98,"Green",IF($J33&gt;=0.9,"Amber","Red"))</f>
        <v>Red</v>
      </c>
      <c r="M33" s="125"/>
      <c r="N33" s="126" t="s">
        <v>149</v>
      </c>
      <c r="O33" s="126"/>
      <c r="P33" s="55" t="s">
        <v>391</v>
      </c>
      <c r="Q33" s="55"/>
      <c r="R33" s="55"/>
      <c r="S33" s="55"/>
      <c r="T33" s="55"/>
      <c r="U33" s="55"/>
      <c r="V33" s="55"/>
      <c r="W33" s="55"/>
      <c r="X33" s="55"/>
    </row>
    <row r="34" customFormat="false" ht="15" hidden="false" customHeight="true" outlineLevel="0" collapsed="false">
      <c r="A34" s="127" t="s">
        <v>389</v>
      </c>
      <c r="B34" s="128" t="s">
        <v>47</v>
      </c>
      <c r="C34" s="128"/>
      <c r="D34" s="136" t="n">
        <f aca="false">0</f>
        <v>0</v>
      </c>
      <c r="E34" s="136"/>
      <c r="F34" s="137" t="n">
        <f aca="false">Quality_Register!$I$21</f>
        <v>16</v>
      </c>
      <c r="G34" s="137"/>
      <c r="H34" s="136" t="n">
        <f aca="false">$F34-$D34</f>
        <v>16</v>
      </c>
      <c r="I34" s="136"/>
      <c r="J34" s="131" t="n">
        <f aca="false">Quality_Register!$D$22</f>
        <v>0.333333333333333</v>
      </c>
      <c r="K34" s="131"/>
      <c r="L34" s="132" t="str">
        <f aca="false">IF($F34&lt;=$D34,"Green",IF($F34&lt;=$D34+5,"Amber","Red"))</f>
        <v>Red</v>
      </c>
      <c r="M34" s="132"/>
      <c r="N34" s="133" t="s">
        <v>149</v>
      </c>
      <c r="O34" s="133"/>
      <c r="P34" s="134" t="s">
        <v>392</v>
      </c>
      <c r="Q34" s="134"/>
      <c r="R34" s="134"/>
      <c r="S34" s="134"/>
      <c r="T34" s="134"/>
      <c r="U34" s="134"/>
      <c r="V34" s="134"/>
      <c r="W34" s="134"/>
      <c r="X34" s="134"/>
    </row>
    <row r="35" customFormat="false" ht="15" hidden="false" customHeight="true" outlineLevel="0" collapsed="false">
      <c r="A35" s="24" t="s">
        <v>393</v>
      </c>
      <c r="B35" s="65" t="s">
        <v>394</v>
      </c>
      <c r="C35" s="65"/>
      <c r="D35" s="124" t="n">
        <f aca="false">1</f>
        <v>1</v>
      </c>
      <c r="E35" s="124"/>
      <c r="F35" s="140" t="n">
        <f aca="false">HSE_Register!$D$21</f>
        <v>1.37905355554483</v>
      </c>
      <c r="G35" s="140"/>
      <c r="H35" s="124" t="n">
        <f aca="false">$D35-$F35</f>
        <v>-0.37905355554483</v>
      </c>
      <c r="I35" s="124"/>
      <c r="J35" s="124" t="n">
        <f aca="false">HSE_Register!$I$23</f>
        <v>0.8789</v>
      </c>
      <c r="K35" s="124"/>
      <c r="L35" s="125" t="str">
        <f aca="false">IF($F35&lt;=$D35,"Green",IF($F35&lt;=$D35*2,"Amber","Red"))</f>
        <v>Amber</v>
      </c>
      <c r="M35" s="125"/>
      <c r="N35" s="126" t="s">
        <v>152</v>
      </c>
      <c r="O35" s="126"/>
      <c r="P35" s="55" t="s">
        <v>395</v>
      </c>
      <c r="Q35" s="55"/>
      <c r="R35" s="55"/>
      <c r="S35" s="55"/>
      <c r="T35" s="55"/>
      <c r="U35" s="55"/>
      <c r="V35" s="55"/>
      <c r="W35" s="55"/>
      <c r="X35" s="55"/>
    </row>
    <row r="36" customFormat="false" ht="15" hidden="false" customHeight="true" outlineLevel="0" collapsed="false">
      <c r="A36" s="127" t="s">
        <v>396</v>
      </c>
      <c r="B36" s="128" t="s">
        <v>397</v>
      </c>
      <c r="C36" s="128"/>
      <c r="D36" s="136" t="n">
        <f aca="false">0</f>
        <v>0</v>
      </c>
      <c r="E36" s="136"/>
      <c r="F36" s="137" t="n">
        <f aca="false">Risk_Register!$D$44</f>
        <v>54829977.3</v>
      </c>
      <c r="G36" s="137"/>
      <c r="H36" s="136" t="n">
        <f aca="false">$F36-$D36</f>
        <v>54829977.3</v>
      </c>
      <c r="I36" s="136"/>
      <c r="J36" s="131" t="n">
        <f aca="false">IF(Master_Tracker!$C$13=0,0,Risk_Register!$D$44/Master_Tracker!$C$13)</f>
        <v>0.0631706266580028</v>
      </c>
      <c r="K36" s="131"/>
      <c r="L36" s="132" t="str">
        <f aca="false">IF($F36&lt;=$D36,"Green",IF($F36&lt;=$D36*2+1,"Amber","Red"))</f>
        <v>Red</v>
      </c>
      <c r="M36" s="132"/>
      <c r="N36" s="133" t="s">
        <v>155</v>
      </c>
      <c r="O36" s="133"/>
      <c r="P36" s="134" t="s">
        <v>398</v>
      </c>
      <c r="Q36" s="134"/>
      <c r="R36" s="134"/>
      <c r="S36" s="134"/>
      <c r="T36" s="134"/>
      <c r="U36" s="134"/>
      <c r="V36" s="134"/>
      <c r="W36" s="134"/>
      <c r="X36" s="134"/>
    </row>
    <row r="37" customFormat="false" ht="15" hidden="false" customHeight="true" outlineLevel="0" collapsed="false">
      <c r="A37" s="24" t="s">
        <v>399</v>
      </c>
      <c r="B37" s="65" t="s">
        <v>60</v>
      </c>
      <c r="C37" s="65"/>
      <c r="D37" s="25" t="n">
        <f aca="false">0</f>
        <v>0</v>
      </c>
      <c r="E37" s="25"/>
      <c r="F37" s="135" t="n">
        <f aca="false">Issues_Register!$D$44</f>
        <v>24</v>
      </c>
      <c r="G37" s="135"/>
      <c r="H37" s="25" t="n">
        <f aca="false">$F37-$D37</f>
        <v>24</v>
      </c>
      <c r="I37" s="25"/>
      <c r="J37" s="124" t="n">
        <f aca="false">IF(Issues_Register!$D$43=0,1,1-Issues_Register!$D$44/Issues_Register!$D$43)</f>
        <v>0</v>
      </c>
      <c r="K37" s="124"/>
      <c r="L37" s="125" t="str">
        <f aca="false">IF($F37&lt;=$D37,"Green",IF($F37&lt;=$D37+5,"Amber","Red"))</f>
        <v>Red</v>
      </c>
      <c r="M37" s="125"/>
      <c r="N37" s="126" t="s">
        <v>158</v>
      </c>
      <c r="O37" s="126"/>
      <c r="P37" s="55" t="s">
        <v>400</v>
      </c>
      <c r="Q37" s="55"/>
      <c r="R37" s="55"/>
      <c r="S37" s="55"/>
      <c r="T37" s="55"/>
      <c r="U37" s="55"/>
      <c r="V37" s="55"/>
      <c r="W37" s="55"/>
      <c r="X37" s="55"/>
    </row>
    <row r="38" customFormat="false" ht="15" hidden="false" customHeight="true" outlineLevel="0" collapsed="false">
      <c r="A38" s="127" t="s">
        <v>401</v>
      </c>
      <c r="B38" s="128" t="s">
        <v>402</v>
      </c>
      <c r="C38" s="128"/>
      <c r="D38" s="131" t="n">
        <f aca="false">1</f>
        <v>1</v>
      </c>
      <c r="E38" s="131"/>
      <c r="F38" s="141" t="n">
        <f aca="false">Performance_Indices!$D$30</f>
        <v>0.919056683260814</v>
      </c>
      <c r="G38" s="141"/>
      <c r="H38" s="131" t="n">
        <f aca="false">$F38-$D38</f>
        <v>-0.0809433167391864</v>
      </c>
      <c r="I38" s="131"/>
      <c r="J38" s="131" t="n">
        <f aca="false">Performance_Indices!$D$30</f>
        <v>0.919056683260814</v>
      </c>
      <c r="K38" s="131"/>
      <c r="L38" s="132" t="str">
        <f aca="false">IF($J38&gt;=0.98,"Green",IF($J38&gt;=0.9,"Amber","Red"))</f>
        <v>Amber</v>
      </c>
      <c r="M38" s="132"/>
      <c r="N38" s="133" t="s">
        <v>161</v>
      </c>
      <c r="O38" s="133"/>
      <c r="P38" s="134" t="s">
        <v>403</v>
      </c>
      <c r="Q38" s="134"/>
      <c r="R38" s="134"/>
      <c r="S38" s="134"/>
      <c r="T38" s="134"/>
      <c r="U38" s="134"/>
      <c r="V38" s="134"/>
      <c r="W38" s="134"/>
      <c r="X38" s="134"/>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c r="U39" s="5"/>
      <c r="V39" s="5"/>
      <c r="W39" s="5"/>
      <c r="X39" s="5"/>
    </row>
    <row r="40" customFormat="false" ht="19.5" hidden="false" customHeight="true" outlineLevel="0" collapsed="false">
      <c r="A40" s="13" t="s">
        <v>404</v>
      </c>
      <c r="B40" s="13"/>
      <c r="C40" s="13"/>
      <c r="D40" s="13"/>
      <c r="E40" s="13"/>
      <c r="F40" s="13"/>
      <c r="G40" s="13"/>
      <c r="H40" s="13"/>
      <c r="I40" s="13"/>
      <c r="J40" s="13"/>
      <c r="K40" s="13"/>
      <c r="L40" s="13"/>
      <c r="M40" s="13"/>
      <c r="N40" s="13"/>
      <c r="O40" s="13"/>
      <c r="P40" s="13"/>
      <c r="Q40" s="13"/>
      <c r="R40" s="13"/>
      <c r="S40" s="13"/>
      <c r="T40" s="13"/>
      <c r="U40" s="13"/>
      <c r="V40" s="13"/>
      <c r="W40" s="13"/>
      <c r="X40" s="13"/>
    </row>
    <row r="41" customFormat="false" ht="13.5" hidden="false" customHeight="true" outlineLevel="0" collapsed="false">
      <c r="A41" s="80" t="s">
        <v>405</v>
      </c>
      <c r="B41" s="80"/>
      <c r="C41" s="80"/>
      <c r="D41" s="80"/>
      <c r="E41" s="80"/>
      <c r="F41" s="80"/>
      <c r="G41" s="80"/>
      <c r="H41" s="80"/>
      <c r="I41" s="80"/>
      <c r="J41" s="80"/>
      <c r="K41" s="80"/>
      <c r="L41" s="80"/>
      <c r="M41" s="80"/>
      <c r="N41" s="80"/>
      <c r="O41" s="80"/>
      <c r="P41" s="80"/>
      <c r="Q41" s="80"/>
      <c r="R41" s="80"/>
      <c r="S41" s="80"/>
      <c r="T41" s="80"/>
      <c r="U41" s="80"/>
      <c r="V41" s="80"/>
      <c r="W41" s="80"/>
      <c r="X41" s="80"/>
    </row>
    <row r="42" customFormat="false" ht="31.5" hidden="false" customHeight="true" outlineLevel="0" collapsed="false">
      <c r="A42" s="23" t="s">
        <v>5</v>
      </c>
      <c r="B42" s="23"/>
      <c r="C42" s="23" t="s">
        <v>122</v>
      </c>
      <c r="D42" s="23" t="s">
        <v>29</v>
      </c>
      <c r="E42" s="23"/>
      <c r="F42" s="23" t="s">
        <v>30</v>
      </c>
      <c r="G42" s="23"/>
      <c r="H42" s="23" t="s">
        <v>406</v>
      </c>
      <c r="I42" s="23"/>
      <c r="J42" s="23" t="s">
        <v>407</v>
      </c>
      <c r="K42" s="23"/>
      <c r="L42" s="23" t="s">
        <v>275</v>
      </c>
      <c r="M42" s="23"/>
      <c r="N42" s="23" t="s">
        <v>32</v>
      </c>
      <c r="O42" s="23" t="s">
        <v>33</v>
      </c>
      <c r="P42" s="23" t="s">
        <v>279</v>
      </c>
      <c r="Q42" s="23"/>
      <c r="R42" s="23" t="s">
        <v>408</v>
      </c>
      <c r="S42" s="23"/>
      <c r="T42" s="23" t="s">
        <v>409</v>
      </c>
      <c r="U42" s="23" t="s">
        <v>410</v>
      </c>
      <c r="V42" s="23" t="s">
        <v>288</v>
      </c>
      <c r="W42" s="23" t="s">
        <v>289</v>
      </c>
      <c r="X42" s="23"/>
    </row>
    <row r="43" customFormat="false" ht="15.75" hidden="false" customHeight="true" outlineLevel="0" collapsed="false">
      <c r="A43" s="24" t="s">
        <v>6</v>
      </c>
      <c r="B43" s="24"/>
      <c r="C43" s="142" t="n">
        <f aca="false">COUNTIF(Projects!$C$9:$C$16,$A43)</f>
        <v>2</v>
      </c>
      <c r="D43" s="25" t="n">
        <f aca="false">SUMIF(Projects!$C$9:$C$16,$A43,Projects!$Q$9:$Q$16)</f>
        <v>151246431</v>
      </c>
      <c r="E43" s="25"/>
      <c r="F43" s="25" t="n">
        <f aca="false">SUMIF(Projects!$C$9:$C$16,$A43,Projects!$R$9:$R$16)</f>
        <v>131285430</v>
      </c>
      <c r="G43" s="25"/>
      <c r="H43" s="25" t="n">
        <f aca="false">SUMIF(Projects!$C$9:$C$16,$A43,Projects!$S$9:$S$16)</f>
        <v>18840067.7185</v>
      </c>
      <c r="I43" s="25"/>
      <c r="J43" s="25" t="n">
        <f aca="false">SUMIF(Projects!$C$9:$C$16,$A43,Projects!$T$9:$T$16)</f>
        <v>16243282.771</v>
      </c>
      <c r="K43" s="25"/>
      <c r="L43" s="25" t="n">
        <f aca="false">SUMIF(Projects!$C$9:$C$16,$A43,Projects!$U$9:$U$16)</f>
        <v>17570608</v>
      </c>
      <c r="M43" s="25"/>
      <c r="N43" s="26" t="n">
        <f aca="false">IF($H43&lt;=0,1,$J43/$H43)</f>
        <v>0.862166899487835</v>
      </c>
      <c r="O43" s="26" t="n">
        <f aca="false">IF($L43&lt;=0,1,$J43/$L43)</f>
        <v>0.924457638062382</v>
      </c>
      <c r="P43" s="25" t="n">
        <f aca="false">SUMIF(Projects!$C$9:$C$16,$A43,Projects!$AA$9:$AA$16)</f>
        <v>143089925.290764</v>
      </c>
      <c r="Q43" s="25"/>
      <c r="R43" s="25" t="n">
        <f aca="false">$F43-$P43</f>
        <v>-11804495.2907636</v>
      </c>
      <c r="S43" s="25"/>
      <c r="T43" s="143" t="n">
        <f aca="false">IF($D43=0,0,($D43-$P43)/$D43)</f>
        <v>0.0539285830105729</v>
      </c>
      <c r="U43" s="122" t="n">
        <f aca="false">IF($F43=0,0,$J43/$F43)</f>
        <v>0.123724946256412</v>
      </c>
      <c r="V43" s="125" t="str">
        <f aca="false">IF(AND($N43&gt;=0.95,$O43&gt;=0.95),"Green",IF(OR($N43&lt;0.85,$O43&lt;0.85),"Red","Amber"))</f>
        <v>Amber</v>
      </c>
      <c r="W43" s="46" t="str">
        <f aca="false">IF(Dashboard!$C$6="Corporate","Yes",IF(AND(Dashboard!$C$6="Portfolio",Dashboard!$H$6=$A43),"Yes",IF(AND(Dashboard!$C$6="Project",INDEX(Projects!$C$9:$C$16,MATCH(Dashboard!$M$6,Projects!$A$9:$A$16,0))=$A43),"Yes","No")))</f>
        <v>Yes</v>
      </c>
      <c r="X43" s="46"/>
    </row>
    <row r="44" customFormat="false" ht="15.75" hidden="false" customHeight="true" outlineLevel="0" collapsed="false">
      <c r="A44" s="24" t="s">
        <v>369</v>
      </c>
      <c r="B44" s="24"/>
      <c r="C44" s="142" t="n">
        <f aca="false">COUNTIF(Projects!$C$9:$C$16,$A44)</f>
        <v>2</v>
      </c>
      <c r="D44" s="25" t="n">
        <f aca="false">SUMIF(Projects!$C$9:$C$16,$A44,Projects!$Q$9:$Q$16)</f>
        <v>339845840</v>
      </c>
      <c r="E44" s="25"/>
      <c r="F44" s="25" t="n">
        <f aca="false">SUMIF(Projects!$C$9:$C$16,$A44,Projects!$R$9:$R$16)</f>
        <v>300501675</v>
      </c>
      <c r="G44" s="25"/>
      <c r="H44" s="25" t="n">
        <f aca="false">SUMIF(Projects!$C$9:$C$16,$A44,Projects!$S$9:$S$16)</f>
        <v>51296042.6576</v>
      </c>
      <c r="I44" s="25"/>
      <c r="J44" s="25" t="n">
        <f aca="false">SUMIF(Projects!$C$9:$C$16,$A44,Projects!$T$9:$T$16)</f>
        <v>50493155.0078</v>
      </c>
      <c r="K44" s="25"/>
      <c r="L44" s="25" t="n">
        <f aca="false">SUMIF(Projects!$C$9:$C$16,$A44,Projects!$U$9:$U$16)</f>
        <v>50532503</v>
      </c>
      <c r="M44" s="25"/>
      <c r="N44" s="26" t="n">
        <f aca="false">IF($H44&lt;=0,1,$J44/$H44)</f>
        <v>0.984347961203182</v>
      </c>
      <c r="O44" s="26" t="n">
        <f aca="false">IF($L44&lt;=0,1,$J44/$L44)</f>
        <v>0.999221333006204</v>
      </c>
      <c r="P44" s="25" t="n">
        <f aca="false">SUMIF(Projects!$C$9:$C$16,$A44,Projects!$AA$9:$AA$16)</f>
        <v>300924618.3985</v>
      </c>
      <c r="Q44" s="25"/>
      <c r="R44" s="25" t="n">
        <f aca="false">$F44-$P44</f>
        <v>-422943.398499608</v>
      </c>
      <c r="S44" s="25"/>
      <c r="T44" s="143" t="n">
        <f aca="false">IF($D44=0,0,($D44-$P44)/$D44)</f>
        <v>0.114526108665919</v>
      </c>
      <c r="U44" s="122" t="n">
        <f aca="false">IF($F44=0,0,$J44/$F44)</f>
        <v>0.168029529312274</v>
      </c>
      <c r="V44" s="125" t="str">
        <f aca="false">IF(AND($N44&gt;=0.95,$O44&gt;=0.95),"Green",IF(OR($N44&lt;0.85,$O44&lt;0.85),"Red","Amber"))</f>
        <v>Green</v>
      </c>
      <c r="W44" s="46" t="str">
        <f aca="false">IF(Dashboard!$C$6="Corporate","Yes",IF(AND(Dashboard!$C$6="Portfolio",Dashboard!$H$6=$A44),"Yes",IF(AND(Dashboard!$C$6="Project",INDEX(Projects!$C$9:$C$16,MATCH(Dashboard!$M$6,Projects!$A$9:$A$16,0))=$A44),"Yes","No")))</f>
        <v>Yes</v>
      </c>
      <c r="X44" s="46"/>
    </row>
    <row r="45" customFormat="false" ht="15.75" hidden="false" customHeight="true" outlineLevel="0" collapsed="false">
      <c r="A45" s="24" t="s">
        <v>411</v>
      </c>
      <c r="B45" s="24"/>
      <c r="C45" s="142" t="n">
        <f aca="false">COUNTIF(Projects!$C$9:$C$16,$A45)</f>
        <v>2</v>
      </c>
      <c r="D45" s="25" t="n">
        <f aca="false">SUMIF(Projects!$C$9:$C$16,$A45,Projects!$Q$9:$Q$16)</f>
        <v>286029300</v>
      </c>
      <c r="E45" s="25"/>
      <c r="F45" s="25" t="n">
        <f aca="false">SUMIF(Projects!$C$9:$C$16,$A45,Projects!$R$9:$R$16)</f>
        <v>251643425</v>
      </c>
      <c r="G45" s="25"/>
      <c r="H45" s="25" t="n">
        <f aca="false">SUMIF(Projects!$C$9:$C$16,$A45,Projects!$S$9:$S$16)</f>
        <v>25799776.3268</v>
      </c>
      <c r="I45" s="25"/>
      <c r="J45" s="25" t="n">
        <f aca="false">SUMIF(Projects!$C$9:$C$16,$A45,Projects!$T$9:$T$16)</f>
        <v>23783449.3744</v>
      </c>
      <c r="K45" s="25"/>
      <c r="L45" s="25" t="n">
        <f aca="false">SUMIF(Projects!$C$9:$C$16,$A45,Projects!$U$9:$U$16)</f>
        <v>25351026</v>
      </c>
      <c r="M45" s="25"/>
      <c r="N45" s="26" t="n">
        <f aca="false">IF($H45&lt;=0,1,$J45/$H45)</f>
        <v>0.921847114995896</v>
      </c>
      <c r="O45" s="26" t="n">
        <f aca="false">IF($L45&lt;=0,1,$J45/$L45)</f>
        <v>0.938165160431771</v>
      </c>
      <c r="P45" s="25" t="n">
        <f aca="false">SUMIF(Projects!$C$9:$C$16,$A45,Projects!$AA$9:$AA$16)</f>
        <v>269792566.549354</v>
      </c>
      <c r="Q45" s="25"/>
      <c r="R45" s="25" t="n">
        <f aca="false">$F45-$P45</f>
        <v>-18149141.5493537</v>
      </c>
      <c r="S45" s="25"/>
      <c r="T45" s="143" t="n">
        <f aca="false">IF($D45=0,0,($D45-$P45)/$D45)</f>
        <v>0.0567659797462929</v>
      </c>
      <c r="U45" s="122" t="n">
        <f aca="false">IF($F45=0,0,$J45/$F45)</f>
        <v>0.0945125006719329</v>
      </c>
      <c r="V45" s="125" t="str">
        <f aca="false">IF(AND($N45&gt;=0.95,$O45&gt;=0.95),"Green",IF(OR($N45&lt;0.85,$O45&lt;0.85),"Red","Amber"))</f>
        <v>Amber</v>
      </c>
      <c r="W45" s="46" t="str">
        <f aca="false">IF(Dashboard!$C$6="Corporate","Yes",IF(AND(Dashboard!$C$6="Portfolio",Dashboard!$H$6=$A45),"Yes",IF(AND(Dashboard!$C$6="Project",INDEX(Projects!$C$9:$C$16,MATCH(Dashboard!$M$6,Projects!$A$9:$A$16,0))=$A45),"Yes","No")))</f>
        <v>Yes</v>
      </c>
      <c r="X45" s="46"/>
    </row>
    <row r="46" customFormat="false" ht="15.75" hidden="false" customHeight="true" outlineLevel="0" collapsed="false">
      <c r="A46" s="24" t="s">
        <v>412</v>
      </c>
      <c r="B46" s="24"/>
      <c r="C46" s="142" t="n">
        <f aca="false">COUNTIF(Projects!$C$9:$C$16,$A46)</f>
        <v>2</v>
      </c>
      <c r="D46" s="25" t="n">
        <f aca="false">SUMIF(Projects!$C$9:$C$16,$A46,Projects!$Q$9:$Q$16)</f>
        <v>214106785</v>
      </c>
      <c r="E46" s="25"/>
      <c r="F46" s="25" t="n">
        <f aca="false">SUMIF(Projects!$C$9:$C$16,$A46,Projects!$R$9:$R$16)</f>
        <v>184535805</v>
      </c>
      <c r="G46" s="25"/>
      <c r="H46" s="25" t="n">
        <f aca="false">SUMIF(Projects!$C$9:$C$16,$A46,Projects!$S$9:$S$16)</f>
        <v>30278828.9602</v>
      </c>
      <c r="I46" s="25"/>
      <c r="J46" s="25" t="n">
        <f aca="false">SUMIF(Projects!$C$9:$C$16,$A46,Projects!$T$9:$T$16)</f>
        <v>29858597.3658</v>
      </c>
      <c r="K46" s="25"/>
      <c r="L46" s="25" t="n">
        <f aca="false">SUMIF(Projects!$C$9:$C$16,$A46,Projects!$U$9:$U$16)</f>
        <v>29365328</v>
      </c>
      <c r="M46" s="25"/>
      <c r="N46" s="26" t="n">
        <f aca="false">IF($H46&lt;=0,1,$J46/$H46)</f>
        <v>0.986121273218579</v>
      </c>
      <c r="O46" s="26" t="n">
        <f aca="false">IF($L46&lt;=0,1,$J46/$L46)</f>
        <v>1.01679767941976</v>
      </c>
      <c r="P46" s="25" t="n">
        <f aca="false">SUMIF(Projects!$C$9:$C$16,$A46,Projects!$AA$9:$AA$16)</f>
        <v>181878648.147824</v>
      </c>
      <c r="Q46" s="25"/>
      <c r="R46" s="25" t="n">
        <f aca="false">$F46-$P46</f>
        <v>2657156.85217598</v>
      </c>
      <c r="S46" s="25"/>
      <c r="T46" s="143" t="n">
        <f aca="false">IF($D46=0,0,($D46-$P46)/$D46)</f>
        <v>0.150523659734445</v>
      </c>
      <c r="U46" s="122" t="n">
        <f aca="false">IF($F46=0,0,$J46/$F46)</f>
        <v>0.161803815610743</v>
      </c>
      <c r="V46" s="125" t="str">
        <f aca="false">IF(AND($N46&gt;=0.95,$O46&gt;=0.95),"Green",IF(OR($N46&lt;0.85,$O46&lt;0.85),"Red","Amber"))</f>
        <v>Green</v>
      </c>
      <c r="W46" s="46" t="str">
        <f aca="false">IF(Dashboard!$C$6="Corporate","Yes",IF(AND(Dashboard!$C$6="Portfolio",Dashboard!$H$6=$A46),"Yes",IF(AND(Dashboard!$C$6="Project",INDEX(Projects!$C$9:$C$16,MATCH(Dashboard!$M$6,Projects!$A$9:$A$16,0))=$A46),"Yes","No")))</f>
        <v>Yes</v>
      </c>
      <c r="X46" s="46"/>
    </row>
    <row r="47" customFormat="false" ht="18" hidden="false" customHeight="true" outlineLevel="0" collapsed="false">
      <c r="A47" s="27" t="s">
        <v>34</v>
      </c>
      <c r="B47" s="27"/>
      <c r="C47" s="144" t="n">
        <f aca="false">SUM($C$43:$C$46)</f>
        <v>8</v>
      </c>
      <c r="D47" s="28" t="n">
        <f aca="false">SUM($D$43:$D$46)</f>
        <v>991228356</v>
      </c>
      <c r="E47" s="28"/>
      <c r="F47" s="28" t="n">
        <f aca="false">SUM($F$43:$F$46)</f>
        <v>867966335</v>
      </c>
      <c r="G47" s="28"/>
      <c r="H47" s="28" t="n">
        <f aca="false">SUM($H$43:$H$46)</f>
        <v>126214715.6631</v>
      </c>
      <c r="I47" s="28"/>
      <c r="J47" s="28" t="n">
        <f aca="false">SUM($J$43:$J$46)</f>
        <v>120378484.519</v>
      </c>
      <c r="K47" s="28"/>
      <c r="L47" s="28" t="n">
        <f aca="false">SUM($L$43:$L$46)</f>
        <v>122819465</v>
      </c>
      <c r="M47" s="28"/>
      <c r="N47" s="29" t="n">
        <f aca="false">IF($H47&lt;=0,1,$J47/$H47)</f>
        <v>0.953759503292164</v>
      </c>
      <c r="O47" s="29" t="n">
        <f aca="false">IF($L47&lt;=0,1,$J47/$L47)</f>
        <v>0.980125459095592</v>
      </c>
      <c r="P47" s="28" t="n">
        <f aca="false">SUM($P$43:$P$46)</f>
        <v>895685758.386441</v>
      </c>
      <c r="Q47" s="28"/>
      <c r="R47" s="28" t="n">
        <f aca="false">SUM($R$43:$R$46)</f>
        <v>-27719423.3864409</v>
      </c>
      <c r="S47" s="28"/>
      <c r="T47" s="104" t="n">
        <f aca="false">IF($D47=0,0,($D47-$P47)/$D47)</f>
        <v>0.0963880795330668</v>
      </c>
      <c r="U47" s="104" t="n">
        <f aca="false">IF($F47=0,0,$J47/$F47)</f>
        <v>0.138690269040216</v>
      </c>
      <c r="V47" s="145" t="str">
        <f aca="false">IF(AND($N47&gt;=0.95,$O47&gt;=0.95),"Green",IF(OR($N47&lt;0.85,$O47&lt;0.85),"Red","Amber"))</f>
        <v>Green</v>
      </c>
      <c r="W47" s="105"/>
      <c r="X47" s="105"/>
    </row>
    <row r="48" customFormat="false" ht="15" hidden="false" customHeight="true" outlineLevel="0" collapsed="false">
      <c r="A48" s="5"/>
      <c r="B48" s="5"/>
      <c r="C48" s="5"/>
      <c r="D48" s="5"/>
      <c r="E48" s="5"/>
      <c r="F48" s="5"/>
      <c r="G48" s="5"/>
      <c r="H48" s="5"/>
      <c r="I48" s="5"/>
      <c r="J48" s="5"/>
      <c r="K48" s="5"/>
      <c r="L48" s="5"/>
      <c r="M48" s="5"/>
      <c r="N48" s="5"/>
      <c r="O48" s="5"/>
      <c r="P48" s="5"/>
      <c r="Q48" s="5"/>
      <c r="R48" s="5"/>
      <c r="S48" s="5"/>
      <c r="T48" s="5"/>
      <c r="U48" s="5"/>
      <c r="V48" s="5"/>
      <c r="W48" s="5"/>
      <c r="X48" s="5"/>
    </row>
    <row r="49" customFormat="false" ht="19.5" hidden="false" customHeight="true" outlineLevel="0" collapsed="false">
      <c r="A49" s="13" t="s">
        <v>413</v>
      </c>
      <c r="B49" s="13"/>
      <c r="C49" s="13"/>
      <c r="D49" s="13"/>
      <c r="E49" s="13"/>
      <c r="F49" s="13"/>
      <c r="G49" s="13"/>
      <c r="H49" s="13"/>
      <c r="I49" s="13"/>
      <c r="J49" s="13"/>
      <c r="K49" s="13"/>
      <c r="L49" s="13"/>
      <c r="M49" s="13"/>
      <c r="N49" s="13"/>
      <c r="O49" s="13"/>
      <c r="P49" s="13"/>
      <c r="Q49" s="13"/>
      <c r="R49" s="13"/>
      <c r="S49" s="13"/>
      <c r="T49" s="13"/>
      <c r="U49" s="13"/>
      <c r="V49" s="13"/>
      <c r="W49" s="13"/>
      <c r="X49" s="13"/>
    </row>
    <row r="50" customFormat="false" ht="15" hidden="false" customHeight="true" outlineLevel="0" collapsed="false">
      <c r="A50" s="5"/>
      <c r="B50" s="5"/>
      <c r="C50" s="5"/>
      <c r="D50" s="5"/>
      <c r="E50" s="5"/>
      <c r="F50" s="5"/>
      <c r="G50" s="5"/>
      <c r="H50" s="5"/>
      <c r="I50" s="5"/>
      <c r="J50" s="5"/>
      <c r="K50" s="5"/>
      <c r="L50" s="5"/>
      <c r="M50" s="5"/>
      <c r="N50" s="5"/>
      <c r="O50" s="5"/>
      <c r="P50" s="5"/>
      <c r="Q50" s="5"/>
      <c r="R50" s="5"/>
      <c r="S50" s="5"/>
      <c r="T50" s="5"/>
      <c r="U50" s="5"/>
      <c r="V50" s="5"/>
      <c r="W50" s="5"/>
      <c r="X50" s="5"/>
    </row>
    <row r="51" customFormat="false" ht="31.5" hidden="false" customHeight="true" outlineLevel="0" collapsed="false">
      <c r="A51" s="23" t="s">
        <v>414</v>
      </c>
      <c r="B51" s="23" t="s">
        <v>257</v>
      </c>
      <c r="C51" s="23"/>
      <c r="D51" s="23"/>
      <c r="E51" s="23" t="s">
        <v>5</v>
      </c>
      <c r="F51" s="23"/>
      <c r="G51" s="23" t="s">
        <v>29</v>
      </c>
      <c r="H51" s="23"/>
      <c r="I51" s="23" t="s">
        <v>30</v>
      </c>
      <c r="J51" s="23"/>
      <c r="K51" s="23" t="s">
        <v>407</v>
      </c>
      <c r="L51" s="23"/>
      <c r="M51" s="23" t="s">
        <v>275</v>
      </c>
      <c r="N51" s="23"/>
      <c r="O51" s="23" t="s">
        <v>32</v>
      </c>
      <c r="P51" s="23" t="s">
        <v>33</v>
      </c>
      <c r="Q51" s="23" t="s">
        <v>279</v>
      </c>
      <c r="R51" s="23"/>
      <c r="S51" s="23" t="s">
        <v>408</v>
      </c>
      <c r="T51" s="23"/>
      <c r="U51" s="23" t="s">
        <v>415</v>
      </c>
      <c r="V51" s="23" t="s">
        <v>416</v>
      </c>
      <c r="W51" s="23" t="s">
        <v>78</v>
      </c>
      <c r="X51" s="23" t="s">
        <v>288</v>
      </c>
    </row>
    <row r="52" customFormat="false" ht="15" hidden="false" customHeight="true" outlineLevel="0" collapsed="false">
      <c r="A52" s="42" t="str">
        <f aca="false">Projects!$A$9</f>
        <v>RES-01</v>
      </c>
      <c r="B52" s="30" t="str">
        <f aca="false">Projects!$B$9</f>
        <v>Tazayud Riyadh Residences — Towers B &amp; C</v>
      </c>
      <c r="C52" s="30"/>
      <c r="D52" s="30"/>
      <c r="E52" s="30" t="str">
        <f aca="false">Projects!$C$9</f>
        <v>Residential</v>
      </c>
      <c r="F52" s="30"/>
      <c r="G52" s="31" t="n">
        <f aca="false">Projects!$Q$9</f>
        <v>99754591</v>
      </c>
      <c r="H52" s="31"/>
      <c r="I52" s="31" t="n">
        <f aca="false">Projects!$R$9</f>
        <v>87767785</v>
      </c>
      <c r="J52" s="31"/>
      <c r="K52" s="31" t="n">
        <f aca="false">Projects!$T$9</f>
        <v>13022068.497</v>
      </c>
      <c r="L52" s="31"/>
      <c r="M52" s="31" t="n">
        <f aca="false">Projects!$U$9</f>
        <v>13927161</v>
      </c>
      <c r="N52" s="31"/>
      <c r="O52" s="32" t="n">
        <f aca="false">Projects!$Y$9</f>
        <v>0.884912601556118</v>
      </c>
      <c r="P52" s="32" t="n">
        <f aca="false">Projects!$Z$9</f>
        <v>0.935012419042187</v>
      </c>
      <c r="Q52" s="31" t="n">
        <f aca="false">Projects!$AA$9</f>
        <v>93868041.9773548</v>
      </c>
      <c r="R52" s="31"/>
      <c r="S52" s="31" t="n">
        <f aca="false">Projects!$AB$9</f>
        <v>-6100256.97735477</v>
      </c>
      <c r="T52" s="31"/>
      <c r="U52" s="90" t="n">
        <f aca="false">Projects!$AC$9</f>
        <v>0.0590103068303416</v>
      </c>
      <c r="V52" s="87" t="n">
        <f aca="false">Projects!$X$9</f>
        <v>0.148369569734499</v>
      </c>
      <c r="W52" s="43" t="n">
        <f aca="false">Projects!$AJ$9</f>
        <v>1641657</v>
      </c>
      <c r="X52" s="46" t="str">
        <f aca="false">Projects!$AK$9</f>
        <v>At Risk</v>
      </c>
    </row>
    <row r="53" customFormat="false" ht="15" hidden="false" customHeight="true" outlineLevel="0" collapsed="false">
      <c r="A53" s="47" t="str">
        <f aca="false">Projects!$A$10</f>
        <v>RES-02</v>
      </c>
      <c r="B53" s="37" t="str">
        <f aca="false">Projects!$B$10</f>
        <v>Tazayud Buraydah Residential Compound — Phase 2 (180 Villas)</v>
      </c>
      <c r="C53" s="37"/>
      <c r="D53" s="37"/>
      <c r="E53" s="37" t="str">
        <f aca="false">Projects!$C$10</f>
        <v>Residential</v>
      </c>
      <c r="F53" s="37"/>
      <c r="G53" s="49" t="n">
        <f aca="false">Projects!$Q$10</f>
        <v>51491840</v>
      </c>
      <c r="H53" s="49"/>
      <c r="I53" s="49" t="n">
        <f aca="false">Projects!$R$10</f>
        <v>43517645</v>
      </c>
      <c r="J53" s="49"/>
      <c r="K53" s="49" t="n">
        <f aca="false">Projects!$T$10</f>
        <v>3221214.274</v>
      </c>
      <c r="L53" s="49"/>
      <c r="M53" s="49" t="n">
        <f aca="false">Projects!$U$10</f>
        <v>3643447</v>
      </c>
      <c r="N53" s="49"/>
      <c r="O53" s="41" t="n">
        <f aca="false">Projects!$Y$10</f>
        <v>0.781011612412379</v>
      </c>
      <c r="P53" s="41" t="n">
        <f aca="false">Projects!$Z$10</f>
        <v>0.884111741984994</v>
      </c>
      <c r="Q53" s="49" t="n">
        <f aca="false">Projects!$AA$10</f>
        <v>49221883.3134088</v>
      </c>
      <c r="R53" s="49"/>
      <c r="S53" s="49" t="n">
        <f aca="false">Projects!$AB$10</f>
        <v>-5704238.31340884</v>
      </c>
      <c r="T53" s="49"/>
      <c r="U53" s="40" t="n">
        <f aca="false">Projects!$AC$10</f>
        <v>0.0440838137963444</v>
      </c>
      <c r="V53" s="100" t="n">
        <f aca="false">Projects!$X$10</f>
        <v>0.0740208776003389</v>
      </c>
      <c r="W53" s="48" t="n">
        <f aca="false">Projects!$AJ$10</f>
        <v>485197</v>
      </c>
      <c r="X53" s="52" t="str">
        <f aca="false">Projects!$AK$10</f>
        <v>At Risk</v>
      </c>
    </row>
    <row r="54" customFormat="false" ht="15" hidden="false" customHeight="true" outlineLevel="0" collapsed="false">
      <c r="A54" s="42" t="str">
        <f aca="false">Projects!$A$11</f>
        <v>COM-01</v>
      </c>
      <c r="B54" s="30" t="str">
        <f aca="false">Projects!$B$11</f>
        <v>Tazayud Business Park — Tower A Shell, Core &amp; MEP</v>
      </c>
      <c r="C54" s="30"/>
      <c r="D54" s="30"/>
      <c r="E54" s="30" t="str">
        <f aca="false">Projects!$C$11</f>
        <v>Commercial</v>
      </c>
      <c r="F54" s="30"/>
      <c r="G54" s="31" t="n">
        <f aca="false">Projects!$Q$11</f>
        <v>214334480</v>
      </c>
      <c r="H54" s="31"/>
      <c r="I54" s="31" t="n">
        <f aca="false">Projects!$R$11</f>
        <v>190683416</v>
      </c>
      <c r="J54" s="31"/>
      <c r="K54" s="31" t="n">
        <f aca="false">Projects!$T$11</f>
        <v>30525137.9216</v>
      </c>
      <c r="L54" s="31"/>
      <c r="M54" s="31" t="n">
        <f aca="false">Projects!$U$11</f>
        <v>30801610</v>
      </c>
      <c r="N54" s="31"/>
      <c r="O54" s="32" t="n">
        <f aca="false">Projects!$Y$11</f>
        <v>0.954773237245202</v>
      </c>
      <c r="P54" s="32" t="n">
        <f aca="false">Projects!$Z$11</f>
        <v>0.991024103012797</v>
      </c>
      <c r="Q54" s="31" t="n">
        <f aca="false">Projects!$AA$11</f>
        <v>192410472.581147</v>
      </c>
      <c r="R54" s="31"/>
      <c r="S54" s="31" t="n">
        <f aca="false">Projects!$AB$11</f>
        <v>-1727056.58114743</v>
      </c>
      <c r="T54" s="31"/>
      <c r="U54" s="90" t="n">
        <f aca="false">Projects!$AC$11</f>
        <v>0.102288756428049</v>
      </c>
      <c r="V54" s="87" t="n">
        <f aca="false">Projects!$X$11</f>
        <v>0.160082814551634</v>
      </c>
      <c r="W54" s="43" t="n">
        <f aca="false">Projects!$AJ$11</f>
        <v>3527293</v>
      </c>
      <c r="X54" s="46" t="str">
        <f aca="false">Projects!$AK$11</f>
        <v>Watch</v>
      </c>
    </row>
    <row r="55" customFormat="false" ht="15" hidden="false" customHeight="true" outlineLevel="0" collapsed="false">
      <c r="A55" s="47" t="str">
        <f aca="false">Projects!$A$12</f>
        <v>COM-02</v>
      </c>
      <c r="B55" s="37" t="str">
        <f aca="false">Projects!$B$12</f>
        <v>Tazayud Commercial Offices — Block B</v>
      </c>
      <c r="C55" s="37"/>
      <c r="D55" s="37"/>
      <c r="E55" s="37" t="str">
        <f aca="false">Projects!$C$12</f>
        <v>Commercial</v>
      </c>
      <c r="F55" s="37"/>
      <c r="G55" s="49" t="n">
        <f aca="false">Projects!$Q$12</f>
        <v>125511360</v>
      </c>
      <c r="H55" s="49"/>
      <c r="I55" s="49" t="n">
        <f aca="false">Projects!$R$12</f>
        <v>109818259</v>
      </c>
      <c r="J55" s="49"/>
      <c r="K55" s="49" t="n">
        <f aca="false">Projects!$T$12</f>
        <v>19968017.0862</v>
      </c>
      <c r="L55" s="49"/>
      <c r="M55" s="49" t="n">
        <f aca="false">Projects!$U$12</f>
        <v>19730893</v>
      </c>
      <c r="N55" s="49"/>
      <c r="O55" s="41" t="n">
        <f aca="false">Projects!$Y$12</f>
        <v>1.03327620009755</v>
      </c>
      <c r="P55" s="41" t="n">
        <f aca="false">Projects!$Z$12</f>
        <v>1.01201790948844</v>
      </c>
      <c r="Q55" s="49" t="n">
        <f aca="false">Projects!$AA$12</f>
        <v>108514145.817352</v>
      </c>
      <c r="R55" s="49"/>
      <c r="S55" s="49" t="n">
        <f aca="false">Projects!$AB$12</f>
        <v>1304113.18264779</v>
      </c>
      <c r="T55" s="49"/>
      <c r="U55" s="40" t="n">
        <f aca="false">Projects!$AC$12</f>
        <v>0.135423711309062</v>
      </c>
      <c r="V55" s="100" t="n">
        <f aca="false">Projects!$X$12</f>
        <v>0.181827842364538</v>
      </c>
      <c r="W55" s="48" t="n">
        <f aca="false">Projects!$AJ$12</f>
        <v>2196088</v>
      </c>
      <c r="X55" s="52" t="str">
        <f aca="false">Projects!$AK$12</f>
        <v>On Track</v>
      </c>
    </row>
    <row r="56" customFormat="false" ht="15" hidden="false" customHeight="true" outlineLevel="0" collapsed="false">
      <c r="A56" s="42" t="str">
        <f aca="false">Projects!$A$13</f>
        <v>MXU-01</v>
      </c>
      <c r="B56" s="30" t="str">
        <f aca="false">Projects!$B$13</f>
        <v>Tazayud Mixed-Use District — Podium, Retail &amp; Residences</v>
      </c>
      <c r="C56" s="30"/>
      <c r="D56" s="30"/>
      <c r="E56" s="30" t="str">
        <f aca="false">Projects!$C$13</f>
        <v>Mixed Use</v>
      </c>
      <c r="F56" s="30"/>
      <c r="G56" s="31" t="n">
        <f aca="false">Projects!$Q$13</f>
        <v>189783810</v>
      </c>
      <c r="H56" s="31"/>
      <c r="I56" s="31" t="n">
        <f aca="false">Projects!$R$13</f>
        <v>167910327</v>
      </c>
      <c r="J56" s="31"/>
      <c r="K56" s="31" t="n">
        <f aca="false">Projects!$T$13</f>
        <v>12232528.0594</v>
      </c>
      <c r="L56" s="31"/>
      <c r="M56" s="31" t="n">
        <f aca="false">Projects!$U$13</f>
        <v>13280110</v>
      </c>
      <c r="N56" s="31"/>
      <c r="O56" s="32" t="n">
        <f aca="false">Projects!$Y$13</f>
        <v>0.87208396553562</v>
      </c>
      <c r="P56" s="32" t="n">
        <f aca="false">Projects!$Z$13</f>
        <v>0.921116471128628</v>
      </c>
      <c r="Q56" s="31" t="n">
        <f aca="false">Projects!$AA$13</f>
        <v>182290005.94709</v>
      </c>
      <c r="R56" s="31"/>
      <c r="S56" s="31" t="n">
        <f aca="false">Projects!$AB$13</f>
        <v>-14379678.9470899</v>
      </c>
      <c r="T56" s="31"/>
      <c r="U56" s="90" t="n">
        <f aca="false">Projects!$AC$13</f>
        <v>0.0394860027992384</v>
      </c>
      <c r="V56" s="87" t="n">
        <f aca="false">Projects!$X$13</f>
        <v>0.0728515528374857</v>
      </c>
      <c r="W56" s="43" t="n">
        <f aca="false">Projects!$AJ$13</f>
        <v>1556253</v>
      </c>
      <c r="X56" s="46" t="str">
        <f aca="false">Projects!$AK$13</f>
        <v>At Risk</v>
      </c>
    </row>
    <row r="57" customFormat="false" ht="15" hidden="false" customHeight="true" outlineLevel="0" collapsed="false">
      <c r="A57" s="47" t="str">
        <f aca="false">Projects!$A$14</f>
        <v>MXU-02</v>
      </c>
      <c r="B57" s="37" t="str">
        <f aca="false">Projects!$B$14</f>
        <v>Tazayud Boulevard — Hospitality, Retail &amp; Serviced Apartments</v>
      </c>
      <c r="C57" s="37"/>
      <c r="D57" s="37"/>
      <c r="E57" s="37" t="str">
        <f aca="false">Projects!$C$14</f>
        <v>Mixed Use</v>
      </c>
      <c r="F57" s="37"/>
      <c r="G57" s="49" t="n">
        <f aca="false">Projects!$Q$14</f>
        <v>96245490</v>
      </c>
      <c r="H57" s="49"/>
      <c r="I57" s="49" t="n">
        <f aca="false">Projects!$R$14</f>
        <v>83733098</v>
      </c>
      <c r="J57" s="49"/>
      <c r="K57" s="49" t="n">
        <f aca="false">Projects!$T$14</f>
        <v>11550921.315</v>
      </c>
      <c r="L57" s="49"/>
      <c r="M57" s="49" t="n">
        <f aca="false">Projects!$U$14</f>
        <v>12070916</v>
      </c>
      <c r="N57" s="49"/>
      <c r="O57" s="41" t="n">
        <f aca="false">Projects!$Y$14</f>
        <v>0.981136738196575</v>
      </c>
      <c r="P57" s="41" t="n">
        <f aca="false">Projects!$Z$14</f>
        <v>0.956921688047535</v>
      </c>
      <c r="Q57" s="49" t="n">
        <f aca="false">Projects!$AA$14</f>
        <v>87502560.6022638</v>
      </c>
      <c r="R57" s="49"/>
      <c r="S57" s="49" t="n">
        <f aca="false">Projects!$AB$14</f>
        <v>-3769462.60226378</v>
      </c>
      <c r="T57" s="49"/>
      <c r="U57" s="40" t="n">
        <f aca="false">Projects!$AC$14</f>
        <v>0.0908398866038941</v>
      </c>
      <c r="V57" s="100" t="n">
        <f aca="false">Projects!$X$14</f>
        <v>0.13794928876273</v>
      </c>
      <c r="W57" s="48" t="n">
        <f aca="false">Projects!$AJ$14</f>
        <v>1345495</v>
      </c>
      <c r="X57" s="52" t="str">
        <f aca="false">Projects!$AK$14</f>
        <v>On Track</v>
      </c>
    </row>
    <row r="58" customFormat="false" ht="15" hidden="false" customHeight="true" outlineLevel="0" collapsed="false">
      <c r="A58" s="42" t="str">
        <f aca="false">Projects!$A$15</f>
        <v>LND-01</v>
      </c>
      <c r="B58" s="30" t="str">
        <f aca="false">Projects!$B$15</f>
        <v>Tazayud Master Community — Infrastructure Works (Phases 04 &amp; 05)</v>
      </c>
      <c r="C58" s="30"/>
      <c r="D58" s="30"/>
      <c r="E58" s="30" t="str">
        <f aca="false">Projects!$C$15</f>
        <v>Land Development</v>
      </c>
      <c r="F58" s="30"/>
      <c r="G58" s="31" t="n">
        <f aca="false">Projects!$Q$15</f>
        <v>145266620</v>
      </c>
      <c r="H58" s="31"/>
      <c r="I58" s="31" t="n">
        <f aca="false">Projects!$R$15</f>
        <v>125671954</v>
      </c>
      <c r="J58" s="31"/>
      <c r="K58" s="31" t="n">
        <f aca="false">Projects!$T$15</f>
        <v>21243124.139</v>
      </c>
      <c r="L58" s="31"/>
      <c r="M58" s="31" t="n">
        <f aca="false">Projects!$U$15</f>
        <v>20465094</v>
      </c>
      <c r="N58" s="31"/>
      <c r="O58" s="32" t="n">
        <f aca="false">Projects!$Y$15</f>
        <v>1.0081743256066</v>
      </c>
      <c r="P58" s="32" t="n">
        <f aca="false">Projects!$Z$15</f>
        <v>1.03801742317919</v>
      </c>
      <c r="Q58" s="31" t="n">
        <f aca="false">Projects!$AA$15</f>
        <v>121069214.440638</v>
      </c>
      <c r="R58" s="31"/>
      <c r="S58" s="31" t="n">
        <f aca="false">Projects!$AB$15</f>
        <v>4602739.5593624</v>
      </c>
      <c r="T58" s="31"/>
      <c r="U58" s="90" t="n">
        <f aca="false">Projects!$AC$15</f>
        <v>0.166572372643918</v>
      </c>
      <c r="V58" s="87" t="n">
        <f aca="false">Projects!$X$15</f>
        <v>0.169036316082107</v>
      </c>
      <c r="W58" s="43" t="n">
        <f aca="false">Projects!$AJ$15</f>
        <v>2390646</v>
      </c>
      <c r="X58" s="46" t="str">
        <f aca="false">Projects!$AK$15</f>
        <v>On Track</v>
      </c>
    </row>
    <row r="59" customFormat="false" ht="15" hidden="false" customHeight="true" outlineLevel="0" collapsed="false">
      <c r="A59" s="47" t="str">
        <f aca="false">Projects!$A$16</f>
        <v>LND-02</v>
      </c>
      <c r="B59" s="37" t="str">
        <f aca="false">Projects!$B$16</f>
        <v>Tazayud Land Development — Utility &amp; Road Network</v>
      </c>
      <c r="C59" s="37"/>
      <c r="D59" s="37"/>
      <c r="E59" s="37" t="str">
        <f aca="false">Projects!$C$16</f>
        <v>Land Development</v>
      </c>
      <c r="F59" s="37"/>
      <c r="G59" s="49" t="n">
        <f aca="false">Projects!$Q$16</f>
        <v>68840165</v>
      </c>
      <c r="H59" s="49"/>
      <c r="I59" s="49" t="n">
        <f aca="false">Projects!$R$16</f>
        <v>58863851</v>
      </c>
      <c r="J59" s="49"/>
      <c r="K59" s="49" t="n">
        <f aca="false">Projects!$T$16</f>
        <v>8615473.2268</v>
      </c>
      <c r="L59" s="49"/>
      <c r="M59" s="49" t="n">
        <f aca="false">Projects!$U$16</f>
        <v>8900234</v>
      </c>
      <c r="N59" s="49"/>
      <c r="O59" s="41" t="n">
        <f aca="false">Projects!$Y$16</f>
        <v>0.935656451638777</v>
      </c>
      <c r="P59" s="41" t="n">
        <f aca="false">Projects!$Z$16</f>
        <v>0.968005248715933</v>
      </c>
      <c r="Q59" s="49" t="n">
        <f aca="false">Projects!$AA$16</f>
        <v>60809433.7071864</v>
      </c>
      <c r="R59" s="49"/>
      <c r="S59" s="49" t="n">
        <f aca="false">Projects!$AB$16</f>
        <v>-1945582.70718641</v>
      </c>
      <c r="T59" s="49"/>
      <c r="U59" s="40" t="n">
        <f aca="false">Projects!$AC$16</f>
        <v>0.116657641550011</v>
      </c>
      <c r="V59" s="100" t="n">
        <f aca="false">Projects!$X$16</f>
        <v>0.146362718042352</v>
      </c>
      <c r="W59" s="48" t="n">
        <f aca="false">Projects!$AJ$16</f>
        <v>1070671</v>
      </c>
      <c r="X59" s="52" t="str">
        <f aca="false">Projects!$AK$16</f>
        <v>Watch</v>
      </c>
    </row>
    <row r="60" customFormat="false" ht="18" hidden="false" customHeight="true" outlineLevel="0" collapsed="false">
      <c r="A60" s="27" t="s">
        <v>34</v>
      </c>
      <c r="B60" s="27"/>
      <c r="C60" s="27"/>
      <c r="D60" s="27"/>
      <c r="E60" s="27"/>
      <c r="F60" s="27"/>
      <c r="G60" s="28" t="n">
        <f aca="false">SUM($G$52:$G$59)</f>
        <v>991228356</v>
      </c>
      <c r="H60" s="28"/>
      <c r="I60" s="28" t="n">
        <f aca="false">SUM($I$52:$I$59)</f>
        <v>867966335</v>
      </c>
      <c r="J60" s="28"/>
      <c r="K60" s="28" t="n">
        <f aca="false">SUM($K$52:$K$59)</f>
        <v>120378484.519</v>
      </c>
      <c r="L60" s="28"/>
      <c r="M60" s="28" t="n">
        <f aca="false">SUM($M$52:$M$59)</f>
        <v>122819465</v>
      </c>
      <c r="N60" s="28"/>
      <c r="O60" s="29" t="n">
        <f aca="false">IF(Projects!$S$17&lt;=0,1,$K60/Projects!$S$17)</f>
        <v>0.953759503292164</v>
      </c>
      <c r="P60" s="29" t="n">
        <f aca="false">IF($M60&lt;=0,1,$K60/$M60)</f>
        <v>0.980125459095592</v>
      </c>
      <c r="Q60" s="28" t="n">
        <f aca="false">SUM($Q$52:$Q$59)</f>
        <v>895685758.386441</v>
      </c>
      <c r="R60" s="28"/>
      <c r="S60" s="28" t="n">
        <f aca="false">SUM($S$52:$S$59)</f>
        <v>-27719423.3864409</v>
      </c>
      <c r="T60" s="28"/>
      <c r="U60" s="104" t="n">
        <f aca="false">IF($G60=0,0,($G60-$Q60)/$G60)</f>
        <v>0.0963880795330668</v>
      </c>
      <c r="V60" s="104" t="n">
        <f aca="false">IF($I60=0,0,$K60/$I60)</f>
        <v>0.138690269040216</v>
      </c>
      <c r="W60" s="146" t="s">
        <v>417</v>
      </c>
      <c r="X60" s="145" t="str">
        <f aca="false">IF(AND($O60&gt;=0.95,$P60&gt;=0.95),"Green",IF(OR($O60&lt;0.85,$P60&lt;0.85),"Red","Amber"))</f>
        <v>Green</v>
      </c>
    </row>
    <row r="61" customFormat="false" ht="15" hidden="false" customHeight="true" outlineLevel="0" collapsed="false">
      <c r="A61" s="5"/>
      <c r="B61" s="5"/>
      <c r="C61" s="5"/>
      <c r="D61" s="5"/>
      <c r="E61" s="5"/>
      <c r="F61" s="5"/>
      <c r="G61" s="5"/>
      <c r="H61" s="5"/>
      <c r="I61" s="5"/>
      <c r="J61" s="5"/>
      <c r="K61" s="5"/>
      <c r="L61" s="5"/>
      <c r="M61" s="5"/>
      <c r="N61" s="5"/>
      <c r="O61" s="5"/>
      <c r="P61" s="5"/>
      <c r="Q61" s="5"/>
      <c r="R61" s="5"/>
      <c r="S61" s="5"/>
      <c r="T61" s="5"/>
      <c r="U61" s="5"/>
      <c r="V61" s="5"/>
      <c r="W61" s="5"/>
      <c r="X61" s="5"/>
    </row>
    <row r="62" customFormat="false" ht="19.5" hidden="false" customHeight="true" outlineLevel="0" collapsed="false">
      <c r="A62" s="13" t="s">
        <v>418</v>
      </c>
      <c r="B62" s="13"/>
      <c r="C62" s="13"/>
      <c r="D62" s="13"/>
      <c r="E62" s="13"/>
      <c r="F62" s="13"/>
      <c r="G62" s="13"/>
      <c r="H62" s="13"/>
      <c r="I62" s="13"/>
      <c r="J62" s="13"/>
      <c r="K62" s="13"/>
      <c r="L62" s="13"/>
      <c r="M62" s="13"/>
      <c r="N62" s="13"/>
      <c r="O62" s="13"/>
      <c r="P62" s="13"/>
      <c r="Q62" s="13"/>
      <c r="R62" s="13"/>
      <c r="S62" s="13"/>
      <c r="T62" s="13"/>
      <c r="U62" s="13"/>
      <c r="V62" s="13"/>
      <c r="W62" s="13"/>
      <c r="X62" s="13"/>
    </row>
    <row r="63" customFormat="false" ht="13.5" hidden="false" customHeight="true" outlineLevel="0" collapsed="false">
      <c r="A63" s="80" t="s">
        <v>419</v>
      </c>
      <c r="B63" s="80"/>
      <c r="C63" s="80"/>
      <c r="D63" s="80"/>
      <c r="E63" s="80"/>
      <c r="F63" s="80"/>
      <c r="G63" s="80"/>
      <c r="H63" s="80"/>
      <c r="I63" s="80"/>
      <c r="J63" s="80"/>
      <c r="K63" s="80"/>
      <c r="L63" s="80"/>
      <c r="M63" s="80"/>
      <c r="N63" s="80"/>
      <c r="O63" s="80"/>
      <c r="P63" s="80"/>
      <c r="Q63" s="80"/>
      <c r="R63" s="80"/>
      <c r="S63" s="80"/>
      <c r="T63" s="80"/>
      <c r="U63" s="80"/>
      <c r="V63" s="80"/>
      <c r="W63" s="80"/>
      <c r="X63" s="80"/>
    </row>
    <row r="64" customFormat="false" ht="25.5" hidden="false" customHeight="true" outlineLevel="0" collapsed="false">
      <c r="A64" s="23" t="s">
        <v>420</v>
      </c>
      <c r="B64" s="23" t="s">
        <v>421</v>
      </c>
      <c r="C64" s="23"/>
      <c r="D64" s="23"/>
      <c r="E64" s="23"/>
      <c r="F64" s="23"/>
      <c r="G64" s="23"/>
      <c r="H64" s="23"/>
      <c r="I64" s="23" t="s">
        <v>422</v>
      </c>
      <c r="J64" s="23"/>
      <c r="K64" s="23" t="s">
        <v>423</v>
      </c>
      <c r="L64" s="23"/>
      <c r="M64" s="23" t="s">
        <v>352</v>
      </c>
      <c r="N64" s="23" t="s">
        <v>424</v>
      </c>
      <c r="O64" s="23" t="s">
        <v>425</v>
      </c>
      <c r="P64" s="23"/>
      <c r="Q64" s="23" t="s">
        <v>426</v>
      </c>
      <c r="R64" s="23"/>
      <c r="S64" s="23"/>
      <c r="T64" s="23"/>
      <c r="U64" s="23"/>
      <c r="V64" s="23"/>
      <c r="W64" s="23"/>
      <c r="X64" s="23"/>
    </row>
    <row r="65" customFormat="false" ht="15" hidden="false" customHeight="true" outlineLevel="0" collapsed="false">
      <c r="A65" s="42" t="s">
        <v>427</v>
      </c>
      <c r="B65" s="30" t="s">
        <v>428</v>
      </c>
      <c r="C65" s="30"/>
      <c r="D65" s="30"/>
      <c r="E65" s="30"/>
      <c r="F65" s="30"/>
      <c r="G65" s="30"/>
      <c r="H65" s="30"/>
      <c r="I65" s="31" t="n">
        <f aca="false">SUM(WBS_Register!$L$9:$L$80)</f>
        <v>867966335</v>
      </c>
      <c r="J65" s="31"/>
      <c r="K65" s="31" t="n">
        <f aca="false">Projects!$R$17</f>
        <v>867966335</v>
      </c>
      <c r="L65" s="31"/>
      <c r="M65" s="31" t="n">
        <f aca="false">$I65-$K65</f>
        <v>0</v>
      </c>
      <c r="N65" s="147" t="n">
        <v>5</v>
      </c>
      <c r="O65" s="46" t="str">
        <f aca="false">IF(ABS($M65)&lt;=$N65,"OK","FAIL")</f>
        <v>OK</v>
      </c>
      <c r="P65" s="46"/>
      <c r="Q65" s="55" t="s">
        <v>429</v>
      </c>
      <c r="R65" s="55"/>
      <c r="S65" s="55"/>
      <c r="T65" s="55"/>
      <c r="U65" s="55"/>
      <c r="V65" s="55"/>
      <c r="W65" s="55"/>
      <c r="X65" s="55"/>
    </row>
    <row r="66" customFormat="false" ht="15" hidden="false" customHeight="true" outlineLevel="0" collapsed="false">
      <c r="A66" s="47" t="s">
        <v>430</v>
      </c>
      <c r="B66" s="37" t="s">
        <v>431</v>
      </c>
      <c r="C66" s="37"/>
      <c r="D66" s="37"/>
      <c r="E66" s="37"/>
      <c r="F66" s="37"/>
      <c r="G66" s="37"/>
      <c r="H66" s="37"/>
      <c r="I66" s="49" t="n">
        <f aca="false">SUM(WBS_Register!$R$9:$R$80)</f>
        <v>122819465</v>
      </c>
      <c r="J66" s="49"/>
      <c r="K66" s="49" t="n">
        <f aca="false">SUM(Cost_Financials!$H$70:$H$157)</f>
        <v>122819465</v>
      </c>
      <c r="L66" s="49"/>
      <c r="M66" s="49" t="n">
        <f aca="false">$I66-$K66</f>
        <v>0</v>
      </c>
      <c r="N66" s="148" t="n">
        <v>5</v>
      </c>
      <c r="O66" s="52" t="str">
        <f aca="false">IF(ABS($M66)&lt;=$N66,"OK","FAIL")</f>
        <v>OK</v>
      </c>
      <c r="P66" s="52"/>
      <c r="Q66" s="134" t="s">
        <v>432</v>
      </c>
      <c r="R66" s="134"/>
      <c r="S66" s="134"/>
      <c r="T66" s="134"/>
      <c r="U66" s="134"/>
      <c r="V66" s="134"/>
      <c r="W66" s="134"/>
      <c r="X66" s="134"/>
    </row>
    <row r="67" customFormat="false" ht="15" hidden="false" customHeight="true" outlineLevel="0" collapsed="false">
      <c r="A67" s="42" t="s">
        <v>433</v>
      </c>
      <c r="B67" s="30" t="s">
        <v>434</v>
      </c>
      <c r="C67" s="30"/>
      <c r="D67" s="30"/>
      <c r="E67" s="30"/>
      <c r="F67" s="30"/>
      <c r="G67" s="30"/>
      <c r="H67" s="30"/>
      <c r="I67" s="31" t="n">
        <f aca="false">SUM(WBS_Register!$S$9:$S$80)</f>
        <v>406983639</v>
      </c>
      <c r="J67" s="31"/>
      <c r="K67" s="31" t="n">
        <f aca="false">SUM(Cost_Financials!$I$70:$I$157)</f>
        <v>406983639</v>
      </c>
      <c r="L67" s="31"/>
      <c r="M67" s="31" t="n">
        <f aca="false">$I67-$K67</f>
        <v>0</v>
      </c>
      <c r="N67" s="147" t="n">
        <v>5</v>
      </c>
      <c r="O67" s="46" t="str">
        <f aca="false">IF(ABS($M67)&lt;=$N67,"OK","FAIL")</f>
        <v>OK</v>
      </c>
      <c r="P67" s="46"/>
      <c r="Q67" s="55" t="s">
        <v>435</v>
      </c>
      <c r="R67" s="55"/>
      <c r="S67" s="55"/>
      <c r="T67" s="55"/>
      <c r="U67" s="55"/>
      <c r="V67" s="55"/>
      <c r="W67" s="55"/>
      <c r="X67" s="55"/>
    </row>
    <row r="68" customFormat="false" ht="15" hidden="false" customHeight="true" outlineLevel="0" collapsed="false">
      <c r="A68" s="47" t="s">
        <v>436</v>
      </c>
      <c r="B68" s="37" t="s">
        <v>437</v>
      </c>
      <c r="C68" s="37"/>
      <c r="D68" s="37"/>
      <c r="E68" s="37"/>
      <c r="F68" s="37"/>
      <c r="G68" s="37"/>
      <c r="H68" s="37"/>
      <c r="I68" s="49" t="n">
        <f aca="false">SUMIFS(Monthly_Trend!$H$9:$H$200,Monthly_Trend!$D$9:$D$200,"&lt;="&amp;Dashboard!$H$7)</f>
        <v>126214716</v>
      </c>
      <c r="J68" s="49"/>
      <c r="K68" s="49" t="n">
        <f aca="false">SUM(WBS_Register!$P$9:$P$80)</f>
        <v>126214715.6631</v>
      </c>
      <c r="L68" s="49"/>
      <c r="M68" s="49" t="n">
        <f aca="false">$I68-$K68</f>
        <v>0.336899995803833</v>
      </c>
      <c r="N68" s="148" t="n">
        <v>2000</v>
      </c>
      <c r="O68" s="52" t="str">
        <f aca="false">IF(ABS($M68)&lt;=$N68,"OK","FAIL")</f>
        <v>OK</v>
      </c>
      <c r="P68" s="52"/>
      <c r="Q68" s="134" t="s">
        <v>438</v>
      </c>
      <c r="R68" s="134"/>
      <c r="S68" s="134"/>
      <c r="T68" s="134"/>
      <c r="U68" s="134"/>
      <c r="V68" s="134"/>
      <c r="W68" s="134"/>
      <c r="X68" s="134"/>
    </row>
    <row r="69" customFormat="false" ht="15" hidden="false" customHeight="true" outlineLevel="0" collapsed="false">
      <c r="A69" s="42" t="s">
        <v>439</v>
      </c>
      <c r="B69" s="30" t="s">
        <v>440</v>
      </c>
      <c r="C69" s="30"/>
      <c r="D69" s="30"/>
      <c r="E69" s="30"/>
      <c r="F69" s="30"/>
      <c r="G69" s="30"/>
      <c r="H69" s="30"/>
      <c r="I69" s="31" t="n">
        <f aca="false">SUMIFS(Monthly_Trend!$I$9:$I$200,Monthly_Trend!$D$9:$D$200,"&lt;="&amp;Dashboard!$H$7)</f>
        <v>120378483</v>
      </c>
      <c r="J69" s="31"/>
      <c r="K69" s="31" t="n">
        <f aca="false">SUM(WBS_Register!$Q$9:$Q$80)</f>
        <v>120378484.519</v>
      </c>
      <c r="L69" s="31"/>
      <c r="M69" s="31" t="n">
        <f aca="false">$I69-$K69</f>
        <v>-1.51899999380112</v>
      </c>
      <c r="N69" s="147" t="n">
        <v>2000</v>
      </c>
      <c r="O69" s="46" t="str">
        <f aca="false">IF(ABS($M69)&lt;=$N69,"OK","FAIL")</f>
        <v>OK</v>
      </c>
      <c r="P69" s="46"/>
      <c r="Q69" s="55" t="s">
        <v>441</v>
      </c>
      <c r="R69" s="55"/>
      <c r="S69" s="55"/>
      <c r="T69" s="55"/>
      <c r="U69" s="55"/>
      <c r="V69" s="55"/>
      <c r="W69" s="55"/>
      <c r="X69" s="55"/>
    </row>
    <row r="70" customFormat="false" ht="15" hidden="false" customHeight="true" outlineLevel="0" collapsed="false">
      <c r="A70" s="47" t="s">
        <v>442</v>
      </c>
      <c r="B70" s="37" t="s">
        <v>443</v>
      </c>
      <c r="C70" s="37"/>
      <c r="D70" s="37"/>
      <c r="E70" s="37"/>
      <c r="F70" s="37"/>
      <c r="G70" s="37"/>
      <c r="H70" s="37"/>
      <c r="I70" s="49" t="n">
        <f aca="false">SUMIFS(Monthly_Trend!$J$9:$J$200,Monthly_Trend!$D$9:$D$200,"&lt;="&amp;Dashboard!$H$7)</f>
        <v>122819465</v>
      </c>
      <c r="J70" s="49"/>
      <c r="K70" s="49" t="n">
        <f aca="false">SUM(WBS_Register!$R$9:$R$80)</f>
        <v>122819465</v>
      </c>
      <c r="L70" s="49"/>
      <c r="M70" s="49" t="n">
        <f aca="false">$I70-$K70</f>
        <v>0</v>
      </c>
      <c r="N70" s="148" t="n">
        <v>2000</v>
      </c>
      <c r="O70" s="52" t="str">
        <f aca="false">IF(ABS($M70)&lt;=$N70,"OK","FAIL")</f>
        <v>OK</v>
      </c>
      <c r="P70" s="52"/>
      <c r="Q70" s="134" t="s">
        <v>444</v>
      </c>
      <c r="R70" s="134"/>
      <c r="S70" s="134"/>
      <c r="T70" s="134"/>
      <c r="U70" s="134"/>
      <c r="V70" s="134"/>
      <c r="W70" s="134"/>
      <c r="X70" s="134"/>
    </row>
    <row r="71" customFormat="false" ht="15" hidden="false" customHeight="true" outlineLevel="0" collapsed="false">
      <c r="A71" s="42" t="s">
        <v>445</v>
      </c>
      <c r="B71" s="30" t="s">
        <v>446</v>
      </c>
      <c r="C71" s="30"/>
      <c r="D71" s="30"/>
      <c r="E71" s="30"/>
      <c r="F71" s="30"/>
      <c r="G71" s="30"/>
      <c r="H71" s="30"/>
      <c r="I71" s="31" t="n">
        <f aca="false">SUM(Monthly_Trend!$H$9:$H$200)</f>
        <v>867966335</v>
      </c>
      <c r="J71" s="31"/>
      <c r="K71" s="31" t="n">
        <f aca="false">Projects!$R$17</f>
        <v>867966335</v>
      </c>
      <c r="L71" s="31"/>
      <c r="M71" s="31" t="n">
        <f aca="false">$I71-$K71</f>
        <v>0</v>
      </c>
      <c r="N71" s="147" t="n">
        <v>100</v>
      </c>
      <c r="O71" s="46" t="str">
        <f aca="false">IF(ABS($M71)&lt;=$N71,"OK","FAIL")</f>
        <v>OK</v>
      </c>
      <c r="P71" s="46"/>
      <c r="Q71" s="55" t="s">
        <v>447</v>
      </c>
      <c r="R71" s="55"/>
      <c r="S71" s="55"/>
      <c r="T71" s="55"/>
      <c r="U71" s="55"/>
      <c r="V71" s="55"/>
      <c r="W71" s="55"/>
      <c r="X71" s="55"/>
    </row>
    <row r="72" customFormat="false" ht="15" hidden="false" customHeight="true" outlineLevel="0" collapsed="false">
      <c r="A72" s="47" t="s">
        <v>448</v>
      </c>
      <c r="B72" s="37" t="s">
        <v>449</v>
      </c>
      <c r="C72" s="37"/>
      <c r="D72" s="37"/>
      <c r="E72" s="37"/>
      <c r="F72" s="37"/>
      <c r="G72" s="37"/>
      <c r="H72" s="37"/>
      <c r="I72" s="49" t="n">
        <f aca="false">SUM(Manpower_Register!$L$9:$L$56)</f>
        <v>435081</v>
      </c>
      <c r="J72" s="49"/>
      <c r="K72" s="49" t="n">
        <f aca="false">SUM(HSE_Register!$D$9:$D$16)</f>
        <v>435081</v>
      </c>
      <c r="L72" s="49"/>
      <c r="M72" s="49" t="n">
        <f aca="false">$I72-$K72</f>
        <v>0</v>
      </c>
      <c r="N72" s="148" t="n">
        <v>5</v>
      </c>
      <c r="O72" s="52" t="str">
        <f aca="false">IF(ABS($M72)&lt;=$N72,"OK","FAIL")</f>
        <v>OK</v>
      </c>
      <c r="P72" s="52"/>
      <c r="Q72" s="134" t="s">
        <v>450</v>
      </c>
      <c r="R72" s="134"/>
      <c r="S72" s="134"/>
      <c r="T72" s="134"/>
      <c r="U72" s="134"/>
      <c r="V72" s="134"/>
      <c r="W72" s="134"/>
      <c r="X72" s="134"/>
    </row>
    <row r="73" customFormat="false" ht="15" hidden="false" customHeight="true" outlineLevel="0" collapsed="false">
      <c r="A73" s="42" t="s">
        <v>451</v>
      </c>
      <c r="B73" s="30" t="s">
        <v>452</v>
      </c>
      <c r="C73" s="30"/>
      <c r="D73" s="30"/>
      <c r="E73" s="30"/>
      <c r="F73" s="30"/>
      <c r="G73" s="30"/>
      <c r="H73" s="30"/>
      <c r="I73" s="31" t="n">
        <f aca="false">SUMPRODUCT((COUNTIF(Projects!$A$9:$A$16,Cost_Financials!$A$70:$A$157)=0)*1)</f>
        <v>0</v>
      </c>
      <c r="J73" s="31"/>
      <c r="K73" s="31" t="n">
        <f aca="false">0</f>
        <v>0</v>
      </c>
      <c r="L73" s="31"/>
      <c r="M73" s="31" t="n">
        <f aca="false">$I73-$K73</f>
        <v>0</v>
      </c>
      <c r="N73" s="147" t="n">
        <v>0</v>
      </c>
      <c r="O73" s="46" t="str">
        <f aca="false">IF(ABS($M73)&lt;=$N73,"OK","FAIL")</f>
        <v>OK</v>
      </c>
      <c r="P73" s="46"/>
      <c r="Q73" s="55" t="s">
        <v>453</v>
      </c>
      <c r="R73" s="55"/>
      <c r="S73" s="55"/>
      <c r="T73" s="55"/>
      <c r="U73" s="55"/>
      <c r="V73" s="55"/>
      <c r="W73" s="55"/>
      <c r="X73" s="55"/>
    </row>
    <row r="74" customFormat="false" ht="15" hidden="false" customHeight="true" outlineLevel="0" collapsed="false">
      <c r="A74" s="47" t="s">
        <v>454</v>
      </c>
      <c r="B74" s="37" t="s">
        <v>455</v>
      </c>
      <c r="C74" s="37"/>
      <c r="D74" s="37"/>
      <c r="E74" s="37"/>
      <c r="F74" s="37"/>
      <c r="G74" s="37"/>
      <c r="H74" s="37"/>
      <c r="I74" s="49" t="n">
        <f aca="false">SUMPRODUCT((COUNTIF(Projects!$A$9:$A$16,WBS_Register!$A$9:$A$80)=0)*1)</f>
        <v>0</v>
      </c>
      <c r="J74" s="49"/>
      <c r="K74" s="49" t="n">
        <f aca="false">0</f>
        <v>0</v>
      </c>
      <c r="L74" s="49"/>
      <c r="M74" s="49" t="n">
        <f aca="false">$I74-$K74</f>
        <v>0</v>
      </c>
      <c r="N74" s="148" t="n">
        <v>0</v>
      </c>
      <c r="O74" s="52" t="str">
        <f aca="false">IF(ABS($M74)&lt;=$N74,"OK","FAIL")</f>
        <v>OK</v>
      </c>
      <c r="P74" s="52"/>
      <c r="Q74" s="134" t="s">
        <v>456</v>
      </c>
      <c r="R74" s="134"/>
      <c r="S74" s="134"/>
      <c r="T74" s="134"/>
      <c r="U74" s="134"/>
      <c r="V74" s="134"/>
      <c r="W74" s="134"/>
      <c r="X74" s="134"/>
    </row>
    <row r="75" customFormat="false" ht="15" hidden="false" customHeight="true" outlineLevel="0" collapsed="false">
      <c r="A75" s="5"/>
      <c r="B75" s="5"/>
      <c r="C75" s="5"/>
      <c r="D75" s="5"/>
      <c r="E75" s="5"/>
      <c r="F75" s="5"/>
      <c r="G75" s="5"/>
      <c r="H75" s="5"/>
      <c r="I75" s="5"/>
      <c r="J75" s="5"/>
      <c r="K75" s="5"/>
      <c r="L75" s="5"/>
      <c r="M75" s="5"/>
      <c r="N75" s="5"/>
      <c r="O75" s="5"/>
      <c r="P75" s="5"/>
      <c r="Q75" s="5"/>
      <c r="R75" s="5"/>
      <c r="S75" s="5"/>
      <c r="T75" s="5"/>
      <c r="U75" s="5"/>
      <c r="V75" s="5"/>
      <c r="W75" s="5"/>
      <c r="X75" s="5"/>
    </row>
    <row r="76" customFormat="false" ht="25.5" hidden="false" customHeight="true" outlineLevel="0" collapsed="false">
      <c r="A76" s="58" t="s">
        <v>457</v>
      </c>
      <c r="B76" s="58"/>
      <c r="C76" s="58"/>
      <c r="D76" s="58"/>
      <c r="E76" s="58"/>
      <c r="F76" s="58"/>
      <c r="G76" s="58"/>
      <c r="H76" s="58"/>
      <c r="I76" s="58"/>
      <c r="J76" s="58"/>
      <c r="K76" s="58"/>
      <c r="L76" s="58"/>
      <c r="M76" s="58"/>
      <c r="N76" s="58"/>
      <c r="O76" s="58"/>
      <c r="P76" s="58"/>
      <c r="Q76" s="58"/>
      <c r="R76" s="58"/>
      <c r="S76" s="58"/>
      <c r="T76" s="58"/>
      <c r="U76" s="58"/>
      <c r="V76" s="58"/>
      <c r="W76" s="58"/>
      <c r="X76" s="58"/>
    </row>
  </sheetData>
  <mergeCells count="410">
    <mergeCell ref="A1:X1"/>
    <mergeCell ref="A2:X2"/>
    <mergeCell ref="A3:X3"/>
    <mergeCell ref="A4:X4"/>
    <mergeCell ref="A6:X6"/>
    <mergeCell ref="A7:B7"/>
    <mergeCell ref="C7:E7"/>
    <mergeCell ref="F7:G7"/>
    <mergeCell ref="H7:J7"/>
    <mergeCell ref="K7:L7"/>
    <mergeCell ref="M7:O7"/>
    <mergeCell ref="P7:X7"/>
    <mergeCell ref="A8:B8"/>
    <mergeCell ref="C8:E8"/>
    <mergeCell ref="F8:G8"/>
    <mergeCell ref="H8:J8"/>
    <mergeCell ref="K8:L8"/>
    <mergeCell ref="M8:O8"/>
    <mergeCell ref="P8:X8"/>
    <mergeCell ref="A10:X10"/>
    <mergeCell ref="A11:B11"/>
    <mergeCell ref="C11:E11"/>
    <mergeCell ref="F11:G11"/>
    <mergeCell ref="H11:J11"/>
    <mergeCell ref="K11:L11"/>
    <mergeCell ref="M11:O11"/>
    <mergeCell ref="P11:X11"/>
    <mergeCell ref="A12:B12"/>
    <mergeCell ref="C12:E12"/>
    <mergeCell ref="F12:G12"/>
    <mergeCell ref="H12:J12"/>
    <mergeCell ref="K12:L12"/>
    <mergeCell ref="M12:O12"/>
    <mergeCell ref="P12:X12"/>
    <mergeCell ref="A13:B13"/>
    <mergeCell ref="C13:E13"/>
    <mergeCell ref="F13:G13"/>
    <mergeCell ref="H13:J13"/>
    <mergeCell ref="K13:L13"/>
    <mergeCell ref="M13:O13"/>
    <mergeCell ref="P13:X13"/>
    <mergeCell ref="A14:B14"/>
    <mergeCell ref="C14:E14"/>
    <mergeCell ref="F14:G14"/>
    <mergeCell ref="H14:J14"/>
    <mergeCell ref="K14:L14"/>
    <mergeCell ref="M14:O14"/>
    <mergeCell ref="P14:X14"/>
    <mergeCell ref="A15:B15"/>
    <mergeCell ref="C15:E15"/>
    <mergeCell ref="F15:G15"/>
    <mergeCell ref="H15:J15"/>
    <mergeCell ref="K15:L15"/>
    <mergeCell ref="M15:O15"/>
    <mergeCell ref="P15:X15"/>
    <mergeCell ref="A16:B16"/>
    <mergeCell ref="C16:E16"/>
    <mergeCell ref="F16:G16"/>
    <mergeCell ref="H16:J16"/>
    <mergeCell ref="K16:L16"/>
    <mergeCell ref="M16:O16"/>
    <mergeCell ref="P16:X16"/>
    <mergeCell ref="A18:X18"/>
    <mergeCell ref="A19:X19"/>
    <mergeCell ref="B20:C20"/>
    <mergeCell ref="D20:E20"/>
    <mergeCell ref="F20:G20"/>
    <mergeCell ref="H20:I20"/>
    <mergeCell ref="J20:K20"/>
    <mergeCell ref="L20:M20"/>
    <mergeCell ref="N20:O20"/>
    <mergeCell ref="P20:X20"/>
    <mergeCell ref="B21:C21"/>
    <mergeCell ref="D21:E21"/>
    <mergeCell ref="F21:G21"/>
    <mergeCell ref="H21:I21"/>
    <mergeCell ref="J21:K21"/>
    <mergeCell ref="L21:M21"/>
    <mergeCell ref="N21:O21"/>
    <mergeCell ref="P21:X21"/>
    <mergeCell ref="B22:C22"/>
    <mergeCell ref="D22:E22"/>
    <mergeCell ref="F22:G22"/>
    <mergeCell ref="H22:I22"/>
    <mergeCell ref="J22:K22"/>
    <mergeCell ref="L22:M22"/>
    <mergeCell ref="N22:O22"/>
    <mergeCell ref="P22:X22"/>
    <mergeCell ref="B23:C23"/>
    <mergeCell ref="D23:E23"/>
    <mergeCell ref="F23:G23"/>
    <mergeCell ref="H23:I23"/>
    <mergeCell ref="J23:K23"/>
    <mergeCell ref="L23:M23"/>
    <mergeCell ref="N23:O23"/>
    <mergeCell ref="P23:X23"/>
    <mergeCell ref="B24:C24"/>
    <mergeCell ref="D24:E24"/>
    <mergeCell ref="F24:G24"/>
    <mergeCell ref="H24:I24"/>
    <mergeCell ref="J24:K24"/>
    <mergeCell ref="L24:M24"/>
    <mergeCell ref="N24:O24"/>
    <mergeCell ref="P24:X24"/>
    <mergeCell ref="B25:C25"/>
    <mergeCell ref="D25:E25"/>
    <mergeCell ref="F25:G25"/>
    <mergeCell ref="H25:I25"/>
    <mergeCell ref="J25:K25"/>
    <mergeCell ref="L25:M25"/>
    <mergeCell ref="N25:O25"/>
    <mergeCell ref="P25:X25"/>
    <mergeCell ref="B26:C26"/>
    <mergeCell ref="D26:E26"/>
    <mergeCell ref="F26:G26"/>
    <mergeCell ref="H26:I26"/>
    <mergeCell ref="J26:K26"/>
    <mergeCell ref="L26:M26"/>
    <mergeCell ref="N26:O26"/>
    <mergeCell ref="P26:X26"/>
    <mergeCell ref="B27:C27"/>
    <mergeCell ref="D27:E27"/>
    <mergeCell ref="F27:G27"/>
    <mergeCell ref="H27:I27"/>
    <mergeCell ref="J27:K27"/>
    <mergeCell ref="L27:M27"/>
    <mergeCell ref="N27:O27"/>
    <mergeCell ref="P27:X27"/>
    <mergeCell ref="B28:C28"/>
    <mergeCell ref="D28:E28"/>
    <mergeCell ref="F28:G28"/>
    <mergeCell ref="H28:I28"/>
    <mergeCell ref="J28:K28"/>
    <mergeCell ref="L28:M28"/>
    <mergeCell ref="N28:O28"/>
    <mergeCell ref="P28:X28"/>
    <mergeCell ref="B29:C29"/>
    <mergeCell ref="D29:E29"/>
    <mergeCell ref="F29:G29"/>
    <mergeCell ref="H29:I29"/>
    <mergeCell ref="J29:K29"/>
    <mergeCell ref="L29:M29"/>
    <mergeCell ref="N29:O29"/>
    <mergeCell ref="P29:X29"/>
    <mergeCell ref="B30:C30"/>
    <mergeCell ref="D30:E30"/>
    <mergeCell ref="F30:G30"/>
    <mergeCell ref="H30:I30"/>
    <mergeCell ref="J30:K30"/>
    <mergeCell ref="L30:M30"/>
    <mergeCell ref="N30:O30"/>
    <mergeCell ref="P30:X30"/>
    <mergeCell ref="B31:C31"/>
    <mergeCell ref="D31:E31"/>
    <mergeCell ref="F31:G31"/>
    <mergeCell ref="H31:I31"/>
    <mergeCell ref="J31:K31"/>
    <mergeCell ref="L31:M31"/>
    <mergeCell ref="N31:O31"/>
    <mergeCell ref="P31:X31"/>
    <mergeCell ref="B32:C32"/>
    <mergeCell ref="D32:E32"/>
    <mergeCell ref="F32:G32"/>
    <mergeCell ref="H32:I32"/>
    <mergeCell ref="J32:K32"/>
    <mergeCell ref="L32:M32"/>
    <mergeCell ref="N32:O32"/>
    <mergeCell ref="P32:X32"/>
    <mergeCell ref="B33:C33"/>
    <mergeCell ref="D33:E33"/>
    <mergeCell ref="F33:G33"/>
    <mergeCell ref="H33:I33"/>
    <mergeCell ref="J33:K33"/>
    <mergeCell ref="L33:M33"/>
    <mergeCell ref="N33:O33"/>
    <mergeCell ref="P33:X33"/>
    <mergeCell ref="B34:C34"/>
    <mergeCell ref="D34:E34"/>
    <mergeCell ref="F34:G34"/>
    <mergeCell ref="H34:I34"/>
    <mergeCell ref="J34:K34"/>
    <mergeCell ref="L34:M34"/>
    <mergeCell ref="N34:O34"/>
    <mergeCell ref="P34:X34"/>
    <mergeCell ref="B35:C35"/>
    <mergeCell ref="D35:E35"/>
    <mergeCell ref="F35:G35"/>
    <mergeCell ref="H35:I35"/>
    <mergeCell ref="J35:K35"/>
    <mergeCell ref="L35:M35"/>
    <mergeCell ref="N35:O35"/>
    <mergeCell ref="P35:X35"/>
    <mergeCell ref="B36:C36"/>
    <mergeCell ref="D36:E36"/>
    <mergeCell ref="F36:G36"/>
    <mergeCell ref="H36:I36"/>
    <mergeCell ref="J36:K36"/>
    <mergeCell ref="L36:M36"/>
    <mergeCell ref="N36:O36"/>
    <mergeCell ref="P36:X36"/>
    <mergeCell ref="B37:C37"/>
    <mergeCell ref="D37:E37"/>
    <mergeCell ref="F37:G37"/>
    <mergeCell ref="H37:I37"/>
    <mergeCell ref="J37:K37"/>
    <mergeCell ref="L37:M37"/>
    <mergeCell ref="N37:O37"/>
    <mergeCell ref="P37:X37"/>
    <mergeCell ref="B38:C38"/>
    <mergeCell ref="D38:E38"/>
    <mergeCell ref="F38:G38"/>
    <mergeCell ref="H38:I38"/>
    <mergeCell ref="J38:K38"/>
    <mergeCell ref="L38:M38"/>
    <mergeCell ref="N38:O38"/>
    <mergeCell ref="P38:X38"/>
    <mergeCell ref="A40:X40"/>
    <mergeCell ref="A41:X41"/>
    <mergeCell ref="A42:B42"/>
    <mergeCell ref="D42:E42"/>
    <mergeCell ref="F42:G42"/>
    <mergeCell ref="H42:I42"/>
    <mergeCell ref="J42:K42"/>
    <mergeCell ref="L42:M42"/>
    <mergeCell ref="P42:Q42"/>
    <mergeCell ref="R42:S42"/>
    <mergeCell ref="W42:X42"/>
    <mergeCell ref="A43:B43"/>
    <mergeCell ref="D43:E43"/>
    <mergeCell ref="F43:G43"/>
    <mergeCell ref="H43:I43"/>
    <mergeCell ref="J43:K43"/>
    <mergeCell ref="L43:M43"/>
    <mergeCell ref="P43:Q43"/>
    <mergeCell ref="R43:S43"/>
    <mergeCell ref="W43:X43"/>
    <mergeCell ref="A44:B44"/>
    <mergeCell ref="D44:E44"/>
    <mergeCell ref="F44:G44"/>
    <mergeCell ref="H44:I44"/>
    <mergeCell ref="J44:K44"/>
    <mergeCell ref="L44:M44"/>
    <mergeCell ref="P44:Q44"/>
    <mergeCell ref="R44:S44"/>
    <mergeCell ref="W44:X44"/>
    <mergeCell ref="A45:B45"/>
    <mergeCell ref="D45:E45"/>
    <mergeCell ref="F45:G45"/>
    <mergeCell ref="H45:I45"/>
    <mergeCell ref="J45:K45"/>
    <mergeCell ref="L45:M45"/>
    <mergeCell ref="P45:Q45"/>
    <mergeCell ref="R45:S45"/>
    <mergeCell ref="W45:X45"/>
    <mergeCell ref="A46:B46"/>
    <mergeCell ref="D46:E46"/>
    <mergeCell ref="F46:G46"/>
    <mergeCell ref="H46:I46"/>
    <mergeCell ref="J46:K46"/>
    <mergeCell ref="L46:M46"/>
    <mergeCell ref="P46:Q46"/>
    <mergeCell ref="R46:S46"/>
    <mergeCell ref="W46:X46"/>
    <mergeCell ref="A47:B47"/>
    <mergeCell ref="D47:E47"/>
    <mergeCell ref="F47:G47"/>
    <mergeCell ref="H47:I47"/>
    <mergeCell ref="J47:K47"/>
    <mergeCell ref="L47:M47"/>
    <mergeCell ref="P47:Q47"/>
    <mergeCell ref="R47:S47"/>
    <mergeCell ref="W47:X47"/>
    <mergeCell ref="A49:X49"/>
    <mergeCell ref="B51:D51"/>
    <mergeCell ref="E51:F51"/>
    <mergeCell ref="G51:H51"/>
    <mergeCell ref="I51:J51"/>
    <mergeCell ref="K51:L51"/>
    <mergeCell ref="M51:N51"/>
    <mergeCell ref="Q51:R51"/>
    <mergeCell ref="S51:T51"/>
    <mergeCell ref="B52:D52"/>
    <mergeCell ref="E52:F52"/>
    <mergeCell ref="G52:H52"/>
    <mergeCell ref="I52:J52"/>
    <mergeCell ref="K52:L52"/>
    <mergeCell ref="M52:N52"/>
    <mergeCell ref="Q52:R52"/>
    <mergeCell ref="S52:T52"/>
    <mergeCell ref="B53:D53"/>
    <mergeCell ref="E53:F53"/>
    <mergeCell ref="G53:H53"/>
    <mergeCell ref="I53:J53"/>
    <mergeCell ref="K53:L53"/>
    <mergeCell ref="M53:N53"/>
    <mergeCell ref="Q53:R53"/>
    <mergeCell ref="S53:T53"/>
    <mergeCell ref="B54:D54"/>
    <mergeCell ref="E54:F54"/>
    <mergeCell ref="G54:H54"/>
    <mergeCell ref="I54:J54"/>
    <mergeCell ref="K54:L54"/>
    <mergeCell ref="M54:N54"/>
    <mergeCell ref="Q54:R54"/>
    <mergeCell ref="S54:T54"/>
    <mergeCell ref="B55:D55"/>
    <mergeCell ref="E55:F55"/>
    <mergeCell ref="G55:H55"/>
    <mergeCell ref="I55:J55"/>
    <mergeCell ref="K55:L55"/>
    <mergeCell ref="M55:N55"/>
    <mergeCell ref="Q55:R55"/>
    <mergeCell ref="S55:T55"/>
    <mergeCell ref="B56:D56"/>
    <mergeCell ref="E56:F56"/>
    <mergeCell ref="G56:H56"/>
    <mergeCell ref="I56:J56"/>
    <mergeCell ref="K56:L56"/>
    <mergeCell ref="M56:N56"/>
    <mergeCell ref="Q56:R56"/>
    <mergeCell ref="S56:T56"/>
    <mergeCell ref="B57:D57"/>
    <mergeCell ref="E57:F57"/>
    <mergeCell ref="G57:H57"/>
    <mergeCell ref="I57:J57"/>
    <mergeCell ref="K57:L57"/>
    <mergeCell ref="M57:N57"/>
    <mergeCell ref="Q57:R57"/>
    <mergeCell ref="S57:T57"/>
    <mergeCell ref="B58:D58"/>
    <mergeCell ref="E58:F58"/>
    <mergeCell ref="G58:H58"/>
    <mergeCell ref="I58:J58"/>
    <mergeCell ref="K58:L58"/>
    <mergeCell ref="M58:N58"/>
    <mergeCell ref="Q58:R58"/>
    <mergeCell ref="S58:T58"/>
    <mergeCell ref="B59:D59"/>
    <mergeCell ref="E59:F59"/>
    <mergeCell ref="G59:H59"/>
    <mergeCell ref="I59:J59"/>
    <mergeCell ref="K59:L59"/>
    <mergeCell ref="M59:N59"/>
    <mergeCell ref="Q59:R59"/>
    <mergeCell ref="S59:T59"/>
    <mergeCell ref="A60:F60"/>
    <mergeCell ref="G60:H60"/>
    <mergeCell ref="I60:J60"/>
    <mergeCell ref="K60:L60"/>
    <mergeCell ref="M60:N60"/>
    <mergeCell ref="Q60:R60"/>
    <mergeCell ref="S60:T60"/>
    <mergeCell ref="A62:X62"/>
    <mergeCell ref="A63:X63"/>
    <mergeCell ref="B64:H64"/>
    <mergeCell ref="I64:J64"/>
    <mergeCell ref="K64:L64"/>
    <mergeCell ref="O64:P64"/>
    <mergeCell ref="Q64:X64"/>
    <mergeCell ref="B65:H65"/>
    <mergeCell ref="I65:J65"/>
    <mergeCell ref="K65:L65"/>
    <mergeCell ref="O65:P65"/>
    <mergeCell ref="Q65:X65"/>
    <mergeCell ref="B66:H66"/>
    <mergeCell ref="I66:J66"/>
    <mergeCell ref="K66:L66"/>
    <mergeCell ref="O66:P66"/>
    <mergeCell ref="Q66:X66"/>
    <mergeCell ref="B67:H67"/>
    <mergeCell ref="I67:J67"/>
    <mergeCell ref="K67:L67"/>
    <mergeCell ref="O67:P67"/>
    <mergeCell ref="Q67:X67"/>
    <mergeCell ref="B68:H68"/>
    <mergeCell ref="I68:J68"/>
    <mergeCell ref="K68:L68"/>
    <mergeCell ref="O68:P68"/>
    <mergeCell ref="Q68:X68"/>
    <mergeCell ref="B69:H69"/>
    <mergeCell ref="I69:J69"/>
    <mergeCell ref="K69:L69"/>
    <mergeCell ref="O69:P69"/>
    <mergeCell ref="Q69:X69"/>
    <mergeCell ref="B70:H70"/>
    <mergeCell ref="I70:J70"/>
    <mergeCell ref="K70:L70"/>
    <mergeCell ref="O70:P70"/>
    <mergeCell ref="Q70:X70"/>
    <mergeCell ref="B71:H71"/>
    <mergeCell ref="I71:J71"/>
    <mergeCell ref="K71:L71"/>
    <mergeCell ref="O71:P71"/>
    <mergeCell ref="Q71:X71"/>
    <mergeCell ref="B72:H72"/>
    <mergeCell ref="I72:J72"/>
    <mergeCell ref="K72:L72"/>
    <mergeCell ref="O72:P72"/>
    <mergeCell ref="Q72:X72"/>
    <mergeCell ref="B73:H73"/>
    <mergeCell ref="I73:J73"/>
    <mergeCell ref="K73:L73"/>
    <mergeCell ref="O73:P73"/>
    <mergeCell ref="Q73:X73"/>
    <mergeCell ref="B74:H74"/>
    <mergeCell ref="I74:J74"/>
    <mergeCell ref="K74:L74"/>
    <mergeCell ref="O74:P74"/>
    <mergeCell ref="Q74:X74"/>
    <mergeCell ref="A76:X76"/>
  </mergeCells>
  <conditionalFormatting sqref="L21:M38">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V43:V47">
    <cfRule type="cellIs" priority="5" operator="equal" aboveAverage="0" equalAverage="0" bottom="0" percent="0" rank="0" text="" dxfId="0">
      <formula>"Green"</formula>
    </cfRule>
    <cfRule type="cellIs" priority="6" operator="equal" aboveAverage="0" equalAverage="0" bottom="0" percent="0" rank="0" text="" dxfId="1">
      <formula>"Amber"</formula>
    </cfRule>
    <cfRule type="cellIs" priority="7" operator="equal" aboveAverage="0" equalAverage="0" bottom="0" percent="0" rank="0" text="" dxfId="2">
      <formula>"Red"</formula>
    </cfRule>
  </conditionalFormatting>
  <conditionalFormatting sqref="W43:X46">
    <cfRule type="cellIs" priority="8" operator="equal" aboveAverage="0" equalAverage="0" bottom="0" percent="0" rank="0" text="" dxfId="0">
      <formula>"Yes"</formula>
    </cfRule>
    <cfRule type="cellIs" priority="9" operator="equal" aboveAverage="0" equalAverage="0" bottom="0" percent="0" rank="0" text="" dxfId="2">
      <formula>"No"</formula>
    </cfRule>
  </conditionalFormatting>
  <conditionalFormatting sqref="X52:X60">
    <cfRule type="cellIs" priority="10" operator="equal" aboveAverage="0" equalAverage="0" bottom="0" percent="0" rank="0" text="" dxfId="0">
      <formula>"Green"</formula>
    </cfRule>
    <cfRule type="cellIs" priority="11" operator="equal" aboveAverage="0" equalAverage="0" bottom="0" percent="0" rank="0" text="" dxfId="1">
      <formula>"Amber"</formula>
    </cfRule>
    <cfRule type="cellIs" priority="12" operator="equal" aboveAverage="0" equalAverage="0" bottom="0" percent="0" rank="0" text="" dxfId="2">
      <formula>"Red"</formula>
    </cfRule>
  </conditionalFormatting>
  <conditionalFormatting sqref="W52:W59">
    <cfRule type="cellIs" priority="13" operator="equal" aboveAverage="0" equalAverage="0" bottom="0" percent="0" rank="0" text="" dxfId="0">
      <formula>"On Track"</formula>
    </cfRule>
    <cfRule type="cellIs" priority="14" operator="equal" aboveAverage="0" equalAverage="0" bottom="0" percent="0" rank="0" text="" dxfId="0">
      <formula>"Complete"</formula>
    </cfRule>
    <cfRule type="cellIs" priority="15" operator="equal" aboveAverage="0" equalAverage="0" bottom="0" percent="0" rank="0" text="" dxfId="1">
      <formula>"Watch"</formula>
    </cfRule>
    <cfRule type="cellIs" priority="16" operator="equal" aboveAverage="0" equalAverage="0" bottom="0" percent="0" rank="0" text="" dxfId="1">
      <formula>"On Hold"</formula>
    </cfRule>
    <cfRule type="cellIs" priority="17" operator="equal" aboveAverage="0" equalAverage="0" bottom="0" percent="0" rank="0" text="" dxfId="2">
      <formula>"At Risk"</formula>
    </cfRule>
  </conditionalFormatting>
  <conditionalFormatting sqref="A52:X59">
    <cfRule type="expression" priority="18" aboveAverage="0" equalAverage="0" bottom="0" percent="0" rank="0" text="" dxfId="20">
      <formula>Projects!$AL$9=1</formula>
    </cfRule>
  </conditionalFormatting>
  <conditionalFormatting sqref="O65:P74">
    <cfRule type="cellIs" priority="19" operator="equal" aboveAverage="0" equalAverage="0" bottom="0" percent="0" rank="0" text="" dxfId="0">
      <formula>"OK"</formula>
    </cfRule>
    <cfRule type="cellIs" priority="20" operator="equal" aboveAverage="0" equalAverage="0" bottom="0" percent="0" rank="0" text="" dxfId="2">
      <formula>"FAIL"</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B8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4" ySplit="8" topLeftCell="E9" activePane="bottomRight" state="frozen"/>
      <selection pane="topLeft" activeCell="A1" activeCellId="0" sqref="A1"/>
      <selection pane="topRight" activeCell="E1" activeCellId="0" sqref="E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2"/>
    <col collapsed="false" customWidth="true" hidden="false" outlineLevel="0" max="4" min="3" style="1" width="7"/>
    <col collapsed="false" customWidth="true" hidden="false" outlineLevel="0" max="5" min="5" style="1" width="42"/>
    <col collapsed="false" customWidth="true" hidden="false" outlineLevel="0" max="6" min="6" style="1" width="24"/>
    <col collapsed="false" customWidth="true" hidden="false" outlineLevel="0" max="7" min="7" style="1" width="14"/>
    <col collapsed="false" customWidth="true" hidden="false" outlineLevel="0" max="8" min="8" style="1" width="17"/>
    <col collapsed="false" customWidth="true" hidden="false" outlineLevel="0" max="11" min="9" style="1" width="10"/>
    <col collapsed="false" customWidth="true" hidden="false" outlineLevel="0" max="12" min="12" style="1" width="14"/>
    <col collapsed="false" customWidth="true" hidden="false" outlineLevel="0" max="15" min="13" style="1" width="8"/>
    <col collapsed="false" customWidth="true" hidden="false" outlineLevel="0" max="21" min="16" style="1" width="14"/>
    <col collapsed="false" customWidth="true" hidden="false" outlineLevel="0" max="23" min="22" style="1" width="7"/>
    <col collapsed="false" customWidth="true" hidden="false" outlineLevel="0" max="25" min="24" style="1" width="14"/>
    <col collapsed="false" customWidth="true" hidden="false" outlineLevel="0" max="26" min="26" style="1" width="12"/>
    <col collapsed="false" customWidth="true" hidden="false" outlineLevel="0" max="27" min="27" style="1" width="7"/>
    <col collapsed="false" customWidth="true" hidden="false" outlineLevel="0" max="28" min="28" style="1" width="8"/>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c r="V1" s="2"/>
      <c r="W1" s="2"/>
      <c r="X1" s="2"/>
      <c r="Y1" s="2"/>
      <c r="Z1" s="2"/>
      <c r="AA1" s="2"/>
      <c r="AB1" s="2"/>
    </row>
    <row r="2" customFormat="false" ht="30" hidden="false" customHeight="true" outlineLevel="0" collapsed="false">
      <c r="A2" s="59" t="s">
        <v>458</v>
      </c>
      <c r="B2" s="59"/>
      <c r="C2" s="59"/>
      <c r="D2" s="59"/>
      <c r="E2" s="59"/>
      <c r="F2" s="59"/>
      <c r="G2" s="59"/>
      <c r="H2" s="59"/>
      <c r="I2" s="59"/>
      <c r="J2" s="59"/>
      <c r="K2" s="59"/>
      <c r="L2" s="59"/>
      <c r="M2" s="59"/>
      <c r="N2" s="59"/>
      <c r="O2" s="59"/>
      <c r="P2" s="59"/>
      <c r="Q2" s="59"/>
      <c r="R2" s="59"/>
      <c r="S2" s="59"/>
      <c r="T2" s="59"/>
      <c r="U2" s="59"/>
      <c r="V2" s="59"/>
      <c r="W2" s="59"/>
      <c r="X2" s="59"/>
      <c r="Y2" s="59"/>
      <c r="Z2" s="59"/>
      <c r="AA2" s="59"/>
      <c r="AB2" s="59"/>
    </row>
    <row r="3" customFormat="false" ht="16.5" hidden="false" customHeight="true" outlineLevel="0" collapsed="false">
      <c r="A3" s="60" t="s">
        <v>92</v>
      </c>
      <c r="B3" s="60"/>
      <c r="C3" s="60"/>
      <c r="D3" s="60"/>
      <c r="E3" s="60"/>
      <c r="F3" s="60"/>
      <c r="G3" s="60"/>
      <c r="H3" s="60"/>
      <c r="I3" s="60"/>
      <c r="J3" s="60"/>
      <c r="K3" s="60"/>
      <c r="L3" s="60"/>
      <c r="M3" s="60"/>
      <c r="N3" s="60"/>
      <c r="O3" s="60"/>
      <c r="P3" s="60"/>
      <c r="Q3" s="60"/>
      <c r="R3" s="60"/>
      <c r="S3" s="60"/>
      <c r="T3" s="60"/>
      <c r="U3" s="60"/>
      <c r="V3" s="60"/>
      <c r="W3" s="60"/>
      <c r="X3" s="60"/>
      <c r="Y3" s="60"/>
      <c r="Z3" s="60"/>
      <c r="AA3" s="60"/>
      <c r="AB3" s="60"/>
    </row>
    <row r="4" customFormat="false" ht="15" hidden="false" customHeight="true" outlineLevel="0" collapsed="false">
      <c r="A4" s="61" t="s">
        <v>459</v>
      </c>
      <c r="B4" s="61"/>
      <c r="C4" s="61"/>
      <c r="D4" s="61"/>
      <c r="E4" s="61"/>
      <c r="F4" s="61"/>
      <c r="G4" s="61"/>
      <c r="H4" s="61"/>
      <c r="I4" s="61"/>
      <c r="J4" s="61"/>
      <c r="K4" s="61"/>
      <c r="L4" s="61"/>
      <c r="M4" s="61"/>
      <c r="N4" s="61"/>
      <c r="O4" s="61"/>
      <c r="P4" s="61"/>
      <c r="Q4" s="61"/>
      <c r="R4" s="61"/>
      <c r="S4" s="61"/>
      <c r="T4" s="61"/>
      <c r="U4" s="61"/>
      <c r="V4" s="61"/>
      <c r="W4" s="61"/>
      <c r="X4" s="61"/>
      <c r="Y4" s="61"/>
      <c r="Z4" s="61"/>
      <c r="AA4" s="61"/>
      <c r="AB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c r="V5" s="5"/>
      <c r="W5" s="5"/>
      <c r="X5" s="5"/>
      <c r="Y5" s="5"/>
      <c r="Z5" s="5"/>
      <c r="AA5" s="5"/>
      <c r="AB5" s="5"/>
    </row>
    <row r="6" customFormat="false" ht="19.5" hidden="false" customHeight="true" outlineLevel="0" collapsed="false">
      <c r="A6" s="13" t="s">
        <v>460</v>
      </c>
      <c r="B6" s="13"/>
      <c r="C6" s="13"/>
      <c r="D6" s="13"/>
      <c r="E6" s="13"/>
      <c r="F6" s="13"/>
      <c r="G6" s="13"/>
      <c r="H6" s="13"/>
      <c r="I6" s="13"/>
      <c r="J6" s="13"/>
      <c r="K6" s="13"/>
      <c r="L6" s="13"/>
      <c r="M6" s="13"/>
      <c r="N6" s="13"/>
      <c r="O6" s="13"/>
      <c r="P6" s="13"/>
      <c r="Q6" s="13"/>
      <c r="R6" s="13"/>
      <c r="S6" s="13"/>
      <c r="T6" s="13"/>
      <c r="U6" s="13"/>
      <c r="V6" s="13"/>
      <c r="W6" s="13"/>
      <c r="X6" s="13"/>
      <c r="Y6" s="13"/>
      <c r="Z6" s="13"/>
      <c r="AA6" s="13"/>
      <c r="AB6" s="13"/>
    </row>
    <row r="7" customFormat="false" ht="13.5" hidden="false" customHeight="true" outlineLevel="0" collapsed="false">
      <c r="A7" s="80" t="s">
        <v>461</v>
      </c>
      <c r="B7" s="80"/>
      <c r="C7" s="80"/>
      <c r="D7" s="80"/>
      <c r="E7" s="80"/>
      <c r="F7" s="80"/>
      <c r="G7" s="80"/>
      <c r="H7" s="80"/>
      <c r="I7" s="80"/>
      <c r="J7" s="80"/>
      <c r="K7" s="80"/>
      <c r="L7" s="80"/>
      <c r="M7" s="80"/>
      <c r="N7" s="80"/>
      <c r="O7" s="80"/>
      <c r="P7" s="80"/>
      <c r="Q7" s="80"/>
      <c r="R7" s="80"/>
      <c r="S7" s="80"/>
      <c r="T7" s="80"/>
      <c r="U7" s="80"/>
      <c r="V7" s="80"/>
      <c r="W7" s="80"/>
      <c r="X7" s="80"/>
      <c r="Y7" s="80"/>
      <c r="Z7" s="80"/>
      <c r="AA7" s="80"/>
      <c r="AB7" s="80"/>
    </row>
    <row r="8" customFormat="false" ht="43.5" hidden="false" customHeight="true" outlineLevel="0" collapsed="false">
      <c r="A8" s="23" t="s">
        <v>256</v>
      </c>
      <c r="B8" s="23" t="s">
        <v>5</v>
      </c>
      <c r="C8" s="23" t="s">
        <v>289</v>
      </c>
      <c r="D8" s="23" t="s">
        <v>462</v>
      </c>
      <c r="E8" s="23" t="s">
        <v>463</v>
      </c>
      <c r="F8" s="23" t="s">
        <v>464</v>
      </c>
      <c r="G8" s="23" t="s">
        <v>465</v>
      </c>
      <c r="H8" s="23" t="s">
        <v>466</v>
      </c>
      <c r="I8" s="23" t="s">
        <v>467</v>
      </c>
      <c r="J8" s="23" t="s">
        <v>468</v>
      </c>
      <c r="K8" s="23" t="s">
        <v>469</v>
      </c>
      <c r="L8" s="23" t="s">
        <v>470</v>
      </c>
      <c r="M8" s="23" t="s">
        <v>471</v>
      </c>
      <c r="N8" s="23" t="s">
        <v>277</v>
      </c>
      <c r="O8" s="23" t="s">
        <v>278</v>
      </c>
      <c r="P8" s="23" t="s">
        <v>472</v>
      </c>
      <c r="Q8" s="23" t="s">
        <v>473</v>
      </c>
      <c r="R8" s="23" t="s">
        <v>474</v>
      </c>
      <c r="S8" s="23" t="s">
        <v>475</v>
      </c>
      <c r="T8" s="23" t="s">
        <v>476</v>
      </c>
      <c r="U8" s="23" t="s">
        <v>477</v>
      </c>
      <c r="V8" s="23" t="s">
        <v>32</v>
      </c>
      <c r="W8" s="23" t="s">
        <v>33</v>
      </c>
      <c r="X8" s="23" t="s">
        <v>478</v>
      </c>
      <c r="Y8" s="23" t="s">
        <v>479</v>
      </c>
      <c r="Z8" s="23" t="s">
        <v>78</v>
      </c>
      <c r="AA8" s="23" t="s">
        <v>288</v>
      </c>
      <c r="AB8" s="23" t="s">
        <v>480</v>
      </c>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151" t="s">
        <v>481</v>
      </c>
      <c r="E9" s="30" t="s">
        <v>482</v>
      </c>
      <c r="F9" s="30" t="s">
        <v>483</v>
      </c>
      <c r="G9" s="30" t="s">
        <v>484</v>
      </c>
      <c r="H9" s="30" t="s">
        <v>485</v>
      </c>
      <c r="I9" s="85" t="n">
        <v>46115</v>
      </c>
      <c r="J9" s="85" t="n">
        <v>46173</v>
      </c>
      <c r="K9" s="85" t="n">
        <v>46234</v>
      </c>
      <c r="L9" s="86" t="n">
        <f aca="false">'PT_RES-01'!$F$27</f>
        <v>3877768</v>
      </c>
      <c r="M9" s="87" t="n">
        <f aca="false">IF(SUMIFS($L$9:$L$80,$A$9:$A$80,$A9)=0,0,$L9/SUMIFS($L$9:$L$80,$A$9:$A$80,$A9))</f>
        <v>0.0441821335698514</v>
      </c>
      <c r="N9" s="91" t="n">
        <f aca="false">'PT_RES-01'!$G$27</f>
        <v>1</v>
      </c>
      <c r="O9" s="91" t="n">
        <f aca="false">'PT_RES-01'!$H$27</f>
        <v>0.9608</v>
      </c>
      <c r="P9" s="31" t="n">
        <f aca="false">$L9*$N9</f>
        <v>3877768</v>
      </c>
      <c r="Q9" s="31" t="n">
        <f aca="false">$L9*$O9</f>
        <v>3725759.4944</v>
      </c>
      <c r="R9" s="86" t="n">
        <f aca="false">'PT_RES-01'!$K$27</f>
        <v>3861092</v>
      </c>
      <c r="S9" s="86" t="n">
        <f aca="false">'PT_RES-01'!$L$27</f>
        <v>3877768</v>
      </c>
      <c r="T9" s="31" t="n">
        <f aca="false">$Q9-$P9</f>
        <v>-152008.5056</v>
      </c>
      <c r="U9" s="31" t="n">
        <f aca="false">$Q9-$R9</f>
        <v>-135332.5056</v>
      </c>
      <c r="V9" s="152" t="n">
        <f aca="false">IF($P9&lt;=0,1,$Q9/$P9)</f>
        <v>0.9608</v>
      </c>
      <c r="W9" s="152" t="n">
        <f aca="false">IF($R9&lt;=0,1,$Q9/$R9)</f>
        <v>0.964949681178278</v>
      </c>
      <c r="X9" s="31" t="n">
        <f aca="false">IF($W9&lt;=0,$L9,$L9/$W9)</f>
        <v>4018621.98168193</v>
      </c>
      <c r="Y9" s="31" t="n">
        <f aca="false">$L9-$X9</f>
        <v>-140853.981681932</v>
      </c>
      <c r="Z9" s="153" t="str">
        <f aca="false">'PT_RES-01'!$O$27</f>
        <v>In Progress</v>
      </c>
      <c r="AA9" s="46" t="str">
        <f aca="false">IF(AND($V9&gt;=0.95,$W9&gt;=0.95),"Green",IF(OR($V9&lt;0.85,$W9&lt;0.85),"Red","Amber"))</f>
        <v>Green</v>
      </c>
      <c r="AB9" s="31" t="n">
        <f aca="false">MAX(0,$K9-$J9)</f>
        <v>61</v>
      </c>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156" t="s">
        <v>486</v>
      </c>
      <c r="E10" s="37" t="s">
        <v>487</v>
      </c>
      <c r="F10" s="37" t="s">
        <v>483</v>
      </c>
      <c r="G10" s="37" t="s">
        <v>488</v>
      </c>
      <c r="H10" s="37" t="s">
        <v>489</v>
      </c>
      <c r="I10" s="98" t="n">
        <v>46115</v>
      </c>
      <c r="J10" s="98" t="n">
        <v>46660</v>
      </c>
      <c r="K10" s="98" t="n">
        <v>46721</v>
      </c>
      <c r="L10" s="99" t="n">
        <f aca="false">'PT_RES-01'!$F$28</f>
        <v>6462946</v>
      </c>
      <c r="M10" s="100" t="n">
        <f aca="false">IF(SUMIFS($L$9:$L$80,$A$9:$A$80,$A10)=0,0,$L10/SUMIFS($L$9:$L$80,$A$9:$A$80,$A10))</f>
        <v>0.0736368816872842</v>
      </c>
      <c r="N10" s="102" t="n">
        <f aca="false">'PT_RES-01'!$G$28</f>
        <v>0.2778</v>
      </c>
      <c r="O10" s="102" t="n">
        <f aca="false">'PT_RES-01'!$H$28</f>
        <v>0.2518</v>
      </c>
      <c r="P10" s="49" t="n">
        <f aca="false">$L10*$N10</f>
        <v>1795406.3988</v>
      </c>
      <c r="Q10" s="49" t="n">
        <f aca="false">$L10*$O10</f>
        <v>1627369.8028</v>
      </c>
      <c r="R10" s="99" t="n">
        <f aca="false">'PT_RES-01'!$K$28</f>
        <v>1754497</v>
      </c>
      <c r="S10" s="99" t="n">
        <f aca="false">'PT_RES-01'!$L$28</f>
        <v>5816651</v>
      </c>
      <c r="T10" s="49" t="n">
        <f aca="false">$Q10-$P10</f>
        <v>-168036.596</v>
      </c>
      <c r="U10" s="49" t="n">
        <f aca="false">$Q10-$R10</f>
        <v>-127127.1972</v>
      </c>
      <c r="V10" s="157" t="n">
        <f aca="false">IF($P10&lt;=0,1,$Q10/$P10)</f>
        <v>0.906407487401008</v>
      </c>
      <c r="W10" s="157" t="n">
        <f aca="false">IF($R10&lt;=0,1,$Q10/$R10)</f>
        <v>0.927542083457538</v>
      </c>
      <c r="X10" s="49" t="n">
        <f aca="false">IF($W10&lt;=0,$L10,$L10/$W10)</f>
        <v>6967819.69817315</v>
      </c>
      <c r="Y10" s="49" t="n">
        <f aca="false">$L10-$X10</f>
        <v>-504873.698173152</v>
      </c>
      <c r="Z10" s="103" t="str">
        <f aca="false">'PT_RES-01'!$O$28</f>
        <v>In Progress</v>
      </c>
      <c r="AA10" s="52" t="str">
        <f aca="false">IF(AND($V10&gt;=0.95,$W10&gt;=0.95),"Green",IF(OR($V10&lt;0.85,$W10&lt;0.85),"Red","Amber"))</f>
        <v>Amber</v>
      </c>
      <c r="AB10" s="49" t="n">
        <f aca="false">MAX(0,$K10-$J10)</f>
        <v>61</v>
      </c>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151" t="s">
        <v>490</v>
      </c>
      <c r="E11" s="30" t="s">
        <v>491</v>
      </c>
      <c r="F11" s="30" t="s">
        <v>492</v>
      </c>
      <c r="G11" s="30" t="s">
        <v>493</v>
      </c>
      <c r="H11" s="30" t="s">
        <v>494</v>
      </c>
      <c r="I11" s="85" t="n">
        <v>46115</v>
      </c>
      <c r="J11" s="85" t="n">
        <v>46356</v>
      </c>
      <c r="K11" s="85" t="n">
        <v>46418</v>
      </c>
      <c r="L11" s="86" t="n">
        <f aca="false">'PT_RES-01'!$F$29</f>
        <v>4739494</v>
      </c>
      <c r="M11" s="87" t="n">
        <f aca="false">IF(SUMIFS($L$9:$L$80,$A$9:$A$80,$A11)=0,0,$L11/SUMIFS($L$9:$L$80,$A$9:$A$80,$A11))</f>
        <v>0.054000382942329</v>
      </c>
      <c r="N11" s="91" t="n">
        <f aca="false">'PT_RES-01'!$G$29</f>
        <v>0.6727</v>
      </c>
      <c r="O11" s="91" t="n">
        <f aca="false">'PT_RES-01'!$H$29</f>
        <v>0.5366</v>
      </c>
      <c r="P11" s="31" t="n">
        <f aca="false">$L11*$N11</f>
        <v>3188257.6138</v>
      </c>
      <c r="Q11" s="31" t="n">
        <f aca="false">$L11*$O11</f>
        <v>2543212.4804</v>
      </c>
      <c r="R11" s="86" t="n">
        <f aca="false">'PT_RES-01'!$K$29</f>
        <v>2887803</v>
      </c>
      <c r="S11" s="86" t="n">
        <f aca="false">'PT_RES-01'!$L$29</f>
        <v>4028570</v>
      </c>
      <c r="T11" s="31" t="n">
        <f aca="false">$Q11-$P11</f>
        <v>-645045.1334</v>
      </c>
      <c r="U11" s="31" t="n">
        <f aca="false">$Q11-$R11</f>
        <v>-344590.5196</v>
      </c>
      <c r="V11" s="152" t="n">
        <f aca="false">IF($P11&lt;=0,1,$Q11/$P11)</f>
        <v>0.797680987067043</v>
      </c>
      <c r="W11" s="152" t="n">
        <f aca="false">IF($R11&lt;=0,1,$Q11/$R11)</f>
        <v>0.880673813414558</v>
      </c>
      <c r="X11" s="31" t="n">
        <f aca="false">IF($W11&lt;=0,$L11,$L11/$W11)</f>
        <v>5381667.90905703</v>
      </c>
      <c r="Y11" s="31" t="n">
        <f aca="false">$L11-$X11</f>
        <v>-642173.909057026</v>
      </c>
      <c r="Z11" s="153" t="str">
        <f aca="false">'PT_RES-01'!$O$29</f>
        <v>At Risk</v>
      </c>
      <c r="AA11" s="46" t="str">
        <f aca="false">IF(AND($V11&gt;=0.95,$W11&gt;=0.95),"Green",IF(OR($V11&lt;0.85,$W11&lt;0.85),"Red","Amber"))</f>
        <v>Red</v>
      </c>
      <c r="AB11" s="31" t="n">
        <f aca="false">MAX(0,$K11-$J11)</f>
        <v>62</v>
      </c>
    </row>
    <row r="12" customFormat="false" ht="13.5" hidden="false" customHeight="true" outlineLevel="0" collapsed="false">
      <c r="A12" s="47" t="s">
        <v>8</v>
      </c>
      <c r="B12" s="154" t="str">
        <f aca="false">IFERROR(INDEX(Projects!$C$9:$C$16,MATCH($A12,Projects!$A$9:$A$16,0)),"")</f>
        <v>Residential</v>
      </c>
      <c r="C12" s="155" t="n">
        <f aca="false">IF(Dashboard!$C$6="Corporate",1,IF(Dashboard!$C$6="Project",IF($A12=Dashboard!$M$6,1,0),IF($B12=Dashboard!$H$6,1,0)))</f>
        <v>1</v>
      </c>
      <c r="D12" s="156" t="s">
        <v>495</v>
      </c>
      <c r="E12" s="37" t="s">
        <v>496</v>
      </c>
      <c r="F12" s="37" t="s">
        <v>497</v>
      </c>
      <c r="G12" s="37" t="s">
        <v>484</v>
      </c>
      <c r="H12" s="37" t="s">
        <v>485</v>
      </c>
      <c r="I12" s="98" t="n">
        <v>46146</v>
      </c>
      <c r="J12" s="98" t="n">
        <v>46418</v>
      </c>
      <c r="K12" s="98" t="n">
        <v>46477</v>
      </c>
      <c r="L12" s="99" t="n">
        <f aca="false">'PT_RES-01'!$F$30</f>
        <v>15941933</v>
      </c>
      <c r="M12" s="100" t="n">
        <f aca="false">IF(SUMIFS($L$9:$L$80,$A$9:$A$80,$A12)=0,0,$L12/SUMIFS($L$9:$L$80,$A$9:$A$80,$A12))</f>
        <v>0.18163763617824</v>
      </c>
      <c r="N12" s="102" t="n">
        <f aca="false">'PT_RES-01'!$G$30</f>
        <v>0.2894</v>
      </c>
      <c r="O12" s="102" t="n">
        <f aca="false">'PT_RES-01'!$H$30</f>
        <v>0.2492</v>
      </c>
      <c r="P12" s="49" t="n">
        <f aca="false">$L12*$N12</f>
        <v>4613595.4102</v>
      </c>
      <c r="Q12" s="49" t="n">
        <f aca="false">$L12*$O12</f>
        <v>3972729.7036</v>
      </c>
      <c r="R12" s="99" t="n">
        <f aca="false">'PT_RES-01'!$K$30</f>
        <v>4156845</v>
      </c>
      <c r="S12" s="99" t="n">
        <f aca="false">'PT_RES-01'!$L$30</f>
        <v>9883998</v>
      </c>
      <c r="T12" s="49" t="n">
        <f aca="false">$Q12-$P12</f>
        <v>-640865.7066</v>
      </c>
      <c r="U12" s="49" t="n">
        <f aca="false">$Q12-$R12</f>
        <v>-184115.2964</v>
      </c>
      <c r="V12" s="157" t="n">
        <f aca="false">IF($P12&lt;=0,1,$Q12/$P12)</f>
        <v>0.86109191430546</v>
      </c>
      <c r="W12" s="157" t="n">
        <f aca="false">IF($R12&lt;=0,1,$Q12/$R12)</f>
        <v>0.955707923581466</v>
      </c>
      <c r="X12" s="49" t="n">
        <f aca="false">IF($W12&lt;=0,$L12,$L12/$W12)</f>
        <v>16680758.4269663</v>
      </c>
      <c r="Y12" s="49" t="n">
        <f aca="false">$L12-$X12</f>
        <v>-738825.426966291</v>
      </c>
      <c r="Z12" s="103" t="str">
        <f aca="false">'PT_RES-01'!$O$30</f>
        <v>In Progress</v>
      </c>
      <c r="AA12" s="52" t="str">
        <f aca="false">IF(AND($V12&gt;=0.95,$W12&gt;=0.95),"Green",IF(OR($V12&lt;0.85,$W12&lt;0.85),"Red","Amber"))</f>
        <v>Amber</v>
      </c>
      <c r="AB12" s="49" t="n">
        <f aca="false">MAX(0,$K12-$J12)</f>
        <v>59</v>
      </c>
    </row>
    <row r="13" customFormat="false" ht="13.5" hidden="false" customHeight="true" outlineLevel="0" collapsed="false">
      <c r="A13" s="149" t="s">
        <v>8</v>
      </c>
      <c r="B13" s="150" t="str">
        <f aca="false">IFERROR(INDEX(Projects!$C$9:$C$16,MATCH($A13,Projects!$A$9:$A$16,0)),"")</f>
        <v>Residential</v>
      </c>
      <c r="C13" s="94" t="n">
        <f aca="false">IF(Dashboard!$C$6="Corporate",1,IF(Dashboard!$C$6="Project",IF($A13=Dashboard!$M$6,1,0),IF($B13=Dashboard!$H$6,1,0)))</f>
        <v>1</v>
      </c>
      <c r="D13" s="151" t="s">
        <v>498</v>
      </c>
      <c r="E13" s="30" t="s">
        <v>499</v>
      </c>
      <c r="F13" s="30" t="s">
        <v>500</v>
      </c>
      <c r="G13" s="30" t="s">
        <v>484</v>
      </c>
      <c r="H13" s="30" t="s">
        <v>485</v>
      </c>
      <c r="I13" s="85" t="n">
        <v>46207</v>
      </c>
      <c r="J13" s="85" t="n">
        <v>46538</v>
      </c>
      <c r="K13" s="85" t="n">
        <v>46599</v>
      </c>
      <c r="L13" s="86" t="n">
        <f aca="false">'PT_RES-01'!$F$31</f>
        <v>21112289</v>
      </c>
      <c r="M13" s="87" t="n">
        <f aca="false">IF(SUMIFS($L$9:$L$80,$A$9:$A$80,$A13)=0,0,$L13/SUMIFS($L$9:$L$80,$A$9:$A$80,$A13))</f>
        <v>0.240547132413106</v>
      </c>
      <c r="N13" s="91" t="n">
        <f aca="false">'PT_RES-01'!$G$31</f>
        <v>0.0461</v>
      </c>
      <c r="O13" s="91" t="n">
        <f aca="false">'PT_RES-01'!$H$31</f>
        <v>0.0434</v>
      </c>
      <c r="P13" s="31" t="n">
        <f aca="false">$L13*$N13</f>
        <v>973276.5229</v>
      </c>
      <c r="Q13" s="31" t="n">
        <f aca="false">$L13*$O13</f>
        <v>916273.3426</v>
      </c>
      <c r="R13" s="86" t="n">
        <f aca="false">'PT_RES-01'!$K$31</f>
        <v>1008633</v>
      </c>
      <c r="S13" s="86" t="n">
        <f aca="false">'PT_RES-01'!$L$31</f>
        <v>9500530</v>
      </c>
      <c r="T13" s="31" t="n">
        <f aca="false">$Q13-$P13</f>
        <v>-57003.1803000001</v>
      </c>
      <c r="U13" s="31" t="n">
        <f aca="false">$Q13-$R13</f>
        <v>-92359.6574</v>
      </c>
      <c r="V13" s="152" t="n">
        <f aca="false">IF($P13&lt;=0,1,$Q13/$P13)</f>
        <v>0.941431670281996</v>
      </c>
      <c r="W13" s="152" t="n">
        <f aca="false">IF($R13&lt;=0,1,$Q13/$R13)</f>
        <v>0.908430858994302</v>
      </c>
      <c r="X13" s="31" t="n">
        <f aca="false">IF($W13&lt;=0,$L13,$L13/$W13)</f>
        <v>23240391.7050691</v>
      </c>
      <c r="Y13" s="31" t="n">
        <f aca="false">$L13-$X13</f>
        <v>-2128102.70506912</v>
      </c>
      <c r="Z13" s="153" t="str">
        <f aca="false">'PT_RES-01'!$O$31</f>
        <v>In Progress</v>
      </c>
      <c r="AA13" s="46" t="str">
        <f aca="false">IF(AND($V13&gt;=0.95,$W13&gt;=0.95),"Green",IF(OR($V13&lt;0.85,$W13&lt;0.85),"Red","Amber"))</f>
        <v>Amber</v>
      </c>
      <c r="AB13" s="31" t="n">
        <f aca="false">MAX(0,$K13-$J13)</f>
        <v>61</v>
      </c>
    </row>
    <row r="14" customFormat="false" ht="13.5" hidden="false" customHeight="true" outlineLevel="0" collapsed="false">
      <c r="A14" s="47" t="s">
        <v>8</v>
      </c>
      <c r="B14" s="154" t="str">
        <f aca="false">IFERROR(INDEX(Projects!$C$9:$C$16,MATCH($A14,Projects!$A$9:$A$16,0)),"")</f>
        <v>Residential</v>
      </c>
      <c r="C14" s="155" t="n">
        <f aca="false">IF(Dashboard!$C$6="Corporate",1,IF(Dashboard!$C$6="Project",IF($A14=Dashboard!$M$6,1,0),IF($B14=Dashboard!$H$6,1,0)))</f>
        <v>1</v>
      </c>
      <c r="D14" s="156" t="s">
        <v>501</v>
      </c>
      <c r="E14" s="37" t="s">
        <v>502</v>
      </c>
      <c r="F14" s="37" t="s">
        <v>503</v>
      </c>
      <c r="G14" s="37" t="s">
        <v>504</v>
      </c>
      <c r="H14" s="37" t="s">
        <v>505</v>
      </c>
      <c r="I14" s="98" t="n">
        <v>46299</v>
      </c>
      <c r="J14" s="98" t="n">
        <v>46599</v>
      </c>
      <c r="K14" s="98" t="n">
        <v>46660</v>
      </c>
      <c r="L14" s="99" t="n">
        <f aca="false">'PT_RES-01'!$F$32</f>
        <v>15941933</v>
      </c>
      <c r="M14" s="100" t="n">
        <f aca="false">IF(SUMIFS($L$9:$L$80,$A$9:$A$80,$A14)=0,0,$L14/SUMIFS($L$9:$L$80,$A$9:$A$80,$A14))</f>
        <v>0.18163763617824</v>
      </c>
      <c r="N14" s="102" t="n">
        <f aca="false">'PT_RES-01'!$G$32</f>
        <v>0</v>
      </c>
      <c r="O14" s="102" t="n">
        <f aca="false">'PT_RES-01'!$H$32</f>
        <v>0</v>
      </c>
      <c r="P14" s="49" t="n">
        <f aca="false">$L14*$N14</f>
        <v>0</v>
      </c>
      <c r="Q14" s="49" t="n">
        <f aca="false">$L14*$O14</f>
        <v>0</v>
      </c>
      <c r="R14" s="99" t="n">
        <f aca="false">'PT_RES-01'!$K$32</f>
        <v>0</v>
      </c>
      <c r="S14" s="99" t="n">
        <f aca="false">'PT_RES-01'!$L$32</f>
        <v>4782580</v>
      </c>
      <c r="T14" s="49" t="n">
        <f aca="false">$Q14-$P14</f>
        <v>0</v>
      </c>
      <c r="U14" s="49" t="n">
        <f aca="false">$Q14-$R14</f>
        <v>0</v>
      </c>
      <c r="V14" s="157" t="n">
        <f aca="false">IF($P14&lt;=0,1,$Q14/$P14)</f>
        <v>1</v>
      </c>
      <c r="W14" s="157" t="n">
        <f aca="false">IF($R14&lt;=0,1,$Q14/$R14)</f>
        <v>1</v>
      </c>
      <c r="X14" s="49" t="n">
        <f aca="false">IF($W14&lt;=0,$L14,$L14/$W14)</f>
        <v>15941933</v>
      </c>
      <c r="Y14" s="49" t="n">
        <f aca="false">$L14-$X14</f>
        <v>0</v>
      </c>
      <c r="Z14" s="103" t="str">
        <f aca="false">'PT_RES-01'!$O$32</f>
        <v>Not Started</v>
      </c>
      <c r="AA14" s="52" t="str">
        <f aca="false">IF(AND($V14&gt;=0.95,$W14&gt;=0.95),"Green",IF(OR($V14&lt;0.85,$W14&lt;0.85),"Red","Amber"))</f>
        <v>Green</v>
      </c>
      <c r="AB14" s="49" t="n">
        <f aca="false">MAX(0,$K14-$J14)</f>
        <v>61</v>
      </c>
    </row>
    <row r="15" customFormat="false" ht="13.5" hidden="false" customHeight="true" outlineLevel="0" collapsed="false">
      <c r="A15" s="149" t="s">
        <v>8</v>
      </c>
      <c r="B15" s="150" t="str">
        <f aca="false">IFERROR(INDEX(Projects!$C$9:$C$16,MATCH($A15,Projects!$A$9:$A$16,0)),"")</f>
        <v>Residential</v>
      </c>
      <c r="C15" s="94" t="n">
        <f aca="false">IF(Dashboard!$C$6="Corporate",1,IF(Dashboard!$C$6="Project",IF($A15=Dashboard!$M$6,1,0),IF($B15=Dashboard!$H$6,1,0)))</f>
        <v>1</v>
      </c>
      <c r="D15" s="151" t="s">
        <v>506</v>
      </c>
      <c r="E15" s="30" t="s">
        <v>507</v>
      </c>
      <c r="F15" s="30" t="s">
        <v>508</v>
      </c>
      <c r="G15" s="30" t="s">
        <v>509</v>
      </c>
      <c r="H15" s="30" t="s">
        <v>510</v>
      </c>
      <c r="I15" s="85" t="n">
        <v>46360</v>
      </c>
      <c r="J15" s="85" t="n">
        <v>46630</v>
      </c>
      <c r="K15" s="85" t="n">
        <v>46691</v>
      </c>
      <c r="L15" s="86" t="n">
        <f aca="false">'PT_RES-01'!$F$33</f>
        <v>11633303</v>
      </c>
      <c r="M15" s="87" t="n">
        <f aca="false">IF(SUMIFS($L$9:$L$80,$A$9:$A$80,$A15)=0,0,$L15/SUMIFS($L$9:$L$80,$A$9:$A$80,$A15))</f>
        <v>0.132546389315852</v>
      </c>
      <c r="N15" s="91" t="n">
        <f aca="false">'PT_RES-01'!$G$33</f>
        <v>0</v>
      </c>
      <c r="O15" s="91" t="n">
        <f aca="false">'PT_RES-01'!$H$33</f>
        <v>0</v>
      </c>
      <c r="P15" s="31" t="n">
        <f aca="false">$L15*$N15</f>
        <v>0</v>
      </c>
      <c r="Q15" s="31" t="n">
        <f aca="false">$L15*$O15</f>
        <v>0</v>
      </c>
      <c r="R15" s="86" t="n">
        <f aca="false">'PT_RES-01'!$K$33</f>
        <v>0</v>
      </c>
      <c r="S15" s="86" t="n">
        <f aca="false">'PT_RES-01'!$L$33</f>
        <v>2093995</v>
      </c>
      <c r="T15" s="31" t="n">
        <f aca="false">$Q15-$P15</f>
        <v>0</v>
      </c>
      <c r="U15" s="31" t="n">
        <f aca="false">$Q15-$R15</f>
        <v>0</v>
      </c>
      <c r="V15" s="152" t="n">
        <f aca="false">IF($P15&lt;=0,1,$Q15/$P15)</f>
        <v>1</v>
      </c>
      <c r="W15" s="152" t="n">
        <f aca="false">IF($R15&lt;=0,1,$Q15/$R15)</f>
        <v>1</v>
      </c>
      <c r="X15" s="31" t="n">
        <f aca="false">IF($W15&lt;=0,$L15,$L15/$W15)</f>
        <v>11633303</v>
      </c>
      <c r="Y15" s="31" t="n">
        <f aca="false">$L15-$X15</f>
        <v>0</v>
      </c>
      <c r="Z15" s="153" t="str">
        <f aca="false">'PT_RES-01'!$O$33</f>
        <v>Not Started</v>
      </c>
      <c r="AA15" s="46" t="str">
        <f aca="false">IF(AND($V15&gt;=0.95,$W15&gt;=0.95),"Green",IF(OR($V15&lt;0.85,$W15&lt;0.85),"Red","Amber"))</f>
        <v>Green</v>
      </c>
      <c r="AB15" s="31" t="n">
        <f aca="false">MAX(0,$K15-$J15)</f>
        <v>61</v>
      </c>
    </row>
    <row r="16" customFormat="false" ht="13.5" hidden="false" customHeight="true" outlineLevel="0" collapsed="false">
      <c r="A16" s="47" t="s">
        <v>8</v>
      </c>
      <c r="B16" s="154" t="str">
        <f aca="false">IFERROR(INDEX(Projects!$C$9:$C$16,MATCH($A16,Projects!$A$9:$A$16,0)),"")</f>
        <v>Residential</v>
      </c>
      <c r="C16" s="155" t="n">
        <f aca="false">IF(Dashboard!$C$6="Corporate",1,IF(Dashboard!$C$6="Project",IF($A16=Dashboard!$M$6,1,0),IF($B16=Dashboard!$H$6,1,0)))</f>
        <v>1</v>
      </c>
      <c r="D16" s="156" t="s">
        <v>511</v>
      </c>
      <c r="E16" s="37" t="s">
        <v>512</v>
      </c>
      <c r="F16" s="37" t="s">
        <v>513</v>
      </c>
      <c r="G16" s="37" t="s">
        <v>514</v>
      </c>
      <c r="H16" s="37" t="s">
        <v>515</v>
      </c>
      <c r="I16" s="98" t="n">
        <v>46572</v>
      </c>
      <c r="J16" s="98" t="n">
        <v>46660</v>
      </c>
      <c r="K16" s="98" t="n">
        <v>46721</v>
      </c>
      <c r="L16" s="99" t="n">
        <f aca="false">'PT_RES-01'!$F$34</f>
        <v>6462946</v>
      </c>
      <c r="M16" s="100" t="n">
        <f aca="false">IF(SUMIFS($L$9:$L$80,$A$9:$A$80,$A16)=0,0,$L16/SUMIFS($L$9:$L$80,$A$9:$A$80,$A16))</f>
        <v>0.0736368816872842</v>
      </c>
      <c r="N16" s="102" t="n">
        <f aca="false">'PT_RES-01'!$G$34</f>
        <v>0</v>
      </c>
      <c r="O16" s="102" t="n">
        <f aca="false">'PT_RES-01'!$H$34</f>
        <v>0</v>
      </c>
      <c r="P16" s="49" t="n">
        <f aca="false">$L16*$N16</f>
        <v>0</v>
      </c>
      <c r="Q16" s="49" t="n">
        <f aca="false">$L16*$O16</f>
        <v>0</v>
      </c>
      <c r="R16" s="99" t="n">
        <f aca="false">'PT_RES-01'!$K$34</f>
        <v>0</v>
      </c>
      <c r="S16" s="99" t="n">
        <f aca="false">'PT_RES-01'!$L$34</f>
        <v>323147</v>
      </c>
      <c r="T16" s="49" t="n">
        <f aca="false">$Q16-$P16</f>
        <v>0</v>
      </c>
      <c r="U16" s="49" t="n">
        <f aca="false">$Q16-$R16</f>
        <v>0</v>
      </c>
      <c r="V16" s="157" t="n">
        <f aca="false">IF($P16&lt;=0,1,$Q16/$P16)</f>
        <v>1</v>
      </c>
      <c r="W16" s="157" t="n">
        <f aca="false">IF($R16&lt;=0,1,$Q16/$R16)</f>
        <v>1</v>
      </c>
      <c r="X16" s="49" t="n">
        <f aca="false">IF($W16&lt;=0,$L16,$L16/$W16)</f>
        <v>6462946</v>
      </c>
      <c r="Y16" s="49" t="n">
        <f aca="false">$L16-$X16</f>
        <v>0</v>
      </c>
      <c r="Z16" s="103" t="str">
        <f aca="false">'PT_RES-01'!$O$34</f>
        <v>Not Started</v>
      </c>
      <c r="AA16" s="52" t="str">
        <f aca="false">IF(AND($V16&gt;=0.95,$W16&gt;=0.95),"Green",IF(OR($V16&lt;0.85,$W16&lt;0.85),"Red","Amber"))</f>
        <v>Green</v>
      </c>
      <c r="AB16" s="49" t="n">
        <f aca="false">MAX(0,$K16-$J16)</f>
        <v>61</v>
      </c>
    </row>
    <row r="17" customFormat="false" ht="13.5" hidden="false" customHeight="true" outlineLevel="0" collapsed="false">
      <c r="A17" s="149" t="s">
        <v>8</v>
      </c>
      <c r="B17" s="150" t="str">
        <f aca="false">IFERROR(INDEX(Projects!$C$9:$C$16,MATCH($A17,Projects!$A$9:$A$16,0)),"")</f>
        <v>Residential</v>
      </c>
      <c r="C17" s="94" t="n">
        <f aca="false">IF(Dashboard!$C$6="Corporate",1,IF(Dashboard!$C$6="Project",IF($A17=Dashboard!$M$6,1,0),IF($B17=Dashboard!$H$6,1,0)))</f>
        <v>1</v>
      </c>
      <c r="D17" s="151" t="s">
        <v>516</v>
      </c>
      <c r="E17" s="30" t="s">
        <v>517</v>
      </c>
      <c r="F17" s="30" t="s">
        <v>518</v>
      </c>
      <c r="G17" s="30" t="s">
        <v>514</v>
      </c>
      <c r="H17" s="30" t="s">
        <v>519</v>
      </c>
      <c r="I17" s="85" t="n">
        <v>46203</v>
      </c>
      <c r="J17" s="85" t="n">
        <v>46630</v>
      </c>
      <c r="K17" s="85" t="n">
        <v>46660</v>
      </c>
      <c r="L17" s="158" t="n">
        <f aca="false">'PT_RES-01'!$F$35</f>
        <v>1595173</v>
      </c>
      <c r="M17" s="87" t="n">
        <f aca="false">IF(SUMIFS($L$9:$L$80,$A$9:$A$80,$A17)=0,0,$L17/SUMIFS($L$9:$L$80,$A$9:$A$80,$A17))</f>
        <v>0.0181749260278131</v>
      </c>
      <c r="N17" s="91" t="n">
        <f aca="false">'PT_RES-01'!$G$35</f>
        <v>0.1676</v>
      </c>
      <c r="O17" s="91" t="n">
        <f aca="false">'PT_RES-01'!$H$35</f>
        <v>0.1484</v>
      </c>
      <c r="P17" s="31" t="n">
        <f aca="false">$L17*$N17</f>
        <v>267350.9948</v>
      </c>
      <c r="Q17" s="31" t="n">
        <f aca="false">$L17*$O17</f>
        <v>236723.6732</v>
      </c>
      <c r="R17" s="86" t="n">
        <f aca="false">'PT_RES-01'!$K$35</f>
        <v>258291</v>
      </c>
      <c r="S17" s="86" t="n">
        <f aca="false">'PT_RES-01'!$L$35</f>
        <v>877345</v>
      </c>
      <c r="T17" s="31" t="n">
        <f aca="false">$Q17-$P17</f>
        <v>-30627.3216</v>
      </c>
      <c r="U17" s="31" t="n">
        <f aca="false">$Q17-$R17</f>
        <v>-21567.3268</v>
      </c>
      <c r="V17" s="152" t="n">
        <f aca="false">IF($P17&lt;=0,1,$Q17/$P17)</f>
        <v>0.885441527446301</v>
      </c>
      <c r="W17" s="152" t="n">
        <f aca="false">IF($R17&lt;=0,1,$Q17/$R17)</f>
        <v>0.916499890433658</v>
      </c>
      <c r="X17" s="31" t="n">
        <f aca="false">IF($W17&lt;=0,$L17,$L17/$W17)</f>
        <v>1740505.39083558</v>
      </c>
      <c r="Y17" s="31" t="n">
        <f aca="false">$L17-$X17</f>
        <v>-145332.390835579</v>
      </c>
      <c r="Z17" s="153" t="str">
        <f aca="false">'PT_RES-01'!$O$35</f>
        <v>In Progress</v>
      </c>
      <c r="AA17" s="46" t="str">
        <f aca="false">IF(AND($V17&gt;=0.95,$W17&gt;=0.95),"Green",IF(OR($V17&lt;0.85,$W17&lt;0.85),"Red","Amber"))</f>
        <v>Amber</v>
      </c>
      <c r="AB17" s="31" t="n">
        <f aca="false">MAX(0,$K17-$J17)</f>
        <v>30</v>
      </c>
    </row>
    <row r="18" customFormat="false" ht="13.5" hidden="false" customHeight="true" outlineLevel="0" collapsed="false">
      <c r="A18" s="47" t="s">
        <v>293</v>
      </c>
      <c r="B18" s="154" t="str">
        <f aca="false">IFERROR(INDEX(Projects!$C$9:$C$16,MATCH($A18,Projects!$A$9:$A$16,0)),"")</f>
        <v>Residential</v>
      </c>
      <c r="C18" s="155" t="n">
        <f aca="false">IF(Dashboard!$C$6="Corporate",1,IF(Dashboard!$C$6="Project",IF($A18=Dashboard!$M$6,1,0),IF($B18=Dashboard!$H$6,1,0)))</f>
        <v>1</v>
      </c>
      <c r="D18" s="156" t="s">
        <v>481</v>
      </c>
      <c r="E18" s="37" t="s">
        <v>482</v>
      </c>
      <c r="F18" s="37" t="s">
        <v>483</v>
      </c>
      <c r="G18" s="37" t="s">
        <v>484</v>
      </c>
      <c r="H18" s="37" t="s">
        <v>485</v>
      </c>
      <c r="I18" s="98" t="n">
        <v>46176</v>
      </c>
      <c r="J18" s="98" t="n">
        <v>46203</v>
      </c>
      <c r="K18" s="98" t="n">
        <v>46265</v>
      </c>
      <c r="L18" s="99" t="n">
        <f aca="false">'PT_RES-02'!$F$27</f>
        <v>1946880</v>
      </c>
      <c r="M18" s="100" t="n">
        <f aca="false">IF(SUMIFS($L$9:$L$80,$A$9:$A$80,$A18)=0,0,$L18/SUMIFS($L$9:$L$80,$A$9:$A$80,$A18))</f>
        <v>0.0447377150119222</v>
      </c>
      <c r="N18" s="102" t="n">
        <f aca="false">'PT_RES-02'!$G$27</f>
        <v>1</v>
      </c>
      <c r="O18" s="102" t="n">
        <f aca="false">'PT_RES-02'!$H$27</f>
        <v>0.8325</v>
      </c>
      <c r="P18" s="49" t="n">
        <f aca="false">$L18*$N18</f>
        <v>1946880</v>
      </c>
      <c r="Q18" s="49" t="n">
        <f aca="false">$L18*$O18</f>
        <v>1620777.6</v>
      </c>
      <c r="R18" s="99" t="n">
        <f aca="false">'PT_RES-02'!$K$27</f>
        <v>1786860</v>
      </c>
      <c r="S18" s="99" t="n">
        <f aca="false">'PT_RES-02'!$L$27</f>
        <v>1946880</v>
      </c>
      <c r="T18" s="49" t="n">
        <f aca="false">$Q18-$P18</f>
        <v>-326102.4</v>
      </c>
      <c r="U18" s="49" t="n">
        <f aca="false">$Q18-$R18</f>
        <v>-166082.4</v>
      </c>
      <c r="V18" s="157" t="n">
        <f aca="false">IF($P18&lt;=0,1,$Q18/$P18)</f>
        <v>0.8325</v>
      </c>
      <c r="W18" s="157" t="n">
        <f aca="false">IF($R18&lt;=0,1,$Q18/$R18)</f>
        <v>0.907053490480508</v>
      </c>
      <c r="X18" s="49" t="n">
        <f aca="false">IF($W18&lt;=0,$L18,$L18/$W18)</f>
        <v>2146378.37837838</v>
      </c>
      <c r="Y18" s="49" t="n">
        <f aca="false">$L18-$X18</f>
        <v>-199498.378378378</v>
      </c>
      <c r="Z18" s="103" t="str">
        <f aca="false">'PT_RES-02'!$O$27</f>
        <v>At Risk</v>
      </c>
      <c r="AA18" s="52" t="str">
        <f aca="false">IF(AND($V18&gt;=0.95,$W18&gt;=0.95),"Green",IF(OR($V18&lt;0.85,$W18&lt;0.85),"Red","Amber"))</f>
        <v>Red</v>
      </c>
      <c r="AB18" s="49" t="n">
        <f aca="false">MAX(0,$K18-$J18)</f>
        <v>62</v>
      </c>
    </row>
    <row r="19" customFormat="false" ht="13.5" hidden="false" customHeight="true" outlineLevel="0" collapsed="false">
      <c r="A19" s="149" t="s">
        <v>293</v>
      </c>
      <c r="B19" s="150" t="str">
        <f aca="false">IFERROR(INDEX(Projects!$C$9:$C$16,MATCH($A19,Projects!$A$9:$A$16,0)),"")</f>
        <v>Residential</v>
      </c>
      <c r="C19" s="94" t="n">
        <f aca="false">IF(Dashboard!$C$6="Corporate",1,IF(Dashboard!$C$6="Project",IF($A19=Dashboard!$M$6,1,0),IF($B19=Dashboard!$H$6,1,0)))</f>
        <v>1</v>
      </c>
      <c r="D19" s="151" t="s">
        <v>486</v>
      </c>
      <c r="E19" s="30" t="s">
        <v>487</v>
      </c>
      <c r="F19" s="30" t="s">
        <v>483</v>
      </c>
      <c r="G19" s="30" t="s">
        <v>488</v>
      </c>
      <c r="H19" s="30" t="s">
        <v>520</v>
      </c>
      <c r="I19" s="85" t="n">
        <v>46176</v>
      </c>
      <c r="J19" s="85" t="n">
        <v>46660</v>
      </c>
      <c r="K19" s="85" t="n">
        <v>46721</v>
      </c>
      <c r="L19" s="86" t="n">
        <f aca="false">'PT_RES-02'!$F$28</f>
        <v>3244800</v>
      </c>
      <c r="M19" s="87" t="n">
        <f aca="false">IF(SUMIFS($L$9:$L$80,$A$9:$A$80,$A19)=0,0,$L19/SUMIFS($L$9:$L$80,$A$9:$A$80,$A19))</f>
        <v>0.0745628583532036</v>
      </c>
      <c r="N19" s="91" t="n">
        <f aca="false">'PT_RES-02'!$G$28</f>
        <v>0.1875</v>
      </c>
      <c r="O19" s="91" t="n">
        <f aca="false">'PT_RES-02'!$H$28</f>
        <v>0.1473</v>
      </c>
      <c r="P19" s="31" t="n">
        <f aca="false">$L19*$N19</f>
        <v>608400</v>
      </c>
      <c r="Q19" s="31" t="n">
        <f aca="false">$L19*$O19</f>
        <v>477959.04</v>
      </c>
      <c r="R19" s="86" t="n">
        <f aca="false">'PT_RES-02'!$K$28</f>
        <v>548071</v>
      </c>
      <c r="S19" s="86" t="n">
        <f aca="false">'PT_RES-02'!$L$28</f>
        <v>2920320</v>
      </c>
      <c r="T19" s="31" t="n">
        <f aca="false">$Q19-$P19</f>
        <v>-130440.96</v>
      </c>
      <c r="U19" s="31" t="n">
        <f aca="false">$Q19-$R19</f>
        <v>-70111.96</v>
      </c>
      <c r="V19" s="152" t="n">
        <f aca="false">IF($P19&lt;=0,1,$Q19/$P19)</f>
        <v>0.7856</v>
      </c>
      <c r="W19" s="152" t="n">
        <f aca="false">IF($R19&lt;=0,1,$Q19/$R19)</f>
        <v>0.872075041372377</v>
      </c>
      <c r="X19" s="31" t="n">
        <f aca="false">IF($W19&lt;=0,$L19,$L19/$W19)</f>
        <v>3720780.71961982</v>
      </c>
      <c r="Y19" s="31" t="n">
        <f aca="false">$L19-$X19</f>
        <v>-475980.719619824</v>
      </c>
      <c r="Z19" s="153" t="str">
        <f aca="false">'PT_RES-02'!$O$28</f>
        <v>At Risk</v>
      </c>
      <c r="AA19" s="46" t="str">
        <f aca="false">IF(AND($V19&gt;=0.95,$W19&gt;=0.95),"Green",IF(OR($V19&lt;0.85,$W19&lt;0.85),"Red","Amber"))</f>
        <v>Red</v>
      </c>
      <c r="AB19" s="31" t="n">
        <f aca="false">MAX(0,$K19-$J19)</f>
        <v>61</v>
      </c>
    </row>
    <row r="20" customFormat="false" ht="13.5" hidden="false" customHeight="true" outlineLevel="0" collapsed="false">
      <c r="A20" s="47" t="s">
        <v>293</v>
      </c>
      <c r="B20" s="154" t="str">
        <f aca="false">IFERROR(INDEX(Projects!$C$9:$C$16,MATCH($A20,Projects!$A$9:$A$16,0)),"")</f>
        <v>Residential</v>
      </c>
      <c r="C20" s="155" t="n">
        <f aca="false">IF(Dashboard!$C$6="Corporate",1,IF(Dashboard!$C$6="Project",IF($A20=Dashboard!$M$6,1,0),IF($B20=Dashboard!$H$6,1,0)))</f>
        <v>1</v>
      </c>
      <c r="D20" s="156" t="s">
        <v>490</v>
      </c>
      <c r="E20" s="37" t="s">
        <v>491</v>
      </c>
      <c r="F20" s="37" t="s">
        <v>492</v>
      </c>
      <c r="G20" s="37" t="s">
        <v>493</v>
      </c>
      <c r="H20" s="37" t="s">
        <v>494</v>
      </c>
      <c r="I20" s="98" t="n">
        <v>46176</v>
      </c>
      <c r="J20" s="98" t="n">
        <v>46387</v>
      </c>
      <c r="K20" s="98" t="n">
        <v>46446</v>
      </c>
      <c r="L20" s="99" t="n">
        <f aca="false">'PT_RES-02'!$F$29</f>
        <v>2379520</v>
      </c>
      <c r="M20" s="100" t="n">
        <f aca="false">IF(SUMIFS($L$9:$L$80,$A$9:$A$80,$A20)=0,0,$L20/SUMIFS($L$9:$L$80,$A$9:$A$80,$A20))</f>
        <v>0.054679429459016</v>
      </c>
      <c r="N20" s="102" t="n">
        <f aca="false">'PT_RES-02'!$G$29</f>
        <v>0.3762</v>
      </c>
      <c r="O20" s="102" t="n">
        <f aca="false">'PT_RES-02'!$H$29</f>
        <v>0.26</v>
      </c>
      <c r="P20" s="49" t="n">
        <f aca="false">$L20*$N20</f>
        <v>895175.424</v>
      </c>
      <c r="Q20" s="49" t="n">
        <f aca="false">$L20*$O20</f>
        <v>618675.2</v>
      </c>
      <c r="R20" s="99" t="n">
        <f aca="false">'PT_RES-02'!$K$29</f>
        <v>747303</v>
      </c>
      <c r="S20" s="99" t="n">
        <f aca="false">'PT_RES-02'!$L$29</f>
        <v>2022592</v>
      </c>
      <c r="T20" s="49" t="n">
        <f aca="false">$Q20-$P20</f>
        <v>-276500.224</v>
      </c>
      <c r="U20" s="49" t="n">
        <f aca="false">$Q20-$R20</f>
        <v>-128627.8</v>
      </c>
      <c r="V20" s="157" t="n">
        <f aca="false">IF($P20&lt;=0,1,$Q20/$P20)</f>
        <v>0.691121743753323</v>
      </c>
      <c r="W20" s="157" t="n">
        <f aca="false">IF($R20&lt;=0,1,$Q20/$R20)</f>
        <v>0.827877313485962</v>
      </c>
      <c r="X20" s="49" t="n">
        <f aca="false">IF($W20&lt;=0,$L20,$L20/$W20)</f>
        <v>2874242.30769231</v>
      </c>
      <c r="Y20" s="49" t="n">
        <f aca="false">$L20-$X20</f>
        <v>-494722.307692308</v>
      </c>
      <c r="Z20" s="103" t="str">
        <f aca="false">'PT_RES-02'!$O$29</f>
        <v>At Risk</v>
      </c>
      <c r="AA20" s="52" t="str">
        <f aca="false">IF(AND($V20&gt;=0.95,$W20&gt;=0.95),"Green",IF(OR($V20&lt;0.85,$W20&lt;0.85),"Red","Amber"))</f>
        <v>Red</v>
      </c>
      <c r="AB20" s="49" t="n">
        <f aca="false">MAX(0,$K20-$J20)</f>
        <v>59</v>
      </c>
    </row>
    <row r="21" customFormat="false" ht="13.5" hidden="false" customHeight="true" outlineLevel="0" collapsed="false">
      <c r="A21" s="149" t="s">
        <v>293</v>
      </c>
      <c r="B21" s="150" t="str">
        <f aca="false">IFERROR(INDEX(Projects!$C$9:$C$16,MATCH($A21,Projects!$A$9:$A$16,0)),"")</f>
        <v>Residential</v>
      </c>
      <c r="C21" s="94" t="n">
        <f aca="false">IF(Dashboard!$C$6="Corporate",1,IF(Dashboard!$C$6="Project",IF($A21=Dashboard!$M$6,1,0),IF($B21=Dashboard!$H$6,1,0)))</f>
        <v>1</v>
      </c>
      <c r="D21" s="151" t="s">
        <v>495</v>
      </c>
      <c r="E21" s="30" t="s">
        <v>496</v>
      </c>
      <c r="F21" s="30" t="s">
        <v>497</v>
      </c>
      <c r="G21" s="30" t="s">
        <v>484</v>
      </c>
      <c r="H21" s="30" t="s">
        <v>485</v>
      </c>
      <c r="I21" s="85" t="n">
        <v>46207</v>
      </c>
      <c r="J21" s="85" t="n">
        <v>46446</v>
      </c>
      <c r="K21" s="85" t="n">
        <v>46507</v>
      </c>
      <c r="L21" s="86" t="n">
        <f aca="false">'PT_RES-02'!$F$30</f>
        <v>8003840</v>
      </c>
      <c r="M21" s="87" t="n">
        <f aca="false">IF(SUMIFS($L$9:$L$80,$A$9:$A$80,$A21)=0,0,$L21/SUMIFS($L$9:$L$80,$A$9:$A$80,$A21))</f>
        <v>0.183921717271236</v>
      </c>
      <c r="N21" s="91" t="n">
        <f aca="false">'PT_RES-02'!$G$30</f>
        <v>0.0812</v>
      </c>
      <c r="O21" s="91" t="n">
        <f aca="false">'PT_RES-02'!$H$30</f>
        <v>0.0606</v>
      </c>
      <c r="P21" s="31" t="n">
        <f aca="false">$L21*$N21</f>
        <v>649911.808</v>
      </c>
      <c r="Q21" s="31" t="n">
        <f aca="false">$L21*$O21</f>
        <v>485032.704</v>
      </c>
      <c r="R21" s="86" t="n">
        <f aca="false">'PT_RES-02'!$K$30</f>
        <v>539544</v>
      </c>
      <c r="S21" s="86" t="n">
        <f aca="false">'PT_RES-02'!$L$30</f>
        <v>4962381</v>
      </c>
      <c r="T21" s="31" t="n">
        <f aca="false">$Q21-$P21</f>
        <v>-164879.104</v>
      </c>
      <c r="U21" s="31" t="n">
        <f aca="false">$Q21-$R21</f>
        <v>-54511.296</v>
      </c>
      <c r="V21" s="152" t="n">
        <f aca="false">IF($P21&lt;=0,1,$Q21/$P21)</f>
        <v>0.746305418719212</v>
      </c>
      <c r="W21" s="152" t="n">
        <f aca="false">IF($R21&lt;=0,1,$Q21/$R21)</f>
        <v>0.898967839508919</v>
      </c>
      <c r="X21" s="31" t="n">
        <f aca="false">IF($W21&lt;=0,$L21,$L21/$W21)</f>
        <v>8903366.33663366</v>
      </c>
      <c r="Y21" s="31" t="n">
        <f aca="false">$L21-$X21</f>
        <v>-899526.336633664</v>
      </c>
      <c r="Z21" s="153" t="str">
        <f aca="false">'PT_RES-02'!$O$30</f>
        <v>At Risk</v>
      </c>
      <c r="AA21" s="46" t="str">
        <f aca="false">IF(AND($V21&gt;=0.95,$W21&gt;=0.95),"Green",IF(OR($V21&lt;0.85,$W21&lt;0.85),"Red","Amber"))</f>
        <v>Red</v>
      </c>
      <c r="AB21" s="31" t="n">
        <f aca="false">MAX(0,$K21-$J21)</f>
        <v>61</v>
      </c>
    </row>
    <row r="22" customFormat="false" ht="13.5" hidden="false" customHeight="true" outlineLevel="0" collapsed="false">
      <c r="A22" s="47" t="s">
        <v>293</v>
      </c>
      <c r="B22" s="154" t="str">
        <f aca="false">IFERROR(INDEX(Projects!$C$9:$C$16,MATCH($A22,Projects!$A$9:$A$16,0)),"")</f>
        <v>Residential</v>
      </c>
      <c r="C22" s="155" t="n">
        <f aca="false">IF(Dashboard!$C$6="Corporate",1,IF(Dashboard!$C$6="Project",IF($A22=Dashboard!$M$6,1,0),IF($B22=Dashboard!$H$6,1,0)))</f>
        <v>1</v>
      </c>
      <c r="D22" s="156" t="s">
        <v>498</v>
      </c>
      <c r="E22" s="37" t="s">
        <v>499</v>
      </c>
      <c r="F22" s="37" t="s">
        <v>500</v>
      </c>
      <c r="G22" s="37" t="s">
        <v>484</v>
      </c>
      <c r="H22" s="37" t="s">
        <v>485</v>
      </c>
      <c r="I22" s="98" t="n">
        <v>46268</v>
      </c>
      <c r="J22" s="98" t="n">
        <v>46538</v>
      </c>
      <c r="K22" s="98" t="n">
        <v>46599</v>
      </c>
      <c r="L22" s="99" t="n">
        <f aca="false">'PT_RES-02'!$F$31</f>
        <v>10599680</v>
      </c>
      <c r="M22" s="100" t="n">
        <f aca="false">IF(SUMIFS($L$9:$L$80,$A$9:$A$80,$A22)=0,0,$L22/SUMIFS($L$9:$L$80,$A$9:$A$80,$A22))</f>
        <v>0.243572003953799</v>
      </c>
      <c r="N22" s="102" t="n">
        <f aca="false">'PT_RES-02'!$G$31</f>
        <v>0</v>
      </c>
      <c r="O22" s="102" t="n">
        <f aca="false">'PT_RES-02'!$H$31</f>
        <v>0</v>
      </c>
      <c r="P22" s="49" t="n">
        <f aca="false">$L22*$N22</f>
        <v>0</v>
      </c>
      <c r="Q22" s="49" t="n">
        <f aca="false">$L22*$O22</f>
        <v>0</v>
      </c>
      <c r="R22" s="99" t="n">
        <f aca="false">'PT_RES-02'!$K$31</f>
        <v>0</v>
      </c>
      <c r="S22" s="99" t="n">
        <f aca="false">'PT_RES-02'!$L$31</f>
        <v>4769856</v>
      </c>
      <c r="T22" s="49" t="n">
        <f aca="false">$Q22-$P22</f>
        <v>0</v>
      </c>
      <c r="U22" s="49" t="n">
        <f aca="false">$Q22-$R22</f>
        <v>0</v>
      </c>
      <c r="V22" s="157" t="n">
        <f aca="false">IF($P22&lt;=0,1,$Q22/$P22)</f>
        <v>1</v>
      </c>
      <c r="W22" s="157" t="n">
        <f aca="false">IF($R22&lt;=0,1,$Q22/$R22)</f>
        <v>1</v>
      </c>
      <c r="X22" s="49" t="n">
        <f aca="false">IF($W22&lt;=0,$L22,$L22/$W22)</f>
        <v>10599680</v>
      </c>
      <c r="Y22" s="49" t="n">
        <f aca="false">$L22-$X22</f>
        <v>0</v>
      </c>
      <c r="Z22" s="103" t="str">
        <f aca="false">'PT_RES-02'!$O$31</f>
        <v>Not Started</v>
      </c>
      <c r="AA22" s="52" t="str">
        <f aca="false">IF(AND($V22&gt;=0.95,$W22&gt;=0.95),"Green",IF(OR($V22&lt;0.85,$W22&lt;0.85),"Red","Amber"))</f>
        <v>Green</v>
      </c>
      <c r="AB22" s="49" t="n">
        <f aca="false">MAX(0,$K22-$J22)</f>
        <v>61</v>
      </c>
    </row>
    <row r="23" customFormat="false" ht="13.5" hidden="false" customHeight="true" outlineLevel="0" collapsed="false">
      <c r="A23" s="149" t="s">
        <v>293</v>
      </c>
      <c r="B23" s="150" t="str">
        <f aca="false">IFERROR(INDEX(Projects!$C$9:$C$16,MATCH($A23,Projects!$A$9:$A$16,0)),"")</f>
        <v>Residential</v>
      </c>
      <c r="C23" s="94" t="n">
        <f aca="false">IF(Dashboard!$C$6="Corporate",1,IF(Dashboard!$C$6="Project",IF($A23=Dashboard!$M$6,1,0),IF($B23=Dashboard!$H$6,1,0)))</f>
        <v>1</v>
      </c>
      <c r="D23" s="151" t="s">
        <v>501</v>
      </c>
      <c r="E23" s="30" t="s">
        <v>502</v>
      </c>
      <c r="F23" s="30" t="s">
        <v>503</v>
      </c>
      <c r="G23" s="30" t="s">
        <v>504</v>
      </c>
      <c r="H23" s="30" t="s">
        <v>505</v>
      </c>
      <c r="I23" s="85" t="n">
        <v>46329</v>
      </c>
      <c r="J23" s="85" t="n">
        <v>46599</v>
      </c>
      <c r="K23" s="85" t="n">
        <v>46660</v>
      </c>
      <c r="L23" s="86" t="n">
        <f aca="false">'PT_RES-02'!$F$32</f>
        <v>8003840</v>
      </c>
      <c r="M23" s="87" t="n">
        <f aca="false">IF(SUMIFS($L$9:$L$80,$A$9:$A$80,$A23)=0,0,$L23/SUMIFS($L$9:$L$80,$A$9:$A$80,$A23))</f>
        <v>0.183921717271236</v>
      </c>
      <c r="N23" s="91" t="n">
        <f aca="false">'PT_RES-02'!$G$32</f>
        <v>0</v>
      </c>
      <c r="O23" s="91" t="n">
        <f aca="false">'PT_RES-02'!$H$32</f>
        <v>0</v>
      </c>
      <c r="P23" s="31" t="n">
        <f aca="false">$L23*$N23</f>
        <v>0</v>
      </c>
      <c r="Q23" s="31" t="n">
        <f aca="false">$L23*$O23</f>
        <v>0</v>
      </c>
      <c r="R23" s="86" t="n">
        <f aca="false">'PT_RES-02'!$K$32</f>
        <v>0</v>
      </c>
      <c r="S23" s="86" t="n">
        <f aca="false">'PT_RES-02'!$L$32</f>
        <v>2401152</v>
      </c>
      <c r="T23" s="31" t="n">
        <f aca="false">$Q23-$P23</f>
        <v>0</v>
      </c>
      <c r="U23" s="31" t="n">
        <f aca="false">$Q23-$R23</f>
        <v>0</v>
      </c>
      <c r="V23" s="152" t="n">
        <f aca="false">IF($P23&lt;=0,1,$Q23/$P23)</f>
        <v>1</v>
      </c>
      <c r="W23" s="152" t="n">
        <f aca="false">IF($R23&lt;=0,1,$Q23/$R23)</f>
        <v>1</v>
      </c>
      <c r="X23" s="31" t="n">
        <f aca="false">IF($W23&lt;=0,$L23,$L23/$W23)</f>
        <v>8003840</v>
      </c>
      <c r="Y23" s="31" t="n">
        <f aca="false">$L23-$X23</f>
        <v>0</v>
      </c>
      <c r="Z23" s="153" t="str">
        <f aca="false">'PT_RES-02'!$O$32</f>
        <v>Not Started</v>
      </c>
      <c r="AA23" s="46" t="str">
        <f aca="false">IF(AND($V23&gt;=0.95,$W23&gt;=0.95),"Green",IF(OR($V23&lt;0.85,$W23&lt;0.85),"Red","Amber"))</f>
        <v>Green</v>
      </c>
      <c r="AB23" s="31" t="n">
        <f aca="false">MAX(0,$K23-$J23)</f>
        <v>61</v>
      </c>
    </row>
    <row r="24" customFormat="false" ht="13.5" hidden="false" customHeight="true" outlineLevel="0" collapsed="false">
      <c r="A24" s="47" t="s">
        <v>293</v>
      </c>
      <c r="B24" s="154" t="str">
        <f aca="false">IFERROR(INDEX(Projects!$C$9:$C$16,MATCH($A24,Projects!$A$9:$A$16,0)),"")</f>
        <v>Residential</v>
      </c>
      <c r="C24" s="155" t="n">
        <f aca="false">IF(Dashboard!$C$6="Corporate",1,IF(Dashboard!$C$6="Project",IF($A24=Dashboard!$M$6,1,0),IF($B24=Dashboard!$H$6,1,0)))</f>
        <v>1</v>
      </c>
      <c r="D24" s="156" t="s">
        <v>506</v>
      </c>
      <c r="E24" s="37" t="s">
        <v>507</v>
      </c>
      <c r="F24" s="37" t="s">
        <v>508</v>
      </c>
      <c r="G24" s="37" t="s">
        <v>509</v>
      </c>
      <c r="H24" s="37" t="s">
        <v>510</v>
      </c>
      <c r="I24" s="98" t="n">
        <v>46391</v>
      </c>
      <c r="J24" s="98" t="n">
        <v>46630</v>
      </c>
      <c r="K24" s="98" t="n">
        <v>46691</v>
      </c>
      <c r="L24" s="99" t="n">
        <f aca="false">'PT_RES-02'!$F$33</f>
        <v>5840640</v>
      </c>
      <c r="M24" s="100" t="n">
        <f aca="false">IF(SUMIFS($L$9:$L$80,$A$9:$A$80,$A24)=0,0,$L24/SUMIFS($L$9:$L$80,$A$9:$A$80,$A24))</f>
        <v>0.134213145035767</v>
      </c>
      <c r="N24" s="102" t="n">
        <f aca="false">'PT_RES-02'!$G$33</f>
        <v>0</v>
      </c>
      <c r="O24" s="102" t="n">
        <f aca="false">'PT_RES-02'!$H$33</f>
        <v>0</v>
      </c>
      <c r="P24" s="49" t="n">
        <f aca="false">$L24*$N24</f>
        <v>0</v>
      </c>
      <c r="Q24" s="49" t="n">
        <f aca="false">$L24*$O24</f>
        <v>0</v>
      </c>
      <c r="R24" s="99" t="n">
        <f aca="false">'PT_RES-02'!$K$33</f>
        <v>0</v>
      </c>
      <c r="S24" s="99" t="n">
        <f aca="false">'PT_RES-02'!$L$33</f>
        <v>1051315</v>
      </c>
      <c r="T24" s="49" t="n">
        <f aca="false">$Q24-$P24</f>
        <v>0</v>
      </c>
      <c r="U24" s="49" t="n">
        <f aca="false">$Q24-$R24</f>
        <v>0</v>
      </c>
      <c r="V24" s="157" t="n">
        <f aca="false">IF($P24&lt;=0,1,$Q24/$P24)</f>
        <v>1</v>
      </c>
      <c r="W24" s="157" t="n">
        <f aca="false">IF($R24&lt;=0,1,$Q24/$R24)</f>
        <v>1</v>
      </c>
      <c r="X24" s="49" t="n">
        <f aca="false">IF($W24&lt;=0,$L24,$L24/$W24)</f>
        <v>5840640</v>
      </c>
      <c r="Y24" s="49" t="n">
        <f aca="false">$L24-$X24</f>
        <v>0</v>
      </c>
      <c r="Z24" s="103" t="str">
        <f aca="false">'PT_RES-02'!$O$33</f>
        <v>Not Started</v>
      </c>
      <c r="AA24" s="52" t="str">
        <f aca="false">IF(AND($V24&gt;=0.95,$W24&gt;=0.95),"Green",IF(OR($V24&lt;0.85,$W24&lt;0.85),"Red","Amber"))</f>
        <v>Green</v>
      </c>
      <c r="AB24" s="49" t="n">
        <f aca="false">MAX(0,$K24-$J24)</f>
        <v>61</v>
      </c>
    </row>
    <row r="25" customFormat="false" ht="13.5" hidden="false" customHeight="true" outlineLevel="0" collapsed="false">
      <c r="A25" s="149" t="s">
        <v>293</v>
      </c>
      <c r="B25" s="150" t="str">
        <f aca="false">IFERROR(INDEX(Projects!$C$9:$C$16,MATCH($A25,Projects!$A$9:$A$16,0)),"")</f>
        <v>Residential</v>
      </c>
      <c r="C25" s="94" t="n">
        <f aca="false">IF(Dashboard!$C$6="Corporate",1,IF(Dashboard!$C$6="Project",IF($A25=Dashboard!$M$6,1,0),IF($B25=Dashboard!$H$6,1,0)))</f>
        <v>1</v>
      </c>
      <c r="D25" s="151" t="s">
        <v>511</v>
      </c>
      <c r="E25" s="30" t="s">
        <v>512</v>
      </c>
      <c r="F25" s="30" t="s">
        <v>513</v>
      </c>
      <c r="G25" s="30" t="s">
        <v>514</v>
      </c>
      <c r="H25" s="30" t="s">
        <v>515</v>
      </c>
      <c r="I25" s="85" t="n">
        <v>46572</v>
      </c>
      <c r="J25" s="85" t="n">
        <v>46660</v>
      </c>
      <c r="K25" s="85" t="n">
        <v>46721</v>
      </c>
      <c r="L25" s="86" t="n">
        <f aca="false">'PT_RES-02'!$F$34</f>
        <v>3244800</v>
      </c>
      <c r="M25" s="87" t="n">
        <f aca="false">IF(SUMIFS($L$9:$L$80,$A$9:$A$80,$A25)=0,0,$L25/SUMIFS($L$9:$L$80,$A$9:$A$80,$A25))</f>
        <v>0.0745628583532036</v>
      </c>
      <c r="N25" s="91" t="n">
        <f aca="false">'PT_RES-02'!$G$34</f>
        <v>0</v>
      </c>
      <c r="O25" s="91" t="n">
        <f aca="false">'PT_RES-02'!$H$34</f>
        <v>0</v>
      </c>
      <c r="P25" s="31" t="n">
        <f aca="false">$L25*$N25</f>
        <v>0</v>
      </c>
      <c r="Q25" s="31" t="n">
        <f aca="false">$L25*$O25</f>
        <v>0</v>
      </c>
      <c r="R25" s="86" t="n">
        <f aca="false">'PT_RES-02'!$K$34</f>
        <v>0</v>
      </c>
      <c r="S25" s="86" t="n">
        <f aca="false">'PT_RES-02'!$L$34</f>
        <v>162240</v>
      </c>
      <c r="T25" s="31" t="n">
        <f aca="false">$Q25-$P25</f>
        <v>0</v>
      </c>
      <c r="U25" s="31" t="n">
        <f aca="false">$Q25-$R25</f>
        <v>0</v>
      </c>
      <c r="V25" s="152" t="n">
        <f aca="false">IF($P25&lt;=0,1,$Q25/$P25)</f>
        <v>1</v>
      </c>
      <c r="W25" s="152" t="n">
        <f aca="false">IF($R25&lt;=0,1,$Q25/$R25)</f>
        <v>1</v>
      </c>
      <c r="X25" s="31" t="n">
        <f aca="false">IF($W25&lt;=0,$L25,$L25/$W25)</f>
        <v>3244800</v>
      </c>
      <c r="Y25" s="31" t="n">
        <f aca="false">$L25-$X25</f>
        <v>0</v>
      </c>
      <c r="Z25" s="153" t="str">
        <f aca="false">'PT_RES-02'!$O$34</f>
        <v>Not Started</v>
      </c>
      <c r="AA25" s="46" t="str">
        <f aca="false">IF(AND($V25&gt;=0.95,$W25&gt;=0.95),"Green",IF(OR($V25&lt;0.85,$W25&lt;0.85),"Red","Amber"))</f>
        <v>Green</v>
      </c>
      <c r="AB25" s="31" t="n">
        <f aca="false">MAX(0,$K25-$J25)</f>
        <v>61</v>
      </c>
    </row>
    <row r="26" customFormat="false" ht="13.5" hidden="false" customHeight="true" outlineLevel="0" collapsed="false">
      <c r="A26" s="47" t="s">
        <v>293</v>
      </c>
      <c r="B26" s="154" t="str">
        <f aca="false">IFERROR(INDEX(Projects!$C$9:$C$16,MATCH($A26,Projects!$A$9:$A$16,0)),"")</f>
        <v>Residential</v>
      </c>
      <c r="C26" s="155" t="n">
        <f aca="false">IF(Dashboard!$C$6="Corporate",1,IF(Dashboard!$C$6="Project",IF($A26=Dashboard!$M$6,1,0),IF($B26=Dashboard!$H$6,1,0)))</f>
        <v>1</v>
      </c>
      <c r="D26" s="156" t="s">
        <v>516</v>
      </c>
      <c r="E26" s="37" t="s">
        <v>517</v>
      </c>
      <c r="F26" s="37" t="s">
        <v>518</v>
      </c>
      <c r="G26" s="37" t="s">
        <v>514</v>
      </c>
      <c r="H26" s="37" t="s">
        <v>519</v>
      </c>
      <c r="I26" s="98" t="n">
        <v>46265</v>
      </c>
      <c r="J26" s="98" t="n">
        <v>46630</v>
      </c>
      <c r="K26" s="98" t="n">
        <v>46660</v>
      </c>
      <c r="L26" s="159" t="n">
        <f aca="false">'PT_RES-02'!$F$35</f>
        <v>253645</v>
      </c>
      <c r="M26" s="100" t="n">
        <f aca="false">IF(SUMIFS($L$9:$L$80,$A$9:$A$80,$A26)=0,0,$L26/SUMIFS($L$9:$L$80,$A$9:$A$80,$A26))</f>
        <v>0.00582855529061832</v>
      </c>
      <c r="N26" s="102" t="n">
        <f aca="false">'PT_RES-02'!$G$35</f>
        <v>0.0948</v>
      </c>
      <c r="O26" s="102" t="n">
        <f aca="false">'PT_RES-02'!$H$35</f>
        <v>0.074</v>
      </c>
      <c r="P26" s="49" t="n">
        <f aca="false">$L26*$N26</f>
        <v>24045.546</v>
      </c>
      <c r="Q26" s="49" t="n">
        <f aca="false">$L26*$O26</f>
        <v>18769.73</v>
      </c>
      <c r="R26" s="99" t="n">
        <f aca="false">'PT_RES-02'!$K$35</f>
        <v>21669</v>
      </c>
      <c r="S26" s="99" t="n">
        <f aca="false">'PT_RES-02'!$L$35</f>
        <v>139505</v>
      </c>
      <c r="T26" s="49" t="n">
        <f aca="false">$Q26-$P26</f>
        <v>-5275.816</v>
      </c>
      <c r="U26" s="49" t="n">
        <f aca="false">$Q26-$R26</f>
        <v>-2899.27</v>
      </c>
      <c r="V26" s="157" t="n">
        <f aca="false">IF($P26&lt;=0,1,$Q26/$P26)</f>
        <v>0.780590717299578</v>
      </c>
      <c r="W26" s="157" t="n">
        <f aca="false">IF($R26&lt;=0,1,$Q26/$R26)</f>
        <v>0.866201947482579</v>
      </c>
      <c r="X26" s="49" t="n">
        <f aca="false">IF($W26&lt;=0,$L26,$L26/$W26)</f>
        <v>292824.324324324</v>
      </c>
      <c r="Y26" s="49" t="n">
        <f aca="false">$L26-$X26</f>
        <v>-39179.3243243244</v>
      </c>
      <c r="Z26" s="103" t="str">
        <f aca="false">'PT_RES-02'!$O$35</f>
        <v>In Progress</v>
      </c>
      <c r="AA26" s="52" t="str">
        <f aca="false">IF(AND($V26&gt;=0.95,$W26&gt;=0.95),"Green",IF(OR($V26&lt;0.85,$W26&lt;0.85),"Red","Amber"))</f>
        <v>Red</v>
      </c>
      <c r="AB26" s="49" t="n">
        <f aca="false">MAX(0,$K26-$J26)</f>
        <v>30</v>
      </c>
    </row>
    <row r="27" customFormat="false" ht="13.5" hidden="false" customHeight="true" outlineLevel="0" collapsed="false">
      <c r="A27" s="149" t="s">
        <v>296</v>
      </c>
      <c r="B27" s="150" t="str">
        <f aca="false">IFERROR(INDEX(Projects!$C$9:$C$16,MATCH($A27,Projects!$A$9:$A$16,0)),"")</f>
        <v>Commercial</v>
      </c>
      <c r="C27" s="94" t="n">
        <f aca="false">IF(Dashboard!$C$6="Corporate",1,IF(Dashboard!$C$6="Project",IF($A27=Dashboard!$M$6,1,0),IF($B27=Dashboard!$H$6,1,0)))</f>
        <v>1</v>
      </c>
      <c r="D27" s="151" t="s">
        <v>481</v>
      </c>
      <c r="E27" s="30" t="s">
        <v>482</v>
      </c>
      <c r="F27" s="30" t="s">
        <v>483</v>
      </c>
      <c r="G27" s="30" t="s">
        <v>484</v>
      </c>
      <c r="H27" s="30" t="s">
        <v>485</v>
      </c>
      <c r="I27" s="85" t="n">
        <v>46115</v>
      </c>
      <c r="J27" s="85" t="n">
        <v>46173</v>
      </c>
      <c r="K27" s="85" t="n">
        <v>46173</v>
      </c>
      <c r="L27" s="86" t="n">
        <f aca="false">'PT_COM-01'!$F$27</f>
        <v>8426520</v>
      </c>
      <c r="M27" s="87" t="n">
        <f aca="false">IF(SUMIFS($L$9:$L$80,$A$9:$A$80,$A27)=0,0,$L27/SUMIFS($L$9:$L$80,$A$9:$A$80,$A27))</f>
        <v>0.044191152942215</v>
      </c>
      <c r="N27" s="91" t="n">
        <f aca="false">'PT_COM-01'!$G$27</f>
        <v>1</v>
      </c>
      <c r="O27" s="91" t="n">
        <f aca="false">'PT_COM-01'!$H$27</f>
        <v>1</v>
      </c>
      <c r="P27" s="31" t="n">
        <f aca="false">$L27*$N27</f>
        <v>8426520</v>
      </c>
      <c r="Q27" s="31" t="n">
        <f aca="false">$L27*$O27</f>
        <v>8426520</v>
      </c>
      <c r="R27" s="86" t="n">
        <f aca="false">'PT_COM-01'!$K$27</f>
        <v>8235281</v>
      </c>
      <c r="S27" s="86" t="n">
        <f aca="false">'PT_COM-01'!$L$27</f>
        <v>8426520</v>
      </c>
      <c r="T27" s="31" t="n">
        <f aca="false">$Q27-$P27</f>
        <v>0</v>
      </c>
      <c r="U27" s="31" t="n">
        <f aca="false">$Q27-$R27</f>
        <v>191239</v>
      </c>
      <c r="V27" s="152" t="n">
        <f aca="false">IF($P27&lt;=0,1,$Q27/$P27)</f>
        <v>1</v>
      </c>
      <c r="W27" s="152" t="n">
        <f aca="false">IF($R27&lt;=0,1,$Q27/$R27)</f>
        <v>1.02322191556062</v>
      </c>
      <c r="X27" s="31" t="n">
        <f aca="false">IF($W27&lt;=0,$L27,$L27/$W27)</f>
        <v>8235281</v>
      </c>
      <c r="Y27" s="31" t="n">
        <f aca="false">$L27-$X27</f>
        <v>191239</v>
      </c>
      <c r="Z27" s="153" t="str">
        <f aca="false">'PT_COM-01'!$O$27</f>
        <v>Complete</v>
      </c>
      <c r="AA27" s="46" t="str">
        <f aca="false">IF(AND($V27&gt;=0.95,$W27&gt;=0.95),"Green",IF(OR($V27&lt;0.85,$W27&lt;0.85),"Red","Amber"))</f>
        <v>Green</v>
      </c>
      <c r="AB27" s="31" t="n">
        <f aca="false">MAX(0,$K27-$J27)</f>
        <v>0</v>
      </c>
    </row>
    <row r="28" customFormat="false" ht="13.5" hidden="false" customHeight="true" outlineLevel="0" collapsed="false">
      <c r="A28" s="47" t="s">
        <v>296</v>
      </c>
      <c r="B28" s="154" t="str">
        <f aca="false">IFERROR(INDEX(Projects!$C$9:$C$16,MATCH($A28,Projects!$A$9:$A$16,0)),"")</f>
        <v>Commercial</v>
      </c>
      <c r="C28" s="155" t="n">
        <f aca="false">IF(Dashboard!$C$6="Corporate",1,IF(Dashboard!$C$6="Project",IF($A28=Dashboard!$M$6,1,0),IF($B28=Dashboard!$H$6,1,0)))</f>
        <v>1</v>
      </c>
      <c r="D28" s="156" t="s">
        <v>486</v>
      </c>
      <c r="E28" s="37" t="s">
        <v>487</v>
      </c>
      <c r="F28" s="37" t="s">
        <v>483</v>
      </c>
      <c r="G28" s="37" t="s">
        <v>488</v>
      </c>
      <c r="H28" s="37" t="s">
        <v>521</v>
      </c>
      <c r="I28" s="98" t="n">
        <v>46115</v>
      </c>
      <c r="J28" s="98" t="n">
        <v>46660</v>
      </c>
      <c r="K28" s="98" t="n">
        <v>46660</v>
      </c>
      <c r="L28" s="99" t="n">
        <f aca="false">'PT_COM-01'!$F$28</f>
        <v>14044200</v>
      </c>
      <c r="M28" s="100" t="n">
        <f aca="false">IF(SUMIFS($L$9:$L$80,$A$9:$A$80,$A28)=0,0,$L28/SUMIFS($L$9:$L$80,$A$9:$A$80,$A28))</f>
        <v>0.0736519215703583</v>
      </c>
      <c r="N28" s="102" t="n">
        <f aca="false">'PT_COM-01'!$G$28</f>
        <v>0.2778</v>
      </c>
      <c r="O28" s="102" t="n">
        <f aca="false">'PT_COM-01'!$H$28</f>
        <v>0.2756</v>
      </c>
      <c r="P28" s="49" t="n">
        <f aca="false">$L28*$N28</f>
        <v>3901478.76</v>
      </c>
      <c r="Q28" s="49" t="n">
        <f aca="false">$L28*$O28</f>
        <v>3870581.52</v>
      </c>
      <c r="R28" s="99" t="n">
        <f aca="false">'PT_COM-01'!$K$28</f>
        <v>3935792</v>
      </c>
      <c r="S28" s="99" t="n">
        <f aca="false">'PT_COM-01'!$L$28</f>
        <v>12639780</v>
      </c>
      <c r="T28" s="49" t="n">
        <f aca="false">$Q28-$P28</f>
        <v>-30897.2399999998</v>
      </c>
      <c r="U28" s="49" t="n">
        <f aca="false">$Q28-$R28</f>
        <v>-65210.48</v>
      </c>
      <c r="V28" s="157" t="n">
        <f aca="false">IF($P28&lt;=0,1,$Q28/$P28)</f>
        <v>0.992080633549316</v>
      </c>
      <c r="W28" s="157" t="n">
        <f aca="false">IF($R28&lt;=0,1,$Q28/$R28)</f>
        <v>0.983431421172664</v>
      </c>
      <c r="X28" s="49" t="n">
        <f aca="false">IF($W28&lt;=0,$L28,$L28/$W28)</f>
        <v>14280812.7721335</v>
      </c>
      <c r="Y28" s="49" t="n">
        <f aca="false">$L28-$X28</f>
        <v>-236612.772133527</v>
      </c>
      <c r="Z28" s="103" t="str">
        <f aca="false">'PT_COM-01'!$O$28</f>
        <v>In Progress</v>
      </c>
      <c r="AA28" s="52" t="str">
        <f aca="false">IF(AND($V28&gt;=0.95,$W28&gt;=0.95),"Green",IF(OR($V28&lt;0.85,$W28&lt;0.85),"Red","Amber"))</f>
        <v>Green</v>
      </c>
      <c r="AB28" s="49" t="n">
        <f aca="false">MAX(0,$K28-$J28)</f>
        <v>0</v>
      </c>
    </row>
    <row r="29" customFormat="false" ht="13.5" hidden="false" customHeight="true" outlineLevel="0" collapsed="false">
      <c r="A29" s="149" t="s">
        <v>296</v>
      </c>
      <c r="B29" s="150" t="str">
        <f aca="false">IFERROR(INDEX(Projects!$C$9:$C$16,MATCH($A29,Projects!$A$9:$A$16,0)),"")</f>
        <v>Commercial</v>
      </c>
      <c r="C29" s="94" t="n">
        <f aca="false">IF(Dashboard!$C$6="Corporate",1,IF(Dashboard!$C$6="Project",IF($A29=Dashboard!$M$6,1,0),IF($B29=Dashboard!$H$6,1,0)))</f>
        <v>1</v>
      </c>
      <c r="D29" s="151" t="s">
        <v>490</v>
      </c>
      <c r="E29" s="30" t="s">
        <v>491</v>
      </c>
      <c r="F29" s="30" t="s">
        <v>492</v>
      </c>
      <c r="G29" s="30" t="s">
        <v>493</v>
      </c>
      <c r="H29" s="30" t="s">
        <v>494</v>
      </c>
      <c r="I29" s="85" t="n">
        <v>46115</v>
      </c>
      <c r="J29" s="85" t="n">
        <v>46356</v>
      </c>
      <c r="K29" s="85" t="n">
        <v>46356</v>
      </c>
      <c r="L29" s="86" t="n">
        <f aca="false">'PT_COM-01'!$F$29</f>
        <v>10299080</v>
      </c>
      <c r="M29" s="87" t="n">
        <f aca="false">IF(SUMIFS($L$9:$L$80,$A$9:$A$80,$A29)=0,0,$L29/SUMIFS($L$9:$L$80,$A$9:$A$80,$A29))</f>
        <v>0.0540114091515961</v>
      </c>
      <c r="N29" s="91" t="n">
        <f aca="false">'PT_COM-01'!$G$29</f>
        <v>0.6727</v>
      </c>
      <c r="O29" s="91" t="n">
        <f aca="false">'PT_COM-01'!$H$29</f>
        <v>0.5874</v>
      </c>
      <c r="P29" s="31" t="n">
        <f aca="false">$L29*$N29</f>
        <v>6928191.116</v>
      </c>
      <c r="Q29" s="31" t="n">
        <f aca="false">$L29*$O29</f>
        <v>6049679.592</v>
      </c>
      <c r="R29" s="86" t="n">
        <f aca="false">'PT_COM-01'!$K$29</f>
        <v>6478091</v>
      </c>
      <c r="S29" s="86" t="n">
        <f aca="false">'PT_COM-01'!$L$29</f>
        <v>8754218</v>
      </c>
      <c r="T29" s="31" t="n">
        <f aca="false">$Q29-$P29</f>
        <v>-878511.523999999</v>
      </c>
      <c r="U29" s="31" t="n">
        <f aca="false">$Q29-$R29</f>
        <v>-428411.408</v>
      </c>
      <c r="V29" s="152" t="n">
        <f aca="false">IF($P29&lt;=0,1,$Q29/$P29)</f>
        <v>0.873197562063327</v>
      </c>
      <c r="W29" s="152" t="n">
        <f aca="false">IF($R29&lt;=0,1,$Q29/$R29)</f>
        <v>0.933867645885184</v>
      </c>
      <c r="X29" s="31" t="n">
        <f aca="false">IF($W29&lt;=0,$L29,$L29/$W29)</f>
        <v>11028415.0493701</v>
      </c>
      <c r="Y29" s="31" t="n">
        <f aca="false">$L29-$X29</f>
        <v>-729335.049370104</v>
      </c>
      <c r="Z29" s="153" t="str">
        <f aca="false">'PT_COM-01'!$O$29</f>
        <v>In Progress</v>
      </c>
      <c r="AA29" s="46" t="str">
        <f aca="false">IF(AND($V29&gt;=0.95,$W29&gt;=0.95),"Green",IF(OR($V29&lt;0.85,$W29&lt;0.85),"Red","Amber"))</f>
        <v>Amber</v>
      </c>
      <c r="AB29" s="31" t="n">
        <f aca="false">MAX(0,$K29-$J29)</f>
        <v>0</v>
      </c>
    </row>
    <row r="30" customFormat="false" ht="13.5" hidden="false" customHeight="true" outlineLevel="0" collapsed="false">
      <c r="A30" s="47" t="s">
        <v>296</v>
      </c>
      <c r="B30" s="154" t="str">
        <f aca="false">IFERROR(INDEX(Projects!$C$9:$C$16,MATCH($A30,Projects!$A$9:$A$16,0)),"")</f>
        <v>Commercial</v>
      </c>
      <c r="C30" s="155" t="n">
        <f aca="false">IF(Dashboard!$C$6="Corporate",1,IF(Dashboard!$C$6="Project",IF($A30=Dashboard!$M$6,1,0),IF($B30=Dashboard!$H$6,1,0)))</f>
        <v>1</v>
      </c>
      <c r="D30" s="156" t="s">
        <v>495</v>
      </c>
      <c r="E30" s="37" t="s">
        <v>522</v>
      </c>
      <c r="F30" s="37" t="s">
        <v>497</v>
      </c>
      <c r="G30" s="37" t="s">
        <v>484</v>
      </c>
      <c r="H30" s="37" t="s">
        <v>485</v>
      </c>
      <c r="I30" s="98" t="n">
        <v>46146</v>
      </c>
      <c r="J30" s="98" t="n">
        <v>46418</v>
      </c>
      <c r="K30" s="98" t="n">
        <v>46418</v>
      </c>
      <c r="L30" s="99" t="n">
        <f aca="false">'PT_COM-01'!$F$30</f>
        <v>34642360</v>
      </c>
      <c r="M30" s="100" t="n">
        <f aca="false">IF(SUMIFS($L$9:$L$80,$A$9:$A$80,$A30)=0,0,$L30/SUMIFS($L$9:$L$80,$A$9:$A$80,$A30))</f>
        <v>0.18167473987355</v>
      </c>
      <c r="N30" s="102" t="n">
        <f aca="false">'PT_COM-01'!$G$30</f>
        <v>0.2894</v>
      </c>
      <c r="O30" s="102" t="n">
        <f aca="false">'PT_COM-01'!$H$30</f>
        <v>0.2728</v>
      </c>
      <c r="P30" s="49" t="n">
        <f aca="false">$L30*$N30</f>
        <v>10025498.984</v>
      </c>
      <c r="Q30" s="49" t="n">
        <f aca="false">$L30*$O30</f>
        <v>9450435.808</v>
      </c>
      <c r="R30" s="99" t="n">
        <f aca="false">'PT_COM-01'!$K$30</f>
        <v>9324882</v>
      </c>
      <c r="S30" s="99" t="n">
        <f aca="false">'PT_COM-01'!$L$30</f>
        <v>21478263</v>
      </c>
      <c r="T30" s="49" t="n">
        <f aca="false">$Q30-$P30</f>
        <v>-575063.175999999</v>
      </c>
      <c r="U30" s="49" t="n">
        <f aca="false">$Q30-$R30</f>
        <v>125553.808</v>
      </c>
      <c r="V30" s="157" t="n">
        <f aca="false">IF($P30&lt;=0,1,$Q30/$P30)</f>
        <v>0.9426399447132</v>
      </c>
      <c r="W30" s="157" t="n">
        <f aca="false">IF($R30&lt;=0,1,$Q30/$R30)</f>
        <v>1.01346438571555</v>
      </c>
      <c r="X30" s="49" t="n">
        <f aca="false">IF($W30&lt;=0,$L30,$L30/$W30)</f>
        <v>34182118.7683284</v>
      </c>
      <c r="Y30" s="49" t="n">
        <f aca="false">$L30-$X30</f>
        <v>460241.231671557</v>
      </c>
      <c r="Z30" s="103" t="str">
        <f aca="false">'PT_COM-01'!$O$30</f>
        <v>In Progress</v>
      </c>
      <c r="AA30" s="52" t="str">
        <f aca="false">IF(AND($V30&gt;=0.95,$W30&gt;=0.95),"Green",IF(OR($V30&lt;0.85,$W30&lt;0.85),"Red","Amber"))</f>
        <v>Amber</v>
      </c>
      <c r="AB30" s="49" t="n">
        <f aca="false">MAX(0,$K30-$J30)</f>
        <v>0</v>
      </c>
    </row>
    <row r="31" customFormat="false" ht="13.5" hidden="false" customHeight="true" outlineLevel="0" collapsed="false">
      <c r="A31" s="149" t="s">
        <v>296</v>
      </c>
      <c r="B31" s="150" t="str">
        <f aca="false">IFERROR(INDEX(Projects!$C$9:$C$16,MATCH($A31,Projects!$A$9:$A$16,0)),"")</f>
        <v>Commercial</v>
      </c>
      <c r="C31" s="94" t="n">
        <f aca="false">IF(Dashboard!$C$6="Corporate",1,IF(Dashboard!$C$6="Project",IF($A31=Dashboard!$M$6,1,0),IF($B31=Dashboard!$H$6,1,0)))</f>
        <v>1</v>
      </c>
      <c r="D31" s="151" t="s">
        <v>498</v>
      </c>
      <c r="E31" s="30" t="s">
        <v>523</v>
      </c>
      <c r="F31" s="30" t="s">
        <v>500</v>
      </c>
      <c r="G31" s="30" t="s">
        <v>484</v>
      </c>
      <c r="H31" s="30" t="s">
        <v>485</v>
      </c>
      <c r="I31" s="85" t="n">
        <v>46207</v>
      </c>
      <c r="J31" s="85" t="n">
        <v>46538</v>
      </c>
      <c r="K31" s="85" t="n">
        <v>46538</v>
      </c>
      <c r="L31" s="86" t="n">
        <f aca="false">'PT_COM-01'!$F$31</f>
        <v>45877720</v>
      </c>
      <c r="M31" s="87" t="n">
        <f aca="false">IF(SUMIFS($L$9:$L$80,$A$9:$A$80,$A31)=0,0,$L31/SUMIFS($L$9:$L$80,$A$9:$A$80,$A31))</f>
        <v>0.240596277129837</v>
      </c>
      <c r="N31" s="91" t="n">
        <f aca="false">'PT_COM-01'!$G$31</f>
        <v>0.0461</v>
      </c>
      <c r="O31" s="91" t="n">
        <f aca="false">'PT_COM-01'!$H$31</f>
        <v>0.0475</v>
      </c>
      <c r="P31" s="31" t="n">
        <f aca="false">$L31*$N31</f>
        <v>2114962.892</v>
      </c>
      <c r="Q31" s="31" t="n">
        <f aca="false">$L31*$O31</f>
        <v>2179191.7</v>
      </c>
      <c r="R31" s="86" t="n">
        <f aca="false">'PT_COM-01'!$K$31</f>
        <v>2262625</v>
      </c>
      <c r="S31" s="86" t="n">
        <f aca="false">'PT_COM-01'!$L$31</f>
        <v>20644974</v>
      </c>
      <c r="T31" s="31" t="n">
        <f aca="false">$Q31-$P31</f>
        <v>64228.8080000002</v>
      </c>
      <c r="U31" s="31" t="n">
        <f aca="false">$Q31-$R31</f>
        <v>-83433.2999999998</v>
      </c>
      <c r="V31" s="152" t="n">
        <f aca="false">IF($P31&lt;=0,1,$Q31/$P31)</f>
        <v>1.03036876355748</v>
      </c>
      <c r="W31" s="152" t="n">
        <f aca="false">IF($R31&lt;=0,1,$Q31/$R31)</f>
        <v>0.963125440583393</v>
      </c>
      <c r="X31" s="31" t="n">
        <f aca="false">IF($W31&lt;=0,$L31,$L31/$W31)</f>
        <v>47634210.5263158</v>
      </c>
      <c r="Y31" s="31" t="n">
        <f aca="false">$L31-$X31</f>
        <v>-1756490.52631579</v>
      </c>
      <c r="Z31" s="153" t="str">
        <f aca="false">'PT_COM-01'!$O$31</f>
        <v>In Progress</v>
      </c>
      <c r="AA31" s="46" t="str">
        <f aca="false">IF(AND($V31&gt;=0.95,$W31&gt;=0.95),"Green",IF(OR($V31&lt;0.85,$W31&lt;0.85),"Red","Amber"))</f>
        <v>Green</v>
      </c>
      <c r="AB31" s="31" t="n">
        <f aca="false">MAX(0,$K31-$J31)</f>
        <v>0</v>
      </c>
    </row>
    <row r="32" customFormat="false" ht="13.5" hidden="false" customHeight="true" outlineLevel="0" collapsed="false">
      <c r="A32" s="47" t="s">
        <v>296</v>
      </c>
      <c r="B32" s="154" t="str">
        <f aca="false">IFERROR(INDEX(Projects!$C$9:$C$16,MATCH($A32,Projects!$A$9:$A$16,0)),"")</f>
        <v>Commercial</v>
      </c>
      <c r="C32" s="155" t="n">
        <f aca="false">IF(Dashboard!$C$6="Corporate",1,IF(Dashboard!$C$6="Project",IF($A32=Dashboard!$M$6,1,0),IF($B32=Dashboard!$H$6,1,0)))</f>
        <v>1</v>
      </c>
      <c r="D32" s="156" t="s">
        <v>501</v>
      </c>
      <c r="E32" s="37" t="s">
        <v>524</v>
      </c>
      <c r="F32" s="37" t="s">
        <v>503</v>
      </c>
      <c r="G32" s="37" t="s">
        <v>504</v>
      </c>
      <c r="H32" s="37" t="s">
        <v>505</v>
      </c>
      <c r="I32" s="98" t="n">
        <v>46299</v>
      </c>
      <c r="J32" s="98" t="n">
        <v>46599</v>
      </c>
      <c r="K32" s="98" t="n">
        <v>46599</v>
      </c>
      <c r="L32" s="99" t="n">
        <f aca="false">'PT_COM-01'!$F$32</f>
        <v>34642360</v>
      </c>
      <c r="M32" s="100" t="n">
        <f aca="false">IF(SUMIFS($L$9:$L$80,$A$9:$A$80,$A32)=0,0,$L32/SUMIFS($L$9:$L$80,$A$9:$A$80,$A32))</f>
        <v>0.18167473987355</v>
      </c>
      <c r="N32" s="102" t="n">
        <f aca="false">'PT_COM-01'!$G$32</f>
        <v>0</v>
      </c>
      <c r="O32" s="102" t="n">
        <f aca="false">'PT_COM-01'!$H$32</f>
        <v>0</v>
      </c>
      <c r="P32" s="49" t="n">
        <f aca="false">$L32*$N32</f>
        <v>0</v>
      </c>
      <c r="Q32" s="49" t="n">
        <f aca="false">$L32*$O32</f>
        <v>0</v>
      </c>
      <c r="R32" s="99" t="n">
        <f aca="false">'PT_COM-01'!$K$32</f>
        <v>0</v>
      </c>
      <c r="S32" s="99" t="n">
        <f aca="false">'PT_COM-01'!$L$32</f>
        <v>10392708</v>
      </c>
      <c r="T32" s="49" t="n">
        <f aca="false">$Q32-$P32</f>
        <v>0</v>
      </c>
      <c r="U32" s="49" t="n">
        <f aca="false">$Q32-$R32</f>
        <v>0</v>
      </c>
      <c r="V32" s="157" t="n">
        <f aca="false">IF($P32&lt;=0,1,$Q32/$P32)</f>
        <v>1</v>
      </c>
      <c r="W32" s="157" t="n">
        <f aca="false">IF($R32&lt;=0,1,$Q32/$R32)</f>
        <v>1</v>
      </c>
      <c r="X32" s="49" t="n">
        <f aca="false">IF($W32&lt;=0,$L32,$L32/$W32)</f>
        <v>34642360</v>
      </c>
      <c r="Y32" s="49" t="n">
        <f aca="false">$L32-$X32</f>
        <v>0</v>
      </c>
      <c r="Z32" s="103" t="str">
        <f aca="false">'PT_COM-01'!$O$32</f>
        <v>Not Started</v>
      </c>
      <c r="AA32" s="52" t="str">
        <f aca="false">IF(AND($V32&gt;=0.95,$W32&gt;=0.95),"Green",IF(OR($V32&lt;0.85,$W32&lt;0.85),"Red","Amber"))</f>
        <v>Green</v>
      </c>
      <c r="AB32" s="49" t="n">
        <f aca="false">MAX(0,$K32-$J32)</f>
        <v>0</v>
      </c>
    </row>
    <row r="33" customFormat="false" ht="13.5" hidden="false" customHeight="true" outlineLevel="0" collapsed="false">
      <c r="A33" s="149" t="s">
        <v>296</v>
      </c>
      <c r="B33" s="150" t="str">
        <f aca="false">IFERROR(INDEX(Projects!$C$9:$C$16,MATCH($A33,Projects!$A$9:$A$16,0)),"")</f>
        <v>Commercial</v>
      </c>
      <c r="C33" s="94" t="n">
        <f aca="false">IF(Dashboard!$C$6="Corporate",1,IF(Dashboard!$C$6="Project",IF($A33=Dashboard!$M$6,1,0),IF($B33=Dashboard!$H$6,1,0)))</f>
        <v>1</v>
      </c>
      <c r="D33" s="151" t="s">
        <v>506</v>
      </c>
      <c r="E33" s="30" t="s">
        <v>525</v>
      </c>
      <c r="F33" s="30" t="s">
        <v>508</v>
      </c>
      <c r="G33" s="30" t="s">
        <v>509</v>
      </c>
      <c r="H33" s="30" t="s">
        <v>510</v>
      </c>
      <c r="I33" s="85" t="n">
        <v>46360</v>
      </c>
      <c r="J33" s="85" t="n">
        <v>46630</v>
      </c>
      <c r="K33" s="85" t="n">
        <v>46630</v>
      </c>
      <c r="L33" s="86" t="n">
        <f aca="false">'PT_COM-01'!$F$33</f>
        <v>25279560</v>
      </c>
      <c r="M33" s="87" t="n">
        <f aca="false">IF(SUMIFS($L$9:$L$80,$A$9:$A$80,$A33)=0,0,$L33/SUMIFS($L$9:$L$80,$A$9:$A$80,$A33))</f>
        <v>0.132573458826645</v>
      </c>
      <c r="N33" s="91" t="n">
        <f aca="false">'PT_COM-01'!$G$33</f>
        <v>0</v>
      </c>
      <c r="O33" s="91" t="n">
        <f aca="false">'PT_COM-01'!$H$33</f>
        <v>0</v>
      </c>
      <c r="P33" s="31" t="n">
        <f aca="false">$L33*$N33</f>
        <v>0</v>
      </c>
      <c r="Q33" s="31" t="n">
        <f aca="false">$L33*$O33</f>
        <v>0</v>
      </c>
      <c r="R33" s="86" t="n">
        <f aca="false">'PT_COM-01'!$K$33</f>
        <v>0</v>
      </c>
      <c r="S33" s="86" t="n">
        <f aca="false">'PT_COM-01'!$L$33</f>
        <v>4550321</v>
      </c>
      <c r="T33" s="31" t="n">
        <f aca="false">$Q33-$P33</f>
        <v>0</v>
      </c>
      <c r="U33" s="31" t="n">
        <f aca="false">$Q33-$R33</f>
        <v>0</v>
      </c>
      <c r="V33" s="152" t="n">
        <f aca="false">IF($P33&lt;=0,1,$Q33/$P33)</f>
        <v>1</v>
      </c>
      <c r="W33" s="152" t="n">
        <f aca="false">IF($R33&lt;=0,1,$Q33/$R33)</f>
        <v>1</v>
      </c>
      <c r="X33" s="31" t="n">
        <f aca="false">IF($W33&lt;=0,$L33,$L33/$W33)</f>
        <v>25279560</v>
      </c>
      <c r="Y33" s="31" t="n">
        <f aca="false">$L33-$X33</f>
        <v>0</v>
      </c>
      <c r="Z33" s="153" t="str">
        <f aca="false">'PT_COM-01'!$O$33</f>
        <v>Not Started</v>
      </c>
      <c r="AA33" s="46" t="str">
        <f aca="false">IF(AND($V33&gt;=0.95,$W33&gt;=0.95),"Green",IF(OR($V33&lt;0.85,$W33&lt;0.85),"Red","Amber"))</f>
        <v>Green</v>
      </c>
      <c r="AB33" s="31" t="n">
        <f aca="false">MAX(0,$K33-$J33)</f>
        <v>0</v>
      </c>
    </row>
    <row r="34" customFormat="false" ht="13.5" hidden="false" customHeight="true" outlineLevel="0" collapsed="false">
      <c r="A34" s="47" t="s">
        <v>296</v>
      </c>
      <c r="B34" s="154" t="str">
        <f aca="false">IFERROR(INDEX(Projects!$C$9:$C$16,MATCH($A34,Projects!$A$9:$A$16,0)),"")</f>
        <v>Commercial</v>
      </c>
      <c r="C34" s="155" t="n">
        <f aca="false">IF(Dashboard!$C$6="Corporate",1,IF(Dashboard!$C$6="Project",IF($A34=Dashboard!$M$6,1,0),IF($B34=Dashboard!$H$6,1,0)))</f>
        <v>1</v>
      </c>
      <c r="D34" s="156" t="s">
        <v>511</v>
      </c>
      <c r="E34" s="37" t="s">
        <v>512</v>
      </c>
      <c r="F34" s="37" t="s">
        <v>513</v>
      </c>
      <c r="G34" s="37" t="s">
        <v>514</v>
      </c>
      <c r="H34" s="37" t="s">
        <v>515</v>
      </c>
      <c r="I34" s="98" t="n">
        <v>46572</v>
      </c>
      <c r="J34" s="98" t="n">
        <v>46660</v>
      </c>
      <c r="K34" s="98" t="n">
        <v>46660</v>
      </c>
      <c r="L34" s="99" t="n">
        <f aca="false">'PT_COM-01'!$F$34</f>
        <v>14044200</v>
      </c>
      <c r="M34" s="100" t="n">
        <f aca="false">IF(SUMIFS($L$9:$L$80,$A$9:$A$80,$A34)=0,0,$L34/SUMIFS($L$9:$L$80,$A$9:$A$80,$A34))</f>
        <v>0.0736519215703583</v>
      </c>
      <c r="N34" s="102" t="n">
        <f aca="false">'PT_COM-01'!$G$34</f>
        <v>0</v>
      </c>
      <c r="O34" s="102" t="n">
        <f aca="false">'PT_COM-01'!$H$34</f>
        <v>0</v>
      </c>
      <c r="P34" s="49" t="n">
        <f aca="false">$L34*$N34</f>
        <v>0</v>
      </c>
      <c r="Q34" s="49" t="n">
        <f aca="false">$L34*$O34</f>
        <v>0</v>
      </c>
      <c r="R34" s="99" t="n">
        <f aca="false">'PT_COM-01'!$K$34</f>
        <v>0</v>
      </c>
      <c r="S34" s="99" t="n">
        <f aca="false">'PT_COM-01'!$L$34</f>
        <v>702210</v>
      </c>
      <c r="T34" s="49" t="n">
        <f aca="false">$Q34-$P34</f>
        <v>0</v>
      </c>
      <c r="U34" s="49" t="n">
        <f aca="false">$Q34-$R34</f>
        <v>0</v>
      </c>
      <c r="V34" s="157" t="n">
        <f aca="false">IF($P34&lt;=0,1,$Q34/$P34)</f>
        <v>1</v>
      </c>
      <c r="W34" s="157" t="n">
        <f aca="false">IF($R34&lt;=0,1,$Q34/$R34)</f>
        <v>1</v>
      </c>
      <c r="X34" s="49" t="n">
        <f aca="false">IF($W34&lt;=0,$L34,$L34/$W34)</f>
        <v>14044200</v>
      </c>
      <c r="Y34" s="49" t="n">
        <f aca="false">$L34-$X34</f>
        <v>0</v>
      </c>
      <c r="Z34" s="103" t="str">
        <f aca="false">'PT_COM-01'!$O$34</f>
        <v>Not Started</v>
      </c>
      <c r="AA34" s="52" t="str">
        <f aca="false">IF(AND($V34&gt;=0.95,$W34&gt;=0.95),"Green",IF(OR($V34&lt;0.85,$W34&lt;0.85),"Red","Amber"))</f>
        <v>Green</v>
      </c>
      <c r="AB34" s="49" t="n">
        <f aca="false">MAX(0,$K34-$J34)</f>
        <v>0</v>
      </c>
    </row>
    <row r="35" customFormat="false" ht="13.5" hidden="false" customHeight="true" outlineLevel="0" collapsed="false">
      <c r="A35" s="149" t="s">
        <v>296</v>
      </c>
      <c r="B35" s="150" t="str">
        <f aca="false">IFERROR(INDEX(Projects!$C$9:$C$16,MATCH($A35,Projects!$A$9:$A$16,0)),"")</f>
        <v>Commercial</v>
      </c>
      <c r="C35" s="94" t="n">
        <f aca="false">IF(Dashboard!$C$6="Corporate",1,IF(Dashboard!$C$6="Project",IF($A35=Dashboard!$M$6,1,0),IF($B35=Dashboard!$H$6,1,0)))</f>
        <v>1</v>
      </c>
      <c r="D35" s="151" t="s">
        <v>516</v>
      </c>
      <c r="E35" s="30" t="s">
        <v>517</v>
      </c>
      <c r="F35" s="30" t="s">
        <v>518</v>
      </c>
      <c r="G35" s="30" t="s">
        <v>514</v>
      </c>
      <c r="H35" s="30" t="s">
        <v>519</v>
      </c>
      <c r="I35" s="85" t="n">
        <v>46203</v>
      </c>
      <c r="J35" s="85" t="n">
        <v>46630</v>
      </c>
      <c r="K35" s="85" t="n">
        <v>46660</v>
      </c>
      <c r="L35" s="158" t="n">
        <f aca="false">'PT_COM-01'!$F$35</f>
        <v>3427416</v>
      </c>
      <c r="M35" s="87" t="n">
        <f aca="false">IF(SUMIFS($L$9:$L$80,$A$9:$A$80,$A35)=0,0,$L35/SUMIFS($L$9:$L$80,$A$9:$A$80,$A35))</f>
        <v>0.0179743790618897</v>
      </c>
      <c r="N35" s="91" t="n">
        <f aca="false">'PT_COM-01'!$G$35</f>
        <v>0.1676</v>
      </c>
      <c r="O35" s="91" t="n">
        <f aca="false">'PT_COM-01'!$H$35</f>
        <v>0.1601</v>
      </c>
      <c r="P35" s="31" t="n">
        <f aca="false">$L35*$N35</f>
        <v>574434.9216</v>
      </c>
      <c r="Q35" s="31" t="n">
        <f aca="false">$L35*$O35</f>
        <v>548729.3016</v>
      </c>
      <c r="R35" s="86" t="n">
        <f aca="false">'PT_COM-01'!$K$35</f>
        <v>564939</v>
      </c>
      <c r="S35" s="86" t="n">
        <f aca="false">'PT_COM-01'!$L$35</f>
        <v>1885079</v>
      </c>
      <c r="T35" s="31" t="n">
        <f aca="false">$Q35-$P35</f>
        <v>-25705.62</v>
      </c>
      <c r="U35" s="31" t="n">
        <f aca="false">$Q35-$R35</f>
        <v>-16209.6984</v>
      </c>
      <c r="V35" s="152" t="n">
        <f aca="false">IF($P35&lt;=0,1,$Q35/$P35)</f>
        <v>0.955250596658711</v>
      </c>
      <c r="W35" s="152" t="n">
        <f aca="false">IF($R35&lt;=0,1,$Q35/$R35)</f>
        <v>0.971307170508674</v>
      </c>
      <c r="X35" s="31" t="n">
        <f aca="false">IF($W35&lt;=0,$L35,$L35/$W35)</f>
        <v>3528663.33541537</v>
      </c>
      <c r="Y35" s="31" t="n">
        <f aca="false">$L35-$X35</f>
        <v>-101247.335415365</v>
      </c>
      <c r="Z35" s="153" t="str">
        <f aca="false">'PT_COM-01'!$O$35</f>
        <v>In Progress</v>
      </c>
      <c r="AA35" s="46" t="str">
        <f aca="false">IF(AND($V35&gt;=0.95,$W35&gt;=0.95),"Green",IF(OR($V35&lt;0.85,$W35&lt;0.85),"Red","Amber"))</f>
        <v>Green</v>
      </c>
      <c r="AB35" s="31" t="n">
        <f aca="false">MAX(0,$K35-$J35)</f>
        <v>30</v>
      </c>
    </row>
    <row r="36" customFormat="false" ht="13.5" hidden="false" customHeight="true" outlineLevel="0" collapsed="false">
      <c r="A36" s="47" t="s">
        <v>298</v>
      </c>
      <c r="B36" s="154" t="str">
        <f aca="false">IFERROR(INDEX(Projects!$C$9:$C$16,MATCH($A36,Projects!$A$9:$A$16,0)),"")</f>
        <v>Commercial</v>
      </c>
      <c r="C36" s="155" t="n">
        <f aca="false">IF(Dashboard!$C$6="Corporate",1,IF(Dashboard!$C$6="Project",IF($A36=Dashboard!$M$6,1,0),IF($B36=Dashboard!$H$6,1,0)))</f>
        <v>1</v>
      </c>
      <c r="D36" s="156" t="s">
        <v>481</v>
      </c>
      <c r="E36" s="37" t="s">
        <v>482</v>
      </c>
      <c r="F36" s="37" t="s">
        <v>483</v>
      </c>
      <c r="G36" s="37" t="s">
        <v>484</v>
      </c>
      <c r="H36" s="37" t="s">
        <v>485</v>
      </c>
      <c r="I36" s="98" t="n">
        <v>46146</v>
      </c>
      <c r="J36" s="98" t="n">
        <v>46173</v>
      </c>
      <c r="K36" s="98" t="n">
        <v>46173</v>
      </c>
      <c r="L36" s="99" t="n">
        <f aca="false">'PT_COM-02'!$F$27</f>
        <v>4914000</v>
      </c>
      <c r="M36" s="100" t="n">
        <f aca="false">IF(SUMIFS($L$9:$L$80,$A$9:$A$80,$A36)=0,0,$L36/SUMIFS($L$9:$L$80,$A$9:$A$80,$A36))</f>
        <v>0.0447466572931192</v>
      </c>
      <c r="N36" s="102" t="n">
        <f aca="false">'PT_COM-02'!$G$27</f>
        <v>1</v>
      </c>
      <c r="O36" s="102" t="n">
        <f aca="false">'PT_COM-02'!$H$27</f>
        <v>1</v>
      </c>
      <c r="P36" s="49" t="n">
        <f aca="false">$L36*$N36</f>
        <v>4914000</v>
      </c>
      <c r="Q36" s="49" t="n">
        <f aca="false">$L36*$O36</f>
        <v>4914000</v>
      </c>
      <c r="R36" s="99" t="n">
        <f aca="false">'PT_COM-02'!$K$27</f>
        <v>4698179</v>
      </c>
      <c r="S36" s="99" t="n">
        <f aca="false">'PT_COM-02'!$L$27</f>
        <v>4914000</v>
      </c>
      <c r="T36" s="49" t="n">
        <f aca="false">$Q36-$P36</f>
        <v>0</v>
      </c>
      <c r="U36" s="49" t="n">
        <f aca="false">$Q36-$R36</f>
        <v>215821</v>
      </c>
      <c r="V36" s="157" t="n">
        <f aca="false">IF($P36&lt;=0,1,$Q36/$P36)</f>
        <v>1</v>
      </c>
      <c r="W36" s="157" t="n">
        <f aca="false">IF($R36&lt;=0,1,$Q36/$R36)</f>
        <v>1.04593715990813</v>
      </c>
      <c r="X36" s="49" t="n">
        <f aca="false">IF($W36&lt;=0,$L36,$L36/$W36)</f>
        <v>4698179</v>
      </c>
      <c r="Y36" s="49" t="n">
        <f aca="false">$L36-$X36</f>
        <v>215821</v>
      </c>
      <c r="Z36" s="103" t="str">
        <f aca="false">'PT_COM-02'!$O$27</f>
        <v>Complete</v>
      </c>
      <c r="AA36" s="52" t="str">
        <f aca="false">IF(AND($V36&gt;=0.95,$W36&gt;=0.95),"Green",IF(OR($V36&lt;0.85,$W36&lt;0.85),"Red","Amber"))</f>
        <v>Green</v>
      </c>
      <c r="AB36" s="49" t="n">
        <f aca="false">MAX(0,$K36-$J36)</f>
        <v>0</v>
      </c>
    </row>
    <row r="37" customFormat="false" ht="13.5" hidden="false" customHeight="true" outlineLevel="0" collapsed="false">
      <c r="A37" s="149" t="s">
        <v>298</v>
      </c>
      <c r="B37" s="150" t="str">
        <f aca="false">IFERROR(INDEX(Projects!$C$9:$C$16,MATCH($A37,Projects!$A$9:$A$16,0)),"")</f>
        <v>Commercial</v>
      </c>
      <c r="C37" s="94" t="n">
        <f aca="false">IF(Dashboard!$C$6="Corporate",1,IF(Dashboard!$C$6="Project",IF($A37=Dashboard!$M$6,1,0),IF($B37=Dashboard!$H$6,1,0)))</f>
        <v>1</v>
      </c>
      <c r="D37" s="151" t="s">
        <v>486</v>
      </c>
      <c r="E37" s="30" t="s">
        <v>487</v>
      </c>
      <c r="F37" s="30" t="s">
        <v>483</v>
      </c>
      <c r="G37" s="30" t="s">
        <v>488</v>
      </c>
      <c r="H37" s="30" t="s">
        <v>526</v>
      </c>
      <c r="I37" s="85" t="n">
        <v>46146</v>
      </c>
      <c r="J37" s="85" t="n">
        <v>46568</v>
      </c>
      <c r="K37" s="85" t="n">
        <v>46568</v>
      </c>
      <c r="L37" s="86" t="n">
        <f aca="false">'PT_COM-02'!$F$28</f>
        <v>8190000</v>
      </c>
      <c r="M37" s="87" t="n">
        <f aca="false">IF(SUMIFS($L$9:$L$80,$A$9:$A$80,$A37)=0,0,$L37/SUMIFS($L$9:$L$80,$A$9:$A$80,$A37))</f>
        <v>0.0745777621551986</v>
      </c>
      <c r="N37" s="91" t="n">
        <f aca="false">'PT_COM-02'!$G$28</f>
        <v>0.2857</v>
      </c>
      <c r="O37" s="91" t="n">
        <f aca="false">'PT_COM-02'!$H$28</f>
        <v>0.3152</v>
      </c>
      <c r="P37" s="31" t="n">
        <f aca="false">$L37*$N37</f>
        <v>2339883</v>
      </c>
      <c r="Q37" s="31" t="n">
        <f aca="false">$L37*$O37</f>
        <v>2581488</v>
      </c>
      <c r="R37" s="86" t="n">
        <f aca="false">'PT_COM-02'!$K$28</f>
        <v>2567779</v>
      </c>
      <c r="S37" s="86" t="n">
        <f aca="false">'PT_COM-02'!$L$28</f>
        <v>7371000</v>
      </c>
      <c r="T37" s="31" t="n">
        <f aca="false">$Q37-$P37</f>
        <v>241605</v>
      </c>
      <c r="U37" s="31" t="n">
        <f aca="false">$Q37-$R37</f>
        <v>13709</v>
      </c>
      <c r="V37" s="152" t="n">
        <f aca="false">IF($P37&lt;=0,1,$Q37/$P37)</f>
        <v>1.10325516275814</v>
      </c>
      <c r="W37" s="152" t="n">
        <f aca="false">IF($R37&lt;=0,1,$Q37/$R37)</f>
        <v>1.00533885509617</v>
      </c>
      <c r="X37" s="31" t="n">
        <f aca="false">IF($W37&lt;=0,$L37,$L37/$W37)</f>
        <v>8146506.97969543</v>
      </c>
      <c r="Y37" s="31" t="n">
        <f aca="false">$L37-$X37</f>
        <v>43493.020304569</v>
      </c>
      <c r="Z37" s="153" t="str">
        <f aca="false">'PT_COM-02'!$O$28</f>
        <v>In Progress</v>
      </c>
      <c r="AA37" s="46" t="str">
        <f aca="false">IF(AND($V37&gt;=0.95,$W37&gt;=0.95),"Green",IF(OR($V37&lt;0.85,$W37&lt;0.85),"Red","Amber"))</f>
        <v>Green</v>
      </c>
      <c r="AB37" s="31" t="n">
        <f aca="false">MAX(0,$K37-$J37)</f>
        <v>0</v>
      </c>
    </row>
    <row r="38" customFormat="false" ht="13.5" hidden="false" customHeight="true" outlineLevel="0" collapsed="false">
      <c r="A38" s="47" t="s">
        <v>298</v>
      </c>
      <c r="B38" s="154" t="str">
        <f aca="false">IFERROR(INDEX(Projects!$C$9:$C$16,MATCH($A38,Projects!$A$9:$A$16,0)),"")</f>
        <v>Commercial</v>
      </c>
      <c r="C38" s="155" t="n">
        <f aca="false">IF(Dashboard!$C$6="Corporate",1,IF(Dashboard!$C$6="Project",IF($A38=Dashboard!$M$6,1,0),IF($B38=Dashboard!$H$6,1,0)))</f>
        <v>1</v>
      </c>
      <c r="D38" s="156" t="s">
        <v>490</v>
      </c>
      <c r="E38" s="37" t="s">
        <v>491</v>
      </c>
      <c r="F38" s="37" t="s">
        <v>492</v>
      </c>
      <c r="G38" s="37" t="s">
        <v>493</v>
      </c>
      <c r="H38" s="37" t="s">
        <v>494</v>
      </c>
      <c r="I38" s="98" t="n">
        <v>46146</v>
      </c>
      <c r="J38" s="98" t="n">
        <v>46326</v>
      </c>
      <c r="K38" s="98" t="n">
        <v>46326</v>
      </c>
      <c r="L38" s="99" t="n">
        <f aca="false">'PT_COM-02'!$F$29</f>
        <v>6006000</v>
      </c>
      <c r="M38" s="100" t="n">
        <f aca="false">IF(SUMIFS($L$9:$L$80,$A$9:$A$80,$A38)=0,0,$L38/SUMIFS($L$9:$L$80,$A$9:$A$80,$A38))</f>
        <v>0.0546903589138123</v>
      </c>
      <c r="N38" s="102" t="n">
        <f aca="false">'PT_COM-02'!$G$29</f>
        <v>0.6975</v>
      </c>
      <c r="O38" s="102" t="n">
        <f aca="false">'PT_COM-02'!$H$29</f>
        <v>0.6771</v>
      </c>
      <c r="P38" s="49" t="n">
        <f aca="false">$L38*$N38</f>
        <v>4189185</v>
      </c>
      <c r="Q38" s="49" t="n">
        <f aca="false">$L38*$O38</f>
        <v>4066662.6</v>
      </c>
      <c r="R38" s="99" t="n">
        <f aca="false">'PT_COM-02'!$K$29</f>
        <v>4260317</v>
      </c>
      <c r="S38" s="99" t="n">
        <f aca="false">'PT_COM-02'!$L$29</f>
        <v>5105100</v>
      </c>
      <c r="T38" s="49" t="n">
        <f aca="false">$Q38-$P38</f>
        <v>-122522.4</v>
      </c>
      <c r="U38" s="49" t="n">
        <f aca="false">$Q38-$R38</f>
        <v>-193654.4</v>
      </c>
      <c r="V38" s="157" t="n">
        <f aca="false">IF($P38&lt;=0,1,$Q38/$P38)</f>
        <v>0.970752688172043</v>
      </c>
      <c r="W38" s="157" t="n">
        <f aca="false">IF($R38&lt;=0,1,$Q38/$R38)</f>
        <v>0.954544603136339</v>
      </c>
      <c r="X38" s="49" t="n">
        <f aca="false">IF($W38&lt;=0,$L38,$L38/$W38)</f>
        <v>6292005.61216955</v>
      </c>
      <c r="Y38" s="49" t="n">
        <f aca="false">$L38-$X38</f>
        <v>-286005.612169547</v>
      </c>
      <c r="Z38" s="103" t="str">
        <f aca="false">'PT_COM-02'!$O$29</f>
        <v>In Progress</v>
      </c>
      <c r="AA38" s="52" t="str">
        <f aca="false">IF(AND($V38&gt;=0.95,$W38&gt;=0.95),"Green",IF(OR($V38&lt;0.85,$W38&lt;0.85),"Red","Amber"))</f>
        <v>Green</v>
      </c>
      <c r="AB38" s="49" t="n">
        <f aca="false">MAX(0,$K38-$J38)</f>
        <v>0</v>
      </c>
    </row>
    <row r="39" customFormat="false" ht="13.5" hidden="false" customHeight="true" outlineLevel="0" collapsed="false">
      <c r="A39" s="149" t="s">
        <v>298</v>
      </c>
      <c r="B39" s="150" t="str">
        <f aca="false">IFERROR(INDEX(Projects!$C$9:$C$16,MATCH($A39,Projects!$A$9:$A$16,0)),"")</f>
        <v>Commercial</v>
      </c>
      <c r="C39" s="94" t="n">
        <f aca="false">IF(Dashboard!$C$6="Corporate",1,IF(Dashboard!$C$6="Project",IF($A39=Dashboard!$M$6,1,0),IF($B39=Dashboard!$H$6,1,0)))</f>
        <v>1</v>
      </c>
      <c r="D39" s="151" t="s">
        <v>495</v>
      </c>
      <c r="E39" s="30" t="s">
        <v>522</v>
      </c>
      <c r="F39" s="30" t="s">
        <v>497</v>
      </c>
      <c r="G39" s="30" t="s">
        <v>484</v>
      </c>
      <c r="H39" s="30" t="s">
        <v>485</v>
      </c>
      <c r="I39" s="85" t="n">
        <v>46176</v>
      </c>
      <c r="J39" s="85" t="n">
        <v>46387</v>
      </c>
      <c r="K39" s="85" t="n">
        <v>46387</v>
      </c>
      <c r="L39" s="86" t="n">
        <f aca="false">'PT_COM-02'!$F$30</f>
        <v>20202000</v>
      </c>
      <c r="M39" s="87" t="n">
        <f aca="false">IF(SUMIFS($L$9:$L$80,$A$9:$A$80,$A39)=0,0,$L39/SUMIFS($L$9:$L$80,$A$9:$A$80,$A39))</f>
        <v>0.183958479982823</v>
      </c>
      <c r="N39" s="91" t="n">
        <f aca="false">'PT_COM-02'!$G$30</f>
        <v>0.3114</v>
      </c>
      <c r="O39" s="91" t="n">
        <f aca="false">'PT_COM-02'!$H$30</f>
        <v>0.3263</v>
      </c>
      <c r="P39" s="31" t="n">
        <f aca="false">$L39*$N39</f>
        <v>6290902.8</v>
      </c>
      <c r="Q39" s="31" t="n">
        <f aca="false">$L39*$O39</f>
        <v>6591912.6</v>
      </c>
      <c r="R39" s="86" t="n">
        <f aca="false">'PT_COM-02'!$K$30</f>
        <v>6365088</v>
      </c>
      <c r="S39" s="86" t="n">
        <f aca="false">'PT_COM-02'!$L$30</f>
        <v>12525240</v>
      </c>
      <c r="T39" s="31" t="n">
        <f aca="false">$Q39-$P39</f>
        <v>301009.8</v>
      </c>
      <c r="U39" s="31" t="n">
        <f aca="false">$Q39-$R39</f>
        <v>226824.6</v>
      </c>
      <c r="V39" s="152" t="n">
        <f aca="false">IF($P39&lt;=0,1,$Q39/$P39)</f>
        <v>1.04784842646114</v>
      </c>
      <c r="W39" s="152" t="n">
        <f aca="false">IF($R39&lt;=0,1,$Q39/$R39)</f>
        <v>1.03563573669366</v>
      </c>
      <c r="X39" s="31" t="n">
        <f aca="false">IF($W39&lt;=0,$L39,$L39/$W39)</f>
        <v>19506858.7189703</v>
      </c>
      <c r="Y39" s="31" t="n">
        <f aca="false">$L39-$X39</f>
        <v>695141.281029727</v>
      </c>
      <c r="Z39" s="153" t="str">
        <f aca="false">'PT_COM-02'!$O$30</f>
        <v>In Progress</v>
      </c>
      <c r="AA39" s="46" t="str">
        <f aca="false">IF(AND($V39&gt;=0.95,$W39&gt;=0.95),"Green",IF(OR($V39&lt;0.85,$W39&lt;0.85),"Red","Amber"))</f>
        <v>Green</v>
      </c>
      <c r="AB39" s="31" t="n">
        <f aca="false">MAX(0,$K39-$J39)</f>
        <v>0</v>
      </c>
    </row>
    <row r="40" customFormat="false" ht="13.5" hidden="false" customHeight="true" outlineLevel="0" collapsed="false">
      <c r="A40" s="47" t="s">
        <v>298</v>
      </c>
      <c r="B40" s="154" t="str">
        <f aca="false">IFERROR(INDEX(Projects!$C$9:$C$16,MATCH($A40,Projects!$A$9:$A$16,0)),"")</f>
        <v>Commercial</v>
      </c>
      <c r="C40" s="155" t="n">
        <f aca="false">IF(Dashboard!$C$6="Corporate",1,IF(Dashboard!$C$6="Project",IF($A40=Dashboard!$M$6,1,0),IF($B40=Dashboard!$H$6,1,0)))</f>
        <v>1</v>
      </c>
      <c r="D40" s="156" t="s">
        <v>498</v>
      </c>
      <c r="E40" s="37" t="s">
        <v>523</v>
      </c>
      <c r="F40" s="37" t="s">
        <v>500</v>
      </c>
      <c r="G40" s="37" t="s">
        <v>484</v>
      </c>
      <c r="H40" s="37" t="s">
        <v>485</v>
      </c>
      <c r="I40" s="98" t="n">
        <v>46207</v>
      </c>
      <c r="J40" s="98" t="n">
        <v>46477</v>
      </c>
      <c r="K40" s="98" t="n">
        <v>46477</v>
      </c>
      <c r="L40" s="99" t="n">
        <f aca="false">'PT_COM-02'!$F$31</f>
        <v>26754000</v>
      </c>
      <c r="M40" s="100" t="n">
        <f aca="false">IF(SUMIFS($L$9:$L$80,$A$9:$A$80,$A40)=0,0,$L40/SUMIFS($L$9:$L$80,$A$9:$A$80,$A40))</f>
        <v>0.243620689706982</v>
      </c>
      <c r="N40" s="102" t="n">
        <f aca="false">'PT_COM-02'!$G$31</f>
        <v>0.0554</v>
      </c>
      <c r="O40" s="102" t="n">
        <f aca="false">'PT_COM-02'!$H$31</f>
        <v>0.0636</v>
      </c>
      <c r="P40" s="49" t="n">
        <f aca="false">$L40*$N40</f>
        <v>1482171.6</v>
      </c>
      <c r="Q40" s="49" t="n">
        <f aca="false">$L40*$O40</f>
        <v>1701554.4</v>
      </c>
      <c r="R40" s="99" t="n">
        <f aca="false">'PT_COM-02'!$K$31</f>
        <v>1726181</v>
      </c>
      <c r="S40" s="99" t="n">
        <f aca="false">'PT_COM-02'!$L$31</f>
        <v>12039300</v>
      </c>
      <c r="T40" s="49" t="n">
        <f aca="false">$Q40-$P40</f>
        <v>219382.8</v>
      </c>
      <c r="U40" s="49" t="n">
        <f aca="false">$Q40-$R40</f>
        <v>-24626.5999999999</v>
      </c>
      <c r="V40" s="157" t="n">
        <f aca="false">IF($P40&lt;=0,1,$Q40/$P40)</f>
        <v>1.14801444043321</v>
      </c>
      <c r="W40" s="157" t="n">
        <f aca="false">IF($R40&lt;=0,1,$Q40/$R40)</f>
        <v>0.98573347754378</v>
      </c>
      <c r="X40" s="49" t="n">
        <f aca="false">IF($W40&lt;=0,$L40,$L40/$W40)</f>
        <v>27141210.6918239</v>
      </c>
      <c r="Y40" s="49" t="n">
        <f aca="false">$L40-$X40</f>
        <v>-387210.691823896</v>
      </c>
      <c r="Z40" s="103" t="str">
        <f aca="false">'PT_COM-02'!$O$31</f>
        <v>In Progress</v>
      </c>
      <c r="AA40" s="52" t="str">
        <f aca="false">IF(AND($V40&gt;=0.95,$W40&gt;=0.95),"Green",IF(OR($V40&lt;0.85,$W40&lt;0.85),"Red","Amber"))</f>
        <v>Green</v>
      </c>
      <c r="AB40" s="49" t="n">
        <f aca="false">MAX(0,$K40-$J40)</f>
        <v>0</v>
      </c>
    </row>
    <row r="41" customFormat="false" ht="13.5" hidden="false" customHeight="true" outlineLevel="0" collapsed="false">
      <c r="A41" s="149" t="s">
        <v>298</v>
      </c>
      <c r="B41" s="150" t="str">
        <f aca="false">IFERROR(INDEX(Projects!$C$9:$C$16,MATCH($A41,Projects!$A$9:$A$16,0)),"")</f>
        <v>Commercial</v>
      </c>
      <c r="C41" s="94" t="n">
        <f aca="false">IF(Dashboard!$C$6="Corporate",1,IF(Dashboard!$C$6="Project",IF($A41=Dashboard!$M$6,1,0),IF($B41=Dashboard!$H$6,1,0)))</f>
        <v>1</v>
      </c>
      <c r="D41" s="151" t="s">
        <v>501</v>
      </c>
      <c r="E41" s="30" t="s">
        <v>524</v>
      </c>
      <c r="F41" s="30" t="s">
        <v>503</v>
      </c>
      <c r="G41" s="30" t="s">
        <v>504</v>
      </c>
      <c r="H41" s="30" t="s">
        <v>505</v>
      </c>
      <c r="I41" s="85" t="n">
        <v>46268</v>
      </c>
      <c r="J41" s="85" t="n">
        <v>46507</v>
      </c>
      <c r="K41" s="85" t="n">
        <v>46507</v>
      </c>
      <c r="L41" s="86" t="n">
        <f aca="false">'PT_COM-02'!$F$32</f>
        <v>20202000</v>
      </c>
      <c r="M41" s="87" t="n">
        <f aca="false">IF(SUMIFS($L$9:$L$80,$A$9:$A$80,$A41)=0,0,$L41/SUMIFS($L$9:$L$80,$A$9:$A$80,$A41))</f>
        <v>0.183958479982823</v>
      </c>
      <c r="N41" s="91" t="n">
        <f aca="false">'PT_COM-02'!$G$32</f>
        <v>0</v>
      </c>
      <c r="O41" s="91" t="n">
        <f aca="false">'PT_COM-02'!$H$32</f>
        <v>0</v>
      </c>
      <c r="P41" s="31" t="n">
        <f aca="false">$L41*$N41</f>
        <v>0</v>
      </c>
      <c r="Q41" s="31" t="n">
        <f aca="false">$L41*$O41</f>
        <v>0</v>
      </c>
      <c r="R41" s="86" t="n">
        <f aca="false">'PT_COM-02'!$K$32</f>
        <v>0</v>
      </c>
      <c r="S41" s="86" t="n">
        <f aca="false">'PT_COM-02'!$L$32</f>
        <v>6060600</v>
      </c>
      <c r="T41" s="31" t="n">
        <f aca="false">$Q41-$P41</f>
        <v>0</v>
      </c>
      <c r="U41" s="31" t="n">
        <f aca="false">$Q41-$R41</f>
        <v>0</v>
      </c>
      <c r="V41" s="152" t="n">
        <f aca="false">IF($P41&lt;=0,1,$Q41/$P41)</f>
        <v>1</v>
      </c>
      <c r="W41" s="152" t="n">
        <f aca="false">IF($R41&lt;=0,1,$Q41/$R41)</f>
        <v>1</v>
      </c>
      <c r="X41" s="31" t="n">
        <f aca="false">IF($W41&lt;=0,$L41,$L41/$W41)</f>
        <v>20202000</v>
      </c>
      <c r="Y41" s="31" t="n">
        <f aca="false">$L41-$X41</f>
        <v>0</v>
      </c>
      <c r="Z41" s="153" t="str">
        <f aca="false">'PT_COM-02'!$O$32</f>
        <v>Not Started</v>
      </c>
      <c r="AA41" s="46" t="str">
        <f aca="false">IF(AND($V41&gt;=0.95,$W41&gt;=0.95),"Green",IF(OR($V41&lt;0.85,$W41&lt;0.85),"Red","Amber"))</f>
        <v>Green</v>
      </c>
      <c r="AB41" s="31" t="n">
        <f aca="false">MAX(0,$K41-$J41)</f>
        <v>0</v>
      </c>
    </row>
    <row r="42" customFormat="false" ht="13.5" hidden="false" customHeight="true" outlineLevel="0" collapsed="false">
      <c r="A42" s="47" t="s">
        <v>298</v>
      </c>
      <c r="B42" s="154" t="str">
        <f aca="false">IFERROR(INDEX(Projects!$C$9:$C$16,MATCH($A42,Projects!$A$9:$A$16,0)),"")</f>
        <v>Commercial</v>
      </c>
      <c r="C42" s="155" t="n">
        <f aca="false">IF(Dashboard!$C$6="Corporate",1,IF(Dashboard!$C$6="Project",IF($A42=Dashboard!$M$6,1,0),IF($B42=Dashboard!$H$6,1,0)))</f>
        <v>1</v>
      </c>
      <c r="D42" s="156" t="s">
        <v>506</v>
      </c>
      <c r="E42" s="37" t="s">
        <v>525</v>
      </c>
      <c r="F42" s="37" t="s">
        <v>508</v>
      </c>
      <c r="G42" s="37" t="s">
        <v>509</v>
      </c>
      <c r="H42" s="37" t="s">
        <v>510</v>
      </c>
      <c r="I42" s="98" t="n">
        <v>46329</v>
      </c>
      <c r="J42" s="98" t="n">
        <v>46538</v>
      </c>
      <c r="K42" s="98" t="n">
        <v>46538</v>
      </c>
      <c r="L42" s="99" t="n">
        <f aca="false">'PT_COM-02'!$F$33</f>
        <v>14742000</v>
      </c>
      <c r="M42" s="100" t="n">
        <f aca="false">IF(SUMIFS($L$9:$L$80,$A$9:$A$80,$A42)=0,0,$L42/SUMIFS($L$9:$L$80,$A$9:$A$80,$A42))</f>
        <v>0.134239971879358</v>
      </c>
      <c r="N42" s="102" t="n">
        <f aca="false">'PT_COM-02'!$G$33</f>
        <v>0</v>
      </c>
      <c r="O42" s="102" t="n">
        <f aca="false">'PT_COM-02'!$H$33</f>
        <v>0</v>
      </c>
      <c r="P42" s="49" t="n">
        <f aca="false">$L42*$N42</f>
        <v>0</v>
      </c>
      <c r="Q42" s="49" t="n">
        <f aca="false">$L42*$O42</f>
        <v>0</v>
      </c>
      <c r="R42" s="99" t="n">
        <f aca="false">'PT_COM-02'!$K$33</f>
        <v>0</v>
      </c>
      <c r="S42" s="99" t="n">
        <f aca="false">'PT_COM-02'!$L$33</f>
        <v>2653560</v>
      </c>
      <c r="T42" s="49" t="n">
        <f aca="false">$Q42-$P42</f>
        <v>0</v>
      </c>
      <c r="U42" s="49" t="n">
        <f aca="false">$Q42-$R42</f>
        <v>0</v>
      </c>
      <c r="V42" s="157" t="n">
        <f aca="false">IF($P42&lt;=0,1,$Q42/$P42)</f>
        <v>1</v>
      </c>
      <c r="W42" s="157" t="n">
        <f aca="false">IF($R42&lt;=0,1,$Q42/$R42)</f>
        <v>1</v>
      </c>
      <c r="X42" s="49" t="n">
        <f aca="false">IF($W42&lt;=0,$L42,$L42/$W42)</f>
        <v>14742000</v>
      </c>
      <c r="Y42" s="49" t="n">
        <f aca="false">$L42-$X42</f>
        <v>0</v>
      </c>
      <c r="Z42" s="103" t="str">
        <f aca="false">'PT_COM-02'!$O$33</f>
        <v>Not Started</v>
      </c>
      <c r="AA42" s="52" t="str">
        <f aca="false">IF(AND($V42&gt;=0.95,$W42&gt;=0.95),"Green",IF(OR($V42&lt;0.85,$W42&lt;0.85),"Red","Amber"))</f>
        <v>Green</v>
      </c>
      <c r="AB42" s="49" t="n">
        <f aca="false">MAX(0,$K42-$J42)</f>
        <v>0</v>
      </c>
    </row>
    <row r="43" customFormat="false" ht="13.5" hidden="false" customHeight="true" outlineLevel="0" collapsed="false">
      <c r="A43" s="149" t="s">
        <v>298</v>
      </c>
      <c r="B43" s="150" t="str">
        <f aca="false">IFERROR(INDEX(Projects!$C$9:$C$16,MATCH($A43,Projects!$A$9:$A$16,0)),"")</f>
        <v>Commercial</v>
      </c>
      <c r="C43" s="94" t="n">
        <f aca="false">IF(Dashboard!$C$6="Corporate",1,IF(Dashboard!$C$6="Project",IF($A43=Dashboard!$M$6,1,0),IF($B43=Dashboard!$H$6,1,0)))</f>
        <v>1</v>
      </c>
      <c r="D43" s="151" t="s">
        <v>511</v>
      </c>
      <c r="E43" s="30" t="s">
        <v>512</v>
      </c>
      <c r="F43" s="30" t="s">
        <v>513</v>
      </c>
      <c r="G43" s="30" t="s">
        <v>514</v>
      </c>
      <c r="H43" s="30" t="s">
        <v>515</v>
      </c>
      <c r="I43" s="85" t="n">
        <v>46480</v>
      </c>
      <c r="J43" s="85" t="n">
        <v>46568</v>
      </c>
      <c r="K43" s="85" t="n">
        <v>46568</v>
      </c>
      <c r="L43" s="86" t="n">
        <f aca="false">'PT_COM-02'!$F$34</f>
        <v>8190000</v>
      </c>
      <c r="M43" s="87" t="n">
        <f aca="false">IF(SUMIFS($L$9:$L$80,$A$9:$A$80,$A43)=0,0,$L43/SUMIFS($L$9:$L$80,$A$9:$A$80,$A43))</f>
        <v>0.0745777621551986</v>
      </c>
      <c r="N43" s="91" t="n">
        <f aca="false">'PT_COM-02'!$G$34</f>
        <v>0</v>
      </c>
      <c r="O43" s="91" t="n">
        <f aca="false">'PT_COM-02'!$H$34</f>
        <v>0</v>
      </c>
      <c r="P43" s="31" t="n">
        <f aca="false">$L43*$N43</f>
        <v>0</v>
      </c>
      <c r="Q43" s="31" t="n">
        <f aca="false">$L43*$O43</f>
        <v>0</v>
      </c>
      <c r="R43" s="86" t="n">
        <f aca="false">'PT_COM-02'!$K$34</f>
        <v>0</v>
      </c>
      <c r="S43" s="86" t="n">
        <f aca="false">'PT_COM-02'!$L$34</f>
        <v>409500</v>
      </c>
      <c r="T43" s="31" t="n">
        <f aca="false">$Q43-$P43</f>
        <v>0</v>
      </c>
      <c r="U43" s="31" t="n">
        <f aca="false">$Q43-$R43</f>
        <v>0</v>
      </c>
      <c r="V43" s="152" t="n">
        <f aca="false">IF($P43&lt;=0,1,$Q43/$P43)</f>
        <v>1</v>
      </c>
      <c r="W43" s="152" t="n">
        <f aca="false">IF($R43&lt;=0,1,$Q43/$R43)</f>
        <v>1</v>
      </c>
      <c r="X43" s="31" t="n">
        <f aca="false">IF($W43&lt;=0,$L43,$L43/$W43)</f>
        <v>8190000</v>
      </c>
      <c r="Y43" s="31" t="n">
        <f aca="false">$L43-$X43</f>
        <v>0</v>
      </c>
      <c r="Z43" s="153" t="str">
        <f aca="false">'PT_COM-02'!$O$34</f>
        <v>Not Started</v>
      </c>
      <c r="AA43" s="46" t="str">
        <f aca="false">IF(AND($V43&gt;=0.95,$W43&gt;=0.95),"Green",IF(OR($V43&lt;0.85,$W43&lt;0.85),"Red","Amber"))</f>
        <v>Green</v>
      </c>
      <c r="AB43" s="31" t="n">
        <f aca="false">MAX(0,$K43-$J43)</f>
        <v>0</v>
      </c>
    </row>
    <row r="44" customFormat="false" ht="13.5" hidden="false" customHeight="true" outlineLevel="0" collapsed="false">
      <c r="A44" s="47" t="s">
        <v>298</v>
      </c>
      <c r="B44" s="154" t="str">
        <f aca="false">IFERROR(INDEX(Projects!$C$9:$C$16,MATCH($A44,Projects!$A$9:$A$16,0)),"")</f>
        <v>Commercial</v>
      </c>
      <c r="C44" s="155" t="n">
        <f aca="false">IF(Dashboard!$C$6="Corporate",1,IF(Dashboard!$C$6="Project",IF($A44=Dashboard!$M$6,1,0),IF($B44=Dashboard!$H$6,1,0)))</f>
        <v>1</v>
      </c>
      <c r="D44" s="156" t="s">
        <v>516</v>
      </c>
      <c r="E44" s="37" t="s">
        <v>517</v>
      </c>
      <c r="F44" s="37" t="s">
        <v>518</v>
      </c>
      <c r="G44" s="37" t="s">
        <v>514</v>
      </c>
      <c r="H44" s="37" t="s">
        <v>519</v>
      </c>
      <c r="I44" s="98" t="n">
        <v>46234</v>
      </c>
      <c r="J44" s="98" t="n">
        <v>46538</v>
      </c>
      <c r="K44" s="98" t="n">
        <v>46568</v>
      </c>
      <c r="L44" s="159" t="n">
        <f aca="false">'PT_COM-02'!$F$35</f>
        <v>618259</v>
      </c>
      <c r="M44" s="100" t="n">
        <f aca="false">IF(SUMIFS($L$9:$L$80,$A$9:$A$80,$A44)=0,0,$L44/SUMIFS($L$9:$L$80,$A$9:$A$80,$A44))</f>
        <v>0.0056298379306851</v>
      </c>
      <c r="N44" s="102" t="n">
        <f aca="false">'PT_COM-02'!$G$35</f>
        <v>0.176</v>
      </c>
      <c r="O44" s="102" t="n">
        <f aca="false">'PT_COM-02'!$H$35</f>
        <v>0.1818</v>
      </c>
      <c r="P44" s="49" t="n">
        <f aca="false">$L44*$N44</f>
        <v>108813.584</v>
      </c>
      <c r="Q44" s="49" t="n">
        <f aca="false">$L44*$O44</f>
        <v>112399.4862</v>
      </c>
      <c r="R44" s="99" t="n">
        <f aca="false">'PT_COM-02'!$K$35</f>
        <v>113349</v>
      </c>
      <c r="S44" s="99" t="n">
        <f aca="false">'PT_COM-02'!$L$35</f>
        <v>340042</v>
      </c>
      <c r="T44" s="49" t="n">
        <f aca="false">$Q44-$P44</f>
        <v>3585.90220000001</v>
      </c>
      <c r="U44" s="49" t="n">
        <f aca="false">$Q44-$R44</f>
        <v>-949.513800000001</v>
      </c>
      <c r="V44" s="157" t="n">
        <f aca="false">IF($P44&lt;=0,1,$Q44/$P44)</f>
        <v>1.03295454545455</v>
      </c>
      <c r="W44" s="157" t="n">
        <f aca="false">IF($R44&lt;=0,1,$Q44/$R44)</f>
        <v>0.991623095042744</v>
      </c>
      <c r="X44" s="49" t="n">
        <f aca="false">IF($W44&lt;=0,$L44,$L44/$W44)</f>
        <v>623481.848184819</v>
      </c>
      <c r="Y44" s="49" t="n">
        <f aca="false">$L44-$X44</f>
        <v>-5222.84818481852</v>
      </c>
      <c r="Z44" s="103" t="str">
        <f aca="false">'PT_COM-02'!$O$35</f>
        <v>In Progress</v>
      </c>
      <c r="AA44" s="52" t="str">
        <f aca="false">IF(AND($V44&gt;=0.95,$W44&gt;=0.95),"Green",IF(OR($V44&lt;0.85,$W44&lt;0.85),"Red","Amber"))</f>
        <v>Green</v>
      </c>
      <c r="AB44" s="49" t="n">
        <f aca="false">MAX(0,$K44-$J44)</f>
        <v>30</v>
      </c>
    </row>
    <row r="45" customFormat="false" ht="13.5" hidden="false" customHeight="true" outlineLevel="0" collapsed="false">
      <c r="A45" s="149" t="s">
        <v>300</v>
      </c>
      <c r="B45" s="150" t="str">
        <f aca="false">IFERROR(INDEX(Projects!$C$9:$C$16,MATCH($A45,Projects!$A$9:$A$16,0)),"")</f>
        <v>Mixed Use</v>
      </c>
      <c r="C45" s="94" t="n">
        <f aca="false">IF(Dashboard!$C$6="Corporate",1,IF(Dashboard!$C$6="Project",IF($A45=Dashboard!$M$6,1,0),IF($B45=Dashboard!$H$6,1,0)))</f>
        <v>1</v>
      </c>
      <c r="D45" s="151" t="s">
        <v>481</v>
      </c>
      <c r="E45" s="30" t="s">
        <v>482</v>
      </c>
      <c r="F45" s="30" t="s">
        <v>483</v>
      </c>
      <c r="G45" s="30" t="s">
        <v>484</v>
      </c>
      <c r="H45" s="30" t="s">
        <v>485</v>
      </c>
      <c r="I45" s="85" t="n">
        <v>46176</v>
      </c>
      <c r="J45" s="85" t="n">
        <v>46234</v>
      </c>
      <c r="K45" s="85" t="n">
        <v>46295</v>
      </c>
      <c r="L45" s="86" t="n">
        <f aca="false">'PT_MXU-01'!$F$27</f>
        <v>7419398</v>
      </c>
      <c r="M45" s="87" t="n">
        <f aca="false">IF(SUMIFS($L$9:$L$80,$A$9:$A$80,$A45)=0,0,$L45/SUMIFS($L$9:$L$80,$A$9:$A$80,$A45))</f>
        <v>0.0441866687568299</v>
      </c>
      <c r="N45" s="91" t="n">
        <f aca="false">'PT_MXU-01'!$G$27</f>
        <v>1</v>
      </c>
      <c r="O45" s="91" t="n">
        <f aca="false">'PT_MXU-01'!$H$27</f>
        <v>0.9221</v>
      </c>
      <c r="P45" s="31" t="n">
        <f aca="false">$L45*$N45</f>
        <v>7419398</v>
      </c>
      <c r="Q45" s="31" t="n">
        <f aca="false">$L45*$O45</f>
        <v>6841426.8958</v>
      </c>
      <c r="R45" s="86" t="n">
        <f aca="false">'PT_MXU-01'!$K$27</f>
        <v>7249807</v>
      </c>
      <c r="S45" s="86" t="n">
        <f aca="false">'PT_MXU-01'!$L$27</f>
        <v>7419398</v>
      </c>
      <c r="T45" s="31" t="n">
        <f aca="false">$Q45-$P45</f>
        <v>-577971.1042</v>
      </c>
      <c r="U45" s="31" t="n">
        <f aca="false">$Q45-$R45</f>
        <v>-408380.1042</v>
      </c>
      <c r="V45" s="152" t="n">
        <f aca="false">IF($P45&lt;=0,1,$Q45/$P45)</f>
        <v>0.9221</v>
      </c>
      <c r="W45" s="152" t="n">
        <f aca="false">IF($R45&lt;=0,1,$Q45/$R45)</f>
        <v>0.943670210227665</v>
      </c>
      <c r="X45" s="31" t="n">
        <f aca="false">IF($W45&lt;=0,$L45,$L45/$W45)</f>
        <v>7862278.49474027</v>
      </c>
      <c r="Y45" s="31" t="n">
        <f aca="false">$L45-$X45</f>
        <v>-442880.494740266</v>
      </c>
      <c r="Z45" s="153" t="str">
        <f aca="false">'PT_MXU-01'!$O$27</f>
        <v>In Progress</v>
      </c>
      <c r="AA45" s="46" t="str">
        <f aca="false">IF(AND($V45&gt;=0.95,$W45&gt;=0.95),"Green",IF(OR($V45&lt;0.85,$W45&lt;0.85),"Red","Amber"))</f>
        <v>Amber</v>
      </c>
      <c r="AB45" s="31" t="n">
        <f aca="false">MAX(0,$K45-$J45)</f>
        <v>61</v>
      </c>
    </row>
    <row r="46" customFormat="false" ht="13.5" hidden="false" customHeight="true" outlineLevel="0" collapsed="false">
      <c r="A46" s="47" t="s">
        <v>300</v>
      </c>
      <c r="B46" s="154" t="str">
        <f aca="false">IFERROR(INDEX(Projects!$C$9:$C$16,MATCH($A46,Projects!$A$9:$A$16,0)),"")</f>
        <v>Mixed Use</v>
      </c>
      <c r="C46" s="155" t="n">
        <f aca="false">IF(Dashboard!$C$6="Corporate",1,IF(Dashboard!$C$6="Project",IF($A46=Dashboard!$M$6,1,0),IF($B46=Dashboard!$H$6,1,0)))</f>
        <v>1</v>
      </c>
      <c r="D46" s="156" t="s">
        <v>486</v>
      </c>
      <c r="E46" s="37" t="s">
        <v>487</v>
      </c>
      <c r="F46" s="37" t="s">
        <v>483</v>
      </c>
      <c r="G46" s="37" t="s">
        <v>488</v>
      </c>
      <c r="H46" s="37" t="s">
        <v>521</v>
      </c>
      <c r="I46" s="98" t="n">
        <v>46176</v>
      </c>
      <c r="J46" s="98" t="n">
        <v>46721</v>
      </c>
      <c r="K46" s="98" t="n">
        <v>46783</v>
      </c>
      <c r="L46" s="99" t="n">
        <f aca="false">'PT_MXU-01'!$F$28</f>
        <v>12365662</v>
      </c>
      <c r="M46" s="100" t="n">
        <f aca="false">IF(SUMIFS($L$9:$L$80,$A$9:$A$80,$A46)=0,0,$L46/SUMIFS($L$9:$L$80,$A$9:$A$80,$A46))</f>
        <v>0.0736444399873035</v>
      </c>
      <c r="N46" s="102" t="n">
        <f aca="false">'PT_MXU-01'!$G$28</f>
        <v>0.1667</v>
      </c>
      <c r="O46" s="102" t="n">
        <f aca="false">'PT_MXU-01'!$H$28</f>
        <v>0.145</v>
      </c>
      <c r="P46" s="49" t="n">
        <f aca="false">$L46*$N46</f>
        <v>2061355.8554</v>
      </c>
      <c r="Q46" s="49" t="n">
        <f aca="false">$L46*$O46</f>
        <v>1793020.99</v>
      </c>
      <c r="R46" s="99" t="n">
        <f aca="false">'PT_MXU-01'!$K$28</f>
        <v>1976606</v>
      </c>
      <c r="S46" s="99" t="n">
        <f aca="false">'PT_MXU-01'!$L$28</f>
        <v>11129096</v>
      </c>
      <c r="T46" s="49" t="n">
        <f aca="false">$Q46-$P46</f>
        <v>-268334.8654</v>
      </c>
      <c r="U46" s="49" t="n">
        <f aca="false">$Q46-$R46</f>
        <v>-183585.01</v>
      </c>
      <c r="V46" s="157" t="n">
        <f aca="false">IF($P46&lt;=0,1,$Q46/$P46)</f>
        <v>0.869826034793041</v>
      </c>
      <c r="W46" s="157" t="n">
        <f aca="false">IF($R46&lt;=0,1,$Q46/$R46)</f>
        <v>0.907121090394343</v>
      </c>
      <c r="X46" s="49" t="n">
        <f aca="false">IF($W46&lt;=0,$L46,$L46/$W46)</f>
        <v>13631765.5172414</v>
      </c>
      <c r="Y46" s="49" t="n">
        <f aca="false">$L46-$X46</f>
        <v>-1266103.51724138</v>
      </c>
      <c r="Z46" s="103" t="str">
        <f aca="false">'PT_MXU-01'!$O$28</f>
        <v>In Progress</v>
      </c>
      <c r="AA46" s="52" t="str">
        <f aca="false">IF(AND($V46&gt;=0.95,$W46&gt;=0.95),"Green",IF(OR($V46&lt;0.85,$W46&lt;0.85),"Red","Amber"))</f>
        <v>Amber</v>
      </c>
      <c r="AB46" s="49" t="n">
        <f aca="false">MAX(0,$K46-$J46)</f>
        <v>62</v>
      </c>
    </row>
    <row r="47" customFormat="false" ht="13.5" hidden="false" customHeight="true" outlineLevel="0" collapsed="false">
      <c r="A47" s="149" t="s">
        <v>300</v>
      </c>
      <c r="B47" s="150" t="str">
        <f aca="false">IFERROR(INDEX(Projects!$C$9:$C$16,MATCH($A47,Projects!$A$9:$A$16,0)),"")</f>
        <v>Mixed Use</v>
      </c>
      <c r="C47" s="94" t="n">
        <f aca="false">IF(Dashboard!$C$6="Corporate",1,IF(Dashboard!$C$6="Project",IF($A47=Dashboard!$M$6,1,0),IF($B47=Dashboard!$H$6,1,0)))</f>
        <v>1</v>
      </c>
      <c r="D47" s="151" t="s">
        <v>490</v>
      </c>
      <c r="E47" s="30" t="s">
        <v>491</v>
      </c>
      <c r="F47" s="30" t="s">
        <v>492</v>
      </c>
      <c r="G47" s="30" t="s">
        <v>493</v>
      </c>
      <c r="H47" s="30" t="s">
        <v>494</v>
      </c>
      <c r="I47" s="85" t="n">
        <v>46176</v>
      </c>
      <c r="J47" s="85" t="n">
        <v>46418</v>
      </c>
      <c r="K47" s="85" t="n">
        <v>46477</v>
      </c>
      <c r="L47" s="86" t="n">
        <f aca="false">'PT_MXU-01'!$F$29</f>
        <v>9068152</v>
      </c>
      <c r="M47" s="87" t="n">
        <f aca="false">IF(SUMIFS($L$9:$L$80,$A$9:$A$80,$A47)=0,0,$L47/SUMIFS($L$9:$L$80,$A$9:$A$80,$A47))</f>
        <v>0.0540059218632812</v>
      </c>
      <c r="N47" s="91" t="n">
        <f aca="false">'PT_MXU-01'!$G$29</f>
        <v>0.3099</v>
      </c>
      <c r="O47" s="91" t="n">
        <f aca="false">'PT_MXU-01'!$H$29</f>
        <v>0.2372</v>
      </c>
      <c r="P47" s="31" t="n">
        <f aca="false">$L47*$N47</f>
        <v>2810220.3048</v>
      </c>
      <c r="Q47" s="31" t="n">
        <f aca="false">$L47*$O47</f>
        <v>2150965.6544</v>
      </c>
      <c r="R47" s="86" t="n">
        <f aca="false">'PT_MXU-01'!$K$29</f>
        <v>2498051</v>
      </c>
      <c r="S47" s="86" t="n">
        <f aca="false">'PT_MXU-01'!$L$29</f>
        <v>7707929</v>
      </c>
      <c r="T47" s="31" t="n">
        <f aca="false">$Q47-$P47</f>
        <v>-659254.6504</v>
      </c>
      <c r="U47" s="31" t="n">
        <f aca="false">$Q47-$R47</f>
        <v>-347085.3456</v>
      </c>
      <c r="V47" s="152" t="n">
        <f aca="false">IF($P47&lt;=0,1,$Q47/$P47)</f>
        <v>0.76540819619232</v>
      </c>
      <c r="W47" s="152" t="n">
        <f aca="false">IF($R47&lt;=0,1,$Q47/$R47)</f>
        <v>0.861057542219915</v>
      </c>
      <c r="X47" s="31" t="n">
        <f aca="false">IF($W47&lt;=0,$L47,$L47/$W47)</f>
        <v>10531412.3102867</v>
      </c>
      <c r="Y47" s="31" t="n">
        <f aca="false">$L47-$X47</f>
        <v>-1463260.31028668</v>
      </c>
      <c r="Z47" s="153" t="str">
        <f aca="false">'PT_MXU-01'!$O$29</f>
        <v>At Risk</v>
      </c>
      <c r="AA47" s="46" t="str">
        <f aca="false">IF(AND($V47&gt;=0.95,$W47&gt;=0.95),"Green",IF(OR($V47&lt;0.85,$W47&lt;0.85),"Red","Amber"))</f>
        <v>Red</v>
      </c>
      <c r="AB47" s="31" t="n">
        <f aca="false">MAX(0,$K47-$J47)</f>
        <v>59</v>
      </c>
    </row>
    <row r="48" customFormat="false" ht="13.5" hidden="false" customHeight="true" outlineLevel="0" collapsed="false">
      <c r="A48" s="47" t="s">
        <v>300</v>
      </c>
      <c r="B48" s="154" t="str">
        <f aca="false">IFERROR(INDEX(Projects!$C$9:$C$16,MATCH($A48,Projects!$A$9:$A$16,0)),"")</f>
        <v>Mixed Use</v>
      </c>
      <c r="C48" s="155" t="n">
        <f aca="false">IF(Dashboard!$C$6="Corporate",1,IF(Dashboard!$C$6="Project",IF($A48=Dashboard!$M$6,1,0),IF($B48=Dashboard!$H$6,1,0)))</f>
        <v>1</v>
      </c>
      <c r="D48" s="156" t="s">
        <v>495</v>
      </c>
      <c r="E48" s="37" t="s">
        <v>527</v>
      </c>
      <c r="F48" s="37" t="s">
        <v>497</v>
      </c>
      <c r="G48" s="37" t="s">
        <v>484</v>
      </c>
      <c r="H48" s="37" t="s">
        <v>485</v>
      </c>
      <c r="I48" s="98" t="n">
        <v>46207</v>
      </c>
      <c r="J48" s="98" t="n">
        <v>46477</v>
      </c>
      <c r="K48" s="98" t="n">
        <v>46538</v>
      </c>
      <c r="L48" s="99" t="n">
        <f aca="false">'PT_MXU-01'!$F$30</f>
        <v>30501968</v>
      </c>
      <c r="M48" s="100" t="n">
        <f aca="false">IF(SUMIFS($L$9:$L$80,$A$9:$A$80,$A48)=0,0,$L48/SUMIFS($L$9:$L$80,$A$9:$A$80,$A48))</f>
        <v>0.181656295624986</v>
      </c>
      <c r="N48" s="102" t="n">
        <f aca="false">'PT_MXU-01'!$G$30</f>
        <v>0.0486</v>
      </c>
      <c r="O48" s="102" t="n">
        <f aca="false">'PT_MXU-01'!$H$30</f>
        <v>0.0402</v>
      </c>
      <c r="P48" s="49" t="n">
        <f aca="false">$L48*$N48</f>
        <v>1482395.6448</v>
      </c>
      <c r="Q48" s="49" t="n">
        <f aca="false">$L48*$O48</f>
        <v>1226179.1136</v>
      </c>
      <c r="R48" s="99" t="n">
        <f aca="false">'PT_MXU-01'!$K$30</f>
        <v>1310722</v>
      </c>
      <c r="S48" s="99" t="n">
        <f aca="false">'PT_MXU-01'!$L$30</f>
        <v>18911220</v>
      </c>
      <c r="T48" s="49" t="n">
        <f aca="false">$Q48-$P48</f>
        <v>-256216.5312</v>
      </c>
      <c r="U48" s="49" t="n">
        <f aca="false">$Q48-$R48</f>
        <v>-84542.8864</v>
      </c>
      <c r="V48" s="157" t="n">
        <f aca="false">IF($P48&lt;=0,1,$Q48/$P48)</f>
        <v>0.827160493827161</v>
      </c>
      <c r="W48" s="157" t="n">
        <f aca="false">IF($R48&lt;=0,1,$Q48/$R48)</f>
        <v>0.935498994905098</v>
      </c>
      <c r="X48" s="49" t="n">
        <f aca="false">IF($W48&lt;=0,$L48,$L48/$W48)</f>
        <v>32605024.8756219</v>
      </c>
      <c r="Y48" s="49" t="n">
        <f aca="false">$L48-$X48</f>
        <v>-2103056.87562189</v>
      </c>
      <c r="Z48" s="103" t="str">
        <f aca="false">'PT_MXU-01'!$O$30</f>
        <v>At Risk</v>
      </c>
      <c r="AA48" s="52" t="str">
        <f aca="false">IF(AND($V48&gt;=0.95,$W48&gt;=0.95),"Green",IF(OR($V48&lt;0.85,$W48&lt;0.85),"Red","Amber"))</f>
        <v>Red</v>
      </c>
      <c r="AB48" s="49" t="n">
        <f aca="false">MAX(0,$K48-$J48)</f>
        <v>61</v>
      </c>
    </row>
    <row r="49" customFormat="false" ht="13.5" hidden="false" customHeight="true" outlineLevel="0" collapsed="false">
      <c r="A49" s="149" t="s">
        <v>300</v>
      </c>
      <c r="B49" s="150" t="str">
        <f aca="false">IFERROR(INDEX(Projects!$C$9:$C$16,MATCH($A49,Projects!$A$9:$A$16,0)),"")</f>
        <v>Mixed Use</v>
      </c>
      <c r="C49" s="94" t="n">
        <f aca="false">IF(Dashboard!$C$6="Corporate",1,IF(Dashboard!$C$6="Project",IF($A49=Dashboard!$M$6,1,0),IF($B49=Dashboard!$H$6,1,0)))</f>
        <v>1</v>
      </c>
      <c r="D49" s="151" t="s">
        <v>498</v>
      </c>
      <c r="E49" s="30" t="s">
        <v>528</v>
      </c>
      <c r="F49" s="30" t="s">
        <v>500</v>
      </c>
      <c r="G49" s="30" t="s">
        <v>484</v>
      </c>
      <c r="H49" s="30" t="s">
        <v>485</v>
      </c>
      <c r="I49" s="85" t="n">
        <v>46268</v>
      </c>
      <c r="J49" s="85" t="n">
        <v>46599</v>
      </c>
      <c r="K49" s="85" t="n">
        <v>46660</v>
      </c>
      <c r="L49" s="86" t="n">
        <f aca="false">'PT_MXU-01'!$F$31</f>
        <v>40394498</v>
      </c>
      <c r="M49" s="87" t="n">
        <f aca="false">IF(SUMIFS($L$9:$L$80,$A$9:$A$80,$A49)=0,0,$L49/SUMIFS($L$9:$L$80,$A$9:$A$80,$A49))</f>
        <v>0.240571849997052</v>
      </c>
      <c r="N49" s="91" t="n">
        <f aca="false">'PT_MXU-01'!$G$31</f>
        <v>0</v>
      </c>
      <c r="O49" s="91" t="n">
        <f aca="false">'PT_MXU-01'!$H$31</f>
        <v>0</v>
      </c>
      <c r="P49" s="31" t="n">
        <f aca="false">$L49*$N49</f>
        <v>0</v>
      </c>
      <c r="Q49" s="31" t="n">
        <f aca="false">$L49*$O49</f>
        <v>0</v>
      </c>
      <c r="R49" s="86" t="n">
        <f aca="false">'PT_MXU-01'!$K$31</f>
        <v>0</v>
      </c>
      <c r="S49" s="86" t="n">
        <f aca="false">'PT_MXU-01'!$L$31</f>
        <v>18177524</v>
      </c>
      <c r="T49" s="31" t="n">
        <f aca="false">$Q49-$P49</f>
        <v>0</v>
      </c>
      <c r="U49" s="31" t="n">
        <f aca="false">$Q49-$R49</f>
        <v>0</v>
      </c>
      <c r="V49" s="152" t="n">
        <f aca="false">IF($P49&lt;=0,1,$Q49/$P49)</f>
        <v>1</v>
      </c>
      <c r="W49" s="152" t="n">
        <f aca="false">IF($R49&lt;=0,1,$Q49/$R49)</f>
        <v>1</v>
      </c>
      <c r="X49" s="31" t="n">
        <f aca="false">IF($W49&lt;=0,$L49,$L49/$W49)</f>
        <v>40394498</v>
      </c>
      <c r="Y49" s="31" t="n">
        <f aca="false">$L49-$X49</f>
        <v>0</v>
      </c>
      <c r="Z49" s="153" t="str">
        <f aca="false">'PT_MXU-01'!$O$31</f>
        <v>Not Started</v>
      </c>
      <c r="AA49" s="46" t="str">
        <f aca="false">IF(AND($V49&gt;=0.95,$W49&gt;=0.95),"Green",IF(OR($V49&lt;0.85,$W49&lt;0.85),"Red","Amber"))</f>
        <v>Green</v>
      </c>
      <c r="AB49" s="31" t="n">
        <f aca="false">MAX(0,$K49-$J49)</f>
        <v>61</v>
      </c>
    </row>
    <row r="50" customFormat="false" ht="13.5" hidden="false" customHeight="true" outlineLevel="0" collapsed="false">
      <c r="A50" s="47" t="s">
        <v>300</v>
      </c>
      <c r="B50" s="154" t="str">
        <f aca="false">IFERROR(INDEX(Projects!$C$9:$C$16,MATCH($A50,Projects!$A$9:$A$16,0)),"")</f>
        <v>Mixed Use</v>
      </c>
      <c r="C50" s="155" t="n">
        <f aca="false">IF(Dashboard!$C$6="Corporate",1,IF(Dashboard!$C$6="Project",IF($A50=Dashboard!$M$6,1,0),IF($B50=Dashboard!$H$6,1,0)))</f>
        <v>1</v>
      </c>
      <c r="D50" s="156" t="s">
        <v>501</v>
      </c>
      <c r="E50" s="37" t="s">
        <v>529</v>
      </c>
      <c r="F50" s="37" t="s">
        <v>503</v>
      </c>
      <c r="G50" s="37" t="s">
        <v>504</v>
      </c>
      <c r="H50" s="37" t="s">
        <v>505</v>
      </c>
      <c r="I50" s="98" t="n">
        <v>46360</v>
      </c>
      <c r="J50" s="98" t="n">
        <v>46660</v>
      </c>
      <c r="K50" s="98" t="n">
        <v>46721</v>
      </c>
      <c r="L50" s="99" t="n">
        <f aca="false">'PT_MXU-01'!$F$32</f>
        <v>30501968</v>
      </c>
      <c r="M50" s="100" t="n">
        <f aca="false">IF(SUMIFS($L$9:$L$80,$A$9:$A$80,$A50)=0,0,$L50/SUMIFS($L$9:$L$80,$A$9:$A$80,$A50))</f>
        <v>0.181656295624986</v>
      </c>
      <c r="N50" s="102" t="n">
        <f aca="false">'PT_MXU-01'!$G$32</f>
        <v>0</v>
      </c>
      <c r="O50" s="102" t="n">
        <f aca="false">'PT_MXU-01'!$H$32</f>
        <v>0</v>
      </c>
      <c r="P50" s="49" t="n">
        <f aca="false">$L50*$N50</f>
        <v>0</v>
      </c>
      <c r="Q50" s="49" t="n">
        <f aca="false">$L50*$O50</f>
        <v>0</v>
      </c>
      <c r="R50" s="99" t="n">
        <f aca="false">'PT_MXU-01'!$K$32</f>
        <v>0</v>
      </c>
      <c r="S50" s="99" t="n">
        <f aca="false">'PT_MXU-01'!$L$32</f>
        <v>9150590</v>
      </c>
      <c r="T50" s="49" t="n">
        <f aca="false">$Q50-$P50</f>
        <v>0</v>
      </c>
      <c r="U50" s="49" t="n">
        <f aca="false">$Q50-$R50</f>
        <v>0</v>
      </c>
      <c r="V50" s="157" t="n">
        <f aca="false">IF($P50&lt;=0,1,$Q50/$P50)</f>
        <v>1</v>
      </c>
      <c r="W50" s="157" t="n">
        <f aca="false">IF($R50&lt;=0,1,$Q50/$R50)</f>
        <v>1</v>
      </c>
      <c r="X50" s="49" t="n">
        <f aca="false">IF($W50&lt;=0,$L50,$L50/$W50)</f>
        <v>30501968</v>
      </c>
      <c r="Y50" s="49" t="n">
        <f aca="false">$L50-$X50</f>
        <v>0</v>
      </c>
      <c r="Z50" s="103" t="str">
        <f aca="false">'PT_MXU-01'!$O$32</f>
        <v>Not Started</v>
      </c>
      <c r="AA50" s="52" t="str">
        <f aca="false">IF(AND($V50&gt;=0.95,$W50&gt;=0.95),"Green",IF(OR($V50&lt;0.85,$W50&lt;0.85),"Red","Amber"))</f>
        <v>Green</v>
      </c>
      <c r="AB50" s="49" t="n">
        <f aca="false">MAX(0,$K50-$J50)</f>
        <v>61</v>
      </c>
    </row>
    <row r="51" customFormat="false" ht="13.5" hidden="false" customHeight="true" outlineLevel="0" collapsed="false">
      <c r="A51" s="149" t="s">
        <v>300</v>
      </c>
      <c r="B51" s="150" t="str">
        <f aca="false">IFERROR(INDEX(Projects!$C$9:$C$16,MATCH($A51,Projects!$A$9:$A$16,0)),"")</f>
        <v>Mixed Use</v>
      </c>
      <c r="C51" s="94" t="n">
        <f aca="false">IF(Dashboard!$C$6="Corporate",1,IF(Dashboard!$C$6="Project",IF($A51=Dashboard!$M$6,1,0),IF($B51=Dashboard!$H$6,1,0)))</f>
        <v>1</v>
      </c>
      <c r="D51" s="151" t="s">
        <v>506</v>
      </c>
      <c r="E51" s="30" t="s">
        <v>530</v>
      </c>
      <c r="F51" s="30" t="s">
        <v>508</v>
      </c>
      <c r="G51" s="30" t="s">
        <v>509</v>
      </c>
      <c r="H51" s="30" t="s">
        <v>510</v>
      </c>
      <c r="I51" s="85" t="n">
        <v>46419</v>
      </c>
      <c r="J51" s="85" t="n">
        <v>46691</v>
      </c>
      <c r="K51" s="85" t="n">
        <v>46752</v>
      </c>
      <c r="L51" s="86" t="n">
        <f aca="false">'PT_MXU-01'!$F$33</f>
        <v>22258192</v>
      </c>
      <c r="M51" s="87" t="n">
        <f aca="false">IF(SUMIFS($L$9:$L$80,$A$9:$A$80,$A51)=0,0,$L51/SUMIFS($L$9:$L$80,$A$9:$A$80,$A51))</f>
        <v>0.13255999435937</v>
      </c>
      <c r="N51" s="91" t="n">
        <f aca="false">'PT_MXU-01'!$G$33</f>
        <v>0</v>
      </c>
      <c r="O51" s="91" t="n">
        <f aca="false">'PT_MXU-01'!$H$33</f>
        <v>0</v>
      </c>
      <c r="P51" s="31" t="n">
        <f aca="false">$L51*$N51</f>
        <v>0</v>
      </c>
      <c r="Q51" s="31" t="n">
        <f aca="false">$L51*$O51</f>
        <v>0</v>
      </c>
      <c r="R51" s="86" t="n">
        <f aca="false">'PT_MXU-01'!$K$33</f>
        <v>0</v>
      </c>
      <c r="S51" s="86" t="n">
        <f aca="false">'PT_MXU-01'!$L$33</f>
        <v>4006475</v>
      </c>
      <c r="T51" s="31" t="n">
        <f aca="false">$Q51-$P51</f>
        <v>0</v>
      </c>
      <c r="U51" s="31" t="n">
        <f aca="false">$Q51-$R51</f>
        <v>0</v>
      </c>
      <c r="V51" s="152" t="n">
        <f aca="false">IF($P51&lt;=0,1,$Q51/$P51)</f>
        <v>1</v>
      </c>
      <c r="W51" s="152" t="n">
        <f aca="false">IF($R51&lt;=0,1,$Q51/$R51)</f>
        <v>1</v>
      </c>
      <c r="X51" s="31" t="n">
        <f aca="false">IF($W51&lt;=0,$L51,$L51/$W51)</f>
        <v>22258192</v>
      </c>
      <c r="Y51" s="31" t="n">
        <f aca="false">$L51-$X51</f>
        <v>0</v>
      </c>
      <c r="Z51" s="153" t="str">
        <f aca="false">'PT_MXU-01'!$O$33</f>
        <v>Not Started</v>
      </c>
      <c r="AA51" s="46" t="str">
        <f aca="false">IF(AND($V51&gt;=0.95,$W51&gt;=0.95),"Green",IF(OR($V51&lt;0.85,$W51&lt;0.85),"Red","Amber"))</f>
        <v>Green</v>
      </c>
      <c r="AB51" s="31" t="n">
        <f aca="false">MAX(0,$K51-$J51)</f>
        <v>61</v>
      </c>
    </row>
    <row r="52" customFormat="false" ht="13.5" hidden="false" customHeight="true" outlineLevel="0" collapsed="false">
      <c r="A52" s="47" t="s">
        <v>300</v>
      </c>
      <c r="B52" s="154" t="str">
        <f aca="false">IFERROR(INDEX(Projects!$C$9:$C$16,MATCH($A52,Projects!$A$9:$A$16,0)),"")</f>
        <v>Mixed Use</v>
      </c>
      <c r="C52" s="155" t="n">
        <f aca="false">IF(Dashboard!$C$6="Corporate",1,IF(Dashboard!$C$6="Project",IF($A52=Dashboard!$M$6,1,0),IF($B52=Dashboard!$H$6,1,0)))</f>
        <v>1</v>
      </c>
      <c r="D52" s="156" t="s">
        <v>511</v>
      </c>
      <c r="E52" s="37" t="s">
        <v>512</v>
      </c>
      <c r="F52" s="37" t="s">
        <v>513</v>
      </c>
      <c r="G52" s="37" t="s">
        <v>514</v>
      </c>
      <c r="H52" s="37" t="s">
        <v>515</v>
      </c>
      <c r="I52" s="98" t="n">
        <v>46633</v>
      </c>
      <c r="J52" s="98" t="n">
        <v>46721</v>
      </c>
      <c r="K52" s="98" t="n">
        <v>46783</v>
      </c>
      <c r="L52" s="99" t="n">
        <f aca="false">'PT_MXU-01'!$F$34</f>
        <v>12365662</v>
      </c>
      <c r="M52" s="100" t="n">
        <f aca="false">IF(SUMIFS($L$9:$L$80,$A$9:$A$80,$A52)=0,0,$L52/SUMIFS($L$9:$L$80,$A$9:$A$80,$A52))</f>
        <v>0.0736444399873035</v>
      </c>
      <c r="N52" s="102" t="n">
        <f aca="false">'PT_MXU-01'!$G$34</f>
        <v>0</v>
      </c>
      <c r="O52" s="102" t="n">
        <f aca="false">'PT_MXU-01'!$H$34</f>
        <v>0</v>
      </c>
      <c r="P52" s="49" t="n">
        <f aca="false">$L52*$N52</f>
        <v>0</v>
      </c>
      <c r="Q52" s="49" t="n">
        <f aca="false">$L52*$O52</f>
        <v>0</v>
      </c>
      <c r="R52" s="99" t="n">
        <f aca="false">'PT_MXU-01'!$K$34</f>
        <v>0</v>
      </c>
      <c r="S52" s="99" t="n">
        <f aca="false">'PT_MXU-01'!$L$34</f>
        <v>618283</v>
      </c>
      <c r="T52" s="49" t="n">
        <f aca="false">$Q52-$P52</f>
        <v>0</v>
      </c>
      <c r="U52" s="49" t="n">
        <f aca="false">$Q52-$R52</f>
        <v>0</v>
      </c>
      <c r="V52" s="157" t="n">
        <f aca="false">IF($P52&lt;=0,1,$Q52/$P52)</f>
        <v>1</v>
      </c>
      <c r="W52" s="157" t="n">
        <f aca="false">IF($R52&lt;=0,1,$Q52/$R52)</f>
        <v>1</v>
      </c>
      <c r="X52" s="49" t="n">
        <f aca="false">IF($W52&lt;=0,$L52,$L52/$W52)</f>
        <v>12365662</v>
      </c>
      <c r="Y52" s="49" t="n">
        <f aca="false">$L52-$X52</f>
        <v>0</v>
      </c>
      <c r="Z52" s="103" t="str">
        <f aca="false">'PT_MXU-01'!$O$34</f>
        <v>Not Started</v>
      </c>
      <c r="AA52" s="52" t="str">
        <f aca="false">IF(AND($V52&gt;=0.95,$W52&gt;=0.95),"Green",IF(OR($V52&lt;0.85,$W52&lt;0.85),"Red","Amber"))</f>
        <v>Green</v>
      </c>
      <c r="AB52" s="49" t="n">
        <f aca="false">MAX(0,$K52-$J52)</f>
        <v>62</v>
      </c>
    </row>
    <row r="53" customFormat="false" ht="13.5" hidden="false" customHeight="true" outlineLevel="0" collapsed="false">
      <c r="A53" s="149" t="s">
        <v>300</v>
      </c>
      <c r="B53" s="150" t="str">
        <f aca="false">IFERROR(INDEX(Projects!$C$9:$C$16,MATCH($A53,Projects!$A$9:$A$16,0)),"")</f>
        <v>Mixed Use</v>
      </c>
      <c r="C53" s="94" t="n">
        <f aca="false">IF(Dashboard!$C$6="Corporate",1,IF(Dashboard!$C$6="Project",IF($A53=Dashboard!$M$6,1,0),IF($B53=Dashboard!$H$6,1,0)))</f>
        <v>1</v>
      </c>
      <c r="D53" s="151" t="s">
        <v>516</v>
      </c>
      <c r="E53" s="30" t="s">
        <v>517</v>
      </c>
      <c r="F53" s="30" t="s">
        <v>518</v>
      </c>
      <c r="G53" s="30" t="s">
        <v>514</v>
      </c>
      <c r="H53" s="30" t="s">
        <v>519</v>
      </c>
      <c r="I53" s="85" t="n">
        <v>46265</v>
      </c>
      <c r="J53" s="85" t="n">
        <v>46691</v>
      </c>
      <c r="K53" s="85" t="n">
        <v>46721</v>
      </c>
      <c r="L53" s="158" t="n">
        <f aca="false">'PT_MXU-01'!$F$35</f>
        <v>3034827</v>
      </c>
      <c r="M53" s="87" t="n">
        <f aca="false">IF(SUMIFS($L$9:$L$80,$A$9:$A$80,$A53)=0,0,$L53/SUMIFS($L$9:$L$80,$A$9:$A$80,$A53))</f>
        <v>0.0180740937988883</v>
      </c>
      <c r="N53" s="91" t="n">
        <f aca="false">'PT_MXU-01'!$G$35</f>
        <v>0.0835</v>
      </c>
      <c r="O53" s="91" t="n">
        <f aca="false">'PT_MXU-01'!$H$35</f>
        <v>0.0728</v>
      </c>
      <c r="P53" s="31" t="n">
        <f aca="false">$L53*$N53</f>
        <v>253408.0545</v>
      </c>
      <c r="Q53" s="31" t="n">
        <f aca="false">$L53*$O53</f>
        <v>220935.4056</v>
      </c>
      <c r="R53" s="86" t="n">
        <f aca="false">'PT_MXU-01'!$K$35</f>
        <v>244924</v>
      </c>
      <c r="S53" s="86" t="n">
        <f aca="false">'PT_MXU-01'!$L$35</f>
        <v>1669155</v>
      </c>
      <c r="T53" s="31" t="n">
        <f aca="false">$Q53-$P53</f>
        <v>-32472.6489</v>
      </c>
      <c r="U53" s="31" t="n">
        <f aca="false">$Q53-$R53</f>
        <v>-23988.5944</v>
      </c>
      <c r="V53" s="152" t="n">
        <f aca="false">IF($P53&lt;=0,1,$Q53/$P53)</f>
        <v>0.87185628742515</v>
      </c>
      <c r="W53" s="152" t="n">
        <f aca="false">IF($R53&lt;=0,1,$Q53/$R53)</f>
        <v>0.902056987473665</v>
      </c>
      <c r="X53" s="31" t="n">
        <f aca="false">IF($W53&lt;=0,$L53,$L53/$W53)</f>
        <v>3364340.65934066</v>
      </c>
      <c r="Y53" s="31" t="n">
        <f aca="false">$L53-$X53</f>
        <v>-329513.65934066</v>
      </c>
      <c r="Z53" s="153" t="str">
        <f aca="false">'PT_MXU-01'!$O$35</f>
        <v>In Progress</v>
      </c>
      <c r="AA53" s="46" t="str">
        <f aca="false">IF(AND($V53&gt;=0.95,$W53&gt;=0.95),"Green",IF(OR($V53&lt;0.85,$W53&lt;0.85),"Red","Amber"))</f>
        <v>Amber</v>
      </c>
      <c r="AB53" s="31" t="n">
        <f aca="false">MAX(0,$K53-$J53)</f>
        <v>30</v>
      </c>
    </row>
    <row r="54" customFormat="false" ht="13.5" hidden="false" customHeight="true" outlineLevel="0" collapsed="false">
      <c r="A54" s="47" t="s">
        <v>301</v>
      </c>
      <c r="B54" s="154" t="str">
        <f aca="false">IFERROR(INDEX(Projects!$C$9:$C$16,MATCH($A54,Projects!$A$9:$A$16,0)),"")</f>
        <v>Mixed Use</v>
      </c>
      <c r="C54" s="155" t="n">
        <f aca="false">IF(Dashboard!$C$6="Corporate",1,IF(Dashboard!$C$6="Project",IF($A54=Dashboard!$M$6,1,0),IF($B54=Dashboard!$H$6,1,0)))</f>
        <v>1</v>
      </c>
      <c r="D54" s="156" t="s">
        <v>481</v>
      </c>
      <c r="E54" s="37" t="s">
        <v>482</v>
      </c>
      <c r="F54" s="37" t="s">
        <v>483</v>
      </c>
      <c r="G54" s="37" t="s">
        <v>484</v>
      </c>
      <c r="H54" s="37" t="s">
        <v>485</v>
      </c>
      <c r="I54" s="98" t="n">
        <v>46146</v>
      </c>
      <c r="J54" s="98" t="n">
        <v>46173</v>
      </c>
      <c r="K54" s="98" t="n">
        <v>46173</v>
      </c>
      <c r="L54" s="99" t="n">
        <f aca="false">'PT_MXU-02'!$F$27</f>
        <v>3746655</v>
      </c>
      <c r="M54" s="100" t="n">
        <f aca="false">IF(SUMIFS($L$9:$L$80,$A$9:$A$80,$A54)=0,0,$L54/SUMIFS($L$9:$L$80,$A$9:$A$80,$A54))</f>
        <v>0.0447452093555645</v>
      </c>
      <c r="N54" s="102" t="n">
        <f aca="false">'PT_MXU-02'!$G$27</f>
        <v>1</v>
      </c>
      <c r="O54" s="102" t="n">
        <f aca="false">'PT_MXU-02'!$H$27</f>
        <v>1</v>
      </c>
      <c r="P54" s="49" t="n">
        <f aca="false">$L54*$N54</f>
        <v>3746655</v>
      </c>
      <c r="Q54" s="49" t="n">
        <f aca="false">$L54*$O54</f>
        <v>3746655</v>
      </c>
      <c r="R54" s="99" t="n">
        <f aca="false">'PT_MXU-02'!$K$27</f>
        <v>3796745</v>
      </c>
      <c r="S54" s="99" t="n">
        <f aca="false">'PT_MXU-02'!$L$27</f>
        <v>3746655</v>
      </c>
      <c r="T54" s="49" t="n">
        <f aca="false">$Q54-$P54</f>
        <v>0</v>
      </c>
      <c r="U54" s="49" t="n">
        <f aca="false">$Q54-$R54</f>
        <v>-50090</v>
      </c>
      <c r="V54" s="157" t="n">
        <f aca="false">IF($P54&lt;=0,1,$Q54/$P54)</f>
        <v>1</v>
      </c>
      <c r="W54" s="157" t="n">
        <f aca="false">IF($R54&lt;=0,1,$Q54/$R54)</f>
        <v>0.986807120309634</v>
      </c>
      <c r="X54" s="49" t="n">
        <f aca="false">IF($W54&lt;=0,$L54,$L54/$W54)</f>
        <v>3796745</v>
      </c>
      <c r="Y54" s="49" t="n">
        <f aca="false">$L54-$X54</f>
        <v>-50090</v>
      </c>
      <c r="Z54" s="103" t="str">
        <f aca="false">'PT_MXU-02'!$O$27</f>
        <v>Complete</v>
      </c>
      <c r="AA54" s="52" t="str">
        <f aca="false">IF(AND($V54&gt;=0.95,$W54&gt;=0.95),"Green",IF(OR($V54&lt;0.85,$W54&lt;0.85),"Red","Amber"))</f>
        <v>Green</v>
      </c>
      <c r="AB54" s="49" t="n">
        <f aca="false">MAX(0,$K54-$J54)</f>
        <v>0</v>
      </c>
    </row>
    <row r="55" customFormat="false" ht="13.5" hidden="false" customHeight="true" outlineLevel="0" collapsed="false">
      <c r="A55" s="149" t="s">
        <v>301</v>
      </c>
      <c r="B55" s="150" t="str">
        <f aca="false">IFERROR(INDEX(Projects!$C$9:$C$16,MATCH($A55,Projects!$A$9:$A$16,0)),"")</f>
        <v>Mixed Use</v>
      </c>
      <c r="C55" s="94" t="n">
        <f aca="false">IF(Dashboard!$C$6="Corporate",1,IF(Dashboard!$C$6="Project",IF($A55=Dashboard!$M$6,1,0),IF($B55=Dashboard!$H$6,1,0)))</f>
        <v>1</v>
      </c>
      <c r="D55" s="151" t="s">
        <v>486</v>
      </c>
      <c r="E55" s="30" t="s">
        <v>487</v>
      </c>
      <c r="F55" s="30" t="s">
        <v>483</v>
      </c>
      <c r="G55" s="30" t="s">
        <v>488</v>
      </c>
      <c r="H55" s="30" t="s">
        <v>531</v>
      </c>
      <c r="I55" s="85" t="n">
        <v>46146</v>
      </c>
      <c r="J55" s="85" t="n">
        <v>46630</v>
      </c>
      <c r="K55" s="85" t="n">
        <v>46630</v>
      </c>
      <c r="L55" s="86" t="n">
        <f aca="false">'PT_MXU-02'!$F$28</f>
        <v>6244425</v>
      </c>
      <c r="M55" s="87" t="n">
        <f aca="false">IF(SUMIFS($L$9:$L$80,$A$9:$A$80,$A55)=0,0,$L55/SUMIFS($L$9:$L$80,$A$9:$A$80,$A55))</f>
        <v>0.0745753489259409</v>
      </c>
      <c r="N55" s="91" t="n">
        <f aca="false">'PT_MXU-02'!$G$28</f>
        <v>0.25</v>
      </c>
      <c r="O55" s="91" t="n">
        <f aca="false">'PT_MXU-02'!$H$28</f>
        <v>0.2584</v>
      </c>
      <c r="P55" s="31" t="n">
        <f aca="false">$L55*$N55</f>
        <v>1561106.25</v>
      </c>
      <c r="Q55" s="31" t="n">
        <f aca="false">$L55*$O55</f>
        <v>1613559.42</v>
      </c>
      <c r="R55" s="86" t="n">
        <f aca="false">'PT_MXU-02'!$K$28</f>
        <v>1701131</v>
      </c>
      <c r="S55" s="86" t="n">
        <f aca="false">'PT_MXU-02'!$L$28</f>
        <v>5619982</v>
      </c>
      <c r="T55" s="31" t="n">
        <f aca="false">$Q55-$P55</f>
        <v>52453.1700000002</v>
      </c>
      <c r="U55" s="31" t="n">
        <f aca="false">$Q55-$R55</f>
        <v>-87571.5799999998</v>
      </c>
      <c r="V55" s="152" t="n">
        <f aca="false">IF($P55&lt;=0,1,$Q55/$P55)</f>
        <v>1.0336</v>
      </c>
      <c r="W55" s="152" t="n">
        <f aca="false">IF($R55&lt;=0,1,$Q55/$R55)</f>
        <v>0.948521554189536</v>
      </c>
      <c r="X55" s="31" t="n">
        <f aca="false">IF($W55&lt;=0,$L55,$L55/$W55)</f>
        <v>6583324.30340557</v>
      </c>
      <c r="Y55" s="31" t="n">
        <f aca="false">$L55-$X55</f>
        <v>-338899.303405573</v>
      </c>
      <c r="Z55" s="153" t="str">
        <f aca="false">'PT_MXU-02'!$O$28</f>
        <v>In Progress</v>
      </c>
      <c r="AA55" s="46" t="str">
        <f aca="false">IF(AND($V55&gt;=0.95,$W55&gt;=0.95),"Green",IF(OR($V55&lt;0.85,$W55&lt;0.85),"Red","Amber"))</f>
        <v>Amber</v>
      </c>
      <c r="AB55" s="31" t="n">
        <f aca="false">MAX(0,$K55-$J55)</f>
        <v>0</v>
      </c>
    </row>
    <row r="56" customFormat="false" ht="13.5" hidden="false" customHeight="true" outlineLevel="0" collapsed="false">
      <c r="A56" s="47" t="s">
        <v>301</v>
      </c>
      <c r="B56" s="154" t="str">
        <f aca="false">IFERROR(INDEX(Projects!$C$9:$C$16,MATCH($A56,Projects!$A$9:$A$16,0)),"")</f>
        <v>Mixed Use</v>
      </c>
      <c r="C56" s="155" t="n">
        <f aca="false">IF(Dashboard!$C$6="Corporate",1,IF(Dashboard!$C$6="Project",IF($A56=Dashboard!$M$6,1,0),IF($B56=Dashboard!$H$6,1,0)))</f>
        <v>1</v>
      </c>
      <c r="D56" s="156" t="s">
        <v>490</v>
      </c>
      <c r="E56" s="37" t="s">
        <v>491</v>
      </c>
      <c r="F56" s="37" t="s">
        <v>492</v>
      </c>
      <c r="G56" s="37" t="s">
        <v>493</v>
      </c>
      <c r="H56" s="37" t="s">
        <v>494</v>
      </c>
      <c r="I56" s="98" t="n">
        <v>46146</v>
      </c>
      <c r="J56" s="98" t="n">
        <v>46356</v>
      </c>
      <c r="K56" s="98" t="n">
        <v>46356</v>
      </c>
      <c r="L56" s="99" t="n">
        <f aca="false">'PT_MXU-02'!$F$29</f>
        <v>4579245</v>
      </c>
      <c r="M56" s="100" t="n">
        <f aca="false">IF(SUMIFS($L$9:$L$80,$A$9:$A$80,$A56)=0,0,$L56/SUMIFS($L$9:$L$80,$A$9:$A$80,$A56))</f>
        <v>0.0546885892123566</v>
      </c>
      <c r="N56" s="102" t="n">
        <f aca="false">'PT_MXU-02'!$G$29</f>
        <v>0.583</v>
      </c>
      <c r="O56" s="102" t="n">
        <f aca="false">'PT_MXU-02'!$H$29</f>
        <v>0.5302</v>
      </c>
      <c r="P56" s="49" t="n">
        <f aca="false">$L56*$N56</f>
        <v>2669699.835</v>
      </c>
      <c r="Q56" s="49" t="n">
        <f aca="false">$L56*$O56</f>
        <v>2427915.699</v>
      </c>
      <c r="R56" s="99" t="n">
        <f aca="false">'PT_MXU-02'!$K$29</f>
        <v>2696190</v>
      </c>
      <c r="S56" s="99" t="n">
        <f aca="false">'PT_MXU-02'!$L$29</f>
        <v>3892358</v>
      </c>
      <c r="T56" s="49" t="n">
        <f aca="false">$Q56-$P56</f>
        <v>-241784.136</v>
      </c>
      <c r="U56" s="49" t="n">
        <f aca="false">$Q56-$R56</f>
        <v>-268274.301</v>
      </c>
      <c r="V56" s="157" t="n">
        <f aca="false">IF($P56&lt;=0,1,$Q56/$P56)</f>
        <v>0.909433962264151</v>
      </c>
      <c r="W56" s="157" t="n">
        <f aca="false">IF($R56&lt;=0,1,$Q56/$R56)</f>
        <v>0.90049874044485</v>
      </c>
      <c r="X56" s="49" t="n">
        <f aca="false">IF($W56&lt;=0,$L56,$L56/$W56)</f>
        <v>5085231.98792908</v>
      </c>
      <c r="Y56" s="49" t="n">
        <f aca="false">$L56-$X56</f>
        <v>-505986.987929083</v>
      </c>
      <c r="Z56" s="103" t="str">
        <f aca="false">'PT_MXU-02'!$O$29</f>
        <v>In Progress</v>
      </c>
      <c r="AA56" s="52" t="str">
        <f aca="false">IF(AND($V56&gt;=0.95,$W56&gt;=0.95),"Green",IF(OR($V56&lt;0.85,$W56&lt;0.85),"Red","Amber"))</f>
        <v>Amber</v>
      </c>
      <c r="AB56" s="49" t="n">
        <f aca="false">MAX(0,$K56-$J56)</f>
        <v>0</v>
      </c>
    </row>
    <row r="57" customFormat="false" ht="13.5" hidden="false" customHeight="true" outlineLevel="0" collapsed="false">
      <c r="A57" s="149" t="s">
        <v>301</v>
      </c>
      <c r="B57" s="150" t="str">
        <f aca="false">IFERROR(INDEX(Projects!$C$9:$C$16,MATCH($A57,Projects!$A$9:$A$16,0)),"")</f>
        <v>Mixed Use</v>
      </c>
      <c r="C57" s="94" t="n">
        <f aca="false">IF(Dashboard!$C$6="Corporate",1,IF(Dashboard!$C$6="Project",IF($A57=Dashboard!$M$6,1,0),IF($B57=Dashboard!$H$6,1,0)))</f>
        <v>1</v>
      </c>
      <c r="D57" s="151" t="s">
        <v>495</v>
      </c>
      <c r="E57" s="30" t="s">
        <v>527</v>
      </c>
      <c r="F57" s="30" t="s">
        <v>497</v>
      </c>
      <c r="G57" s="30" t="s">
        <v>484</v>
      </c>
      <c r="H57" s="30" t="s">
        <v>485</v>
      </c>
      <c r="I57" s="85" t="n">
        <v>46176</v>
      </c>
      <c r="J57" s="85" t="n">
        <v>46418</v>
      </c>
      <c r="K57" s="85" t="n">
        <v>46418</v>
      </c>
      <c r="L57" s="86" t="n">
        <f aca="false">'PT_MXU-02'!$F$30</f>
        <v>15402915</v>
      </c>
      <c r="M57" s="87" t="n">
        <f aca="false">IF(SUMIFS($L$9:$L$80,$A$9:$A$80,$A57)=0,0,$L57/SUMIFS($L$9:$L$80,$A$9:$A$80,$A57))</f>
        <v>0.183952527350654</v>
      </c>
      <c r="N57" s="91" t="n">
        <f aca="false">'PT_MXU-02'!$G$30</f>
        <v>0.216</v>
      </c>
      <c r="O57" s="91" t="n">
        <f aca="false">'PT_MXU-02'!$H$30</f>
        <v>0.2121</v>
      </c>
      <c r="P57" s="31" t="n">
        <f aca="false">$L57*$N57</f>
        <v>3327029.64</v>
      </c>
      <c r="Q57" s="31" t="n">
        <f aca="false">$L57*$O57</f>
        <v>3266958.2715</v>
      </c>
      <c r="R57" s="86" t="n">
        <f aca="false">'PT_MXU-02'!$K$30</f>
        <v>3342878</v>
      </c>
      <c r="S57" s="86" t="n">
        <f aca="false">'PT_MXU-02'!$L$30</f>
        <v>9549807</v>
      </c>
      <c r="T57" s="31" t="n">
        <f aca="false">$Q57-$P57</f>
        <v>-60071.3684999999</v>
      </c>
      <c r="U57" s="31" t="n">
        <f aca="false">$Q57-$R57</f>
        <v>-75919.7284999997</v>
      </c>
      <c r="V57" s="152" t="n">
        <f aca="false">IF($P57&lt;=0,1,$Q57/$P57)</f>
        <v>0.981944444444445</v>
      </c>
      <c r="W57" s="152" t="n">
        <f aca="false">IF($R57&lt;=0,1,$Q57/$R57)</f>
        <v>0.977289111807251</v>
      </c>
      <c r="X57" s="31" t="n">
        <f aca="false">IF($W57&lt;=0,$L57,$L57/$W57)</f>
        <v>15760858.0858086</v>
      </c>
      <c r="Y57" s="31" t="n">
        <f aca="false">$L57-$X57</f>
        <v>-357943.085808579</v>
      </c>
      <c r="Z57" s="153" t="str">
        <f aca="false">'PT_MXU-02'!$O$30</f>
        <v>In Progress</v>
      </c>
      <c r="AA57" s="46" t="str">
        <f aca="false">IF(AND($V57&gt;=0.95,$W57&gt;=0.95),"Green",IF(OR($V57&lt;0.85,$W57&lt;0.85),"Red","Amber"))</f>
        <v>Green</v>
      </c>
      <c r="AB57" s="31" t="n">
        <f aca="false">MAX(0,$K57-$J57)</f>
        <v>0</v>
      </c>
    </row>
    <row r="58" customFormat="false" ht="13.5" hidden="false" customHeight="true" outlineLevel="0" collapsed="false">
      <c r="A58" s="47" t="s">
        <v>301</v>
      </c>
      <c r="B58" s="154" t="str">
        <f aca="false">IFERROR(INDEX(Projects!$C$9:$C$16,MATCH($A58,Projects!$A$9:$A$16,0)),"")</f>
        <v>Mixed Use</v>
      </c>
      <c r="C58" s="155" t="n">
        <f aca="false">IF(Dashboard!$C$6="Corporate",1,IF(Dashboard!$C$6="Project",IF($A58=Dashboard!$M$6,1,0),IF($B58=Dashboard!$H$6,1,0)))</f>
        <v>1</v>
      </c>
      <c r="D58" s="156" t="s">
        <v>498</v>
      </c>
      <c r="E58" s="37" t="s">
        <v>528</v>
      </c>
      <c r="F58" s="37" t="s">
        <v>500</v>
      </c>
      <c r="G58" s="37" t="s">
        <v>484</v>
      </c>
      <c r="H58" s="37" t="s">
        <v>485</v>
      </c>
      <c r="I58" s="98" t="n">
        <v>46238</v>
      </c>
      <c r="J58" s="98" t="n">
        <v>46507</v>
      </c>
      <c r="K58" s="98" t="n">
        <v>46507</v>
      </c>
      <c r="L58" s="99" t="n">
        <f aca="false">'PT_MXU-02'!$F$31</f>
        <v>20398455</v>
      </c>
      <c r="M58" s="100" t="n">
        <f aca="false">IF(SUMIFS($L$9:$L$80,$A$9:$A$80,$A58)=0,0,$L58/SUMIFS($L$9:$L$80,$A$9:$A$80,$A58))</f>
        <v>0.243612806491407</v>
      </c>
      <c r="N58" s="102" t="n">
        <f aca="false">'PT_MXU-02'!$G$31</f>
        <v>0.0197</v>
      </c>
      <c r="O58" s="102" t="n">
        <f aca="false">'PT_MXU-02'!$H$31</f>
        <v>0.0211</v>
      </c>
      <c r="P58" s="49" t="n">
        <f aca="false">$L58*$N58</f>
        <v>401849.5635</v>
      </c>
      <c r="Q58" s="49" t="n">
        <f aca="false">$L58*$O58</f>
        <v>430407.4005</v>
      </c>
      <c r="R58" s="99" t="n">
        <f aca="false">'PT_MXU-02'!$K$31</f>
        <v>464231</v>
      </c>
      <c r="S58" s="99" t="n">
        <f aca="false">'PT_MXU-02'!$L$31</f>
        <v>9179305</v>
      </c>
      <c r="T58" s="49" t="n">
        <f aca="false">$Q58-$P58</f>
        <v>28557.837</v>
      </c>
      <c r="U58" s="49" t="n">
        <f aca="false">$Q58-$R58</f>
        <v>-33823.5995</v>
      </c>
      <c r="V58" s="157" t="n">
        <f aca="false">IF($P58&lt;=0,1,$Q58/$P58)</f>
        <v>1.07106598984772</v>
      </c>
      <c r="W58" s="157" t="n">
        <f aca="false">IF($R58&lt;=0,1,$Q58/$R58)</f>
        <v>0.927140584105758</v>
      </c>
      <c r="X58" s="49" t="n">
        <f aca="false">IF($W58&lt;=0,$L58,$L58/$W58)</f>
        <v>22001469.1943128</v>
      </c>
      <c r="Y58" s="49" t="n">
        <f aca="false">$L58-$X58</f>
        <v>-1603014.1943128</v>
      </c>
      <c r="Z58" s="103" t="str">
        <f aca="false">'PT_MXU-02'!$O$31</f>
        <v>In Progress</v>
      </c>
      <c r="AA58" s="52" t="str">
        <f aca="false">IF(AND($V58&gt;=0.95,$W58&gt;=0.95),"Green",IF(OR($V58&lt;0.85,$W58&lt;0.85),"Red","Amber"))</f>
        <v>Amber</v>
      </c>
      <c r="AB58" s="49" t="n">
        <f aca="false">MAX(0,$K58-$J58)</f>
        <v>0</v>
      </c>
    </row>
    <row r="59" customFormat="false" ht="13.5" hidden="false" customHeight="true" outlineLevel="0" collapsed="false">
      <c r="A59" s="149" t="s">
        <v>301</v>
      </c>
      <c r="B59" s="150" t="str">
        <f aca="false">IFERROR(INDEX(Projects!$C$9:$C$16,MATCH($A59,Projects!$A$9:$A$16,0)),"")</f>
        <v>Mixed Use</v>
      </c>
      <c r="C59" s="94" t="n">
        <f aca="false">IF(Dashboard!$C$6="Corporate",1,IF(Dashboard!$C$6="Project",IF($A59=Dashboard!$M$6,1,0),IF($B59=Dashboard!$H$6,1,0)))</f>
        <v>1</v>
      </c>
      <c r="D59" s="151" t="s">
        <v>501</v>
      </c>
      <c r="E59" s="30" t="s">
        <v>529</v>
      </c>
      <c r="F59" s="30" t="s">
        <v>503</v>
      </c>
      <c r="G59" s="30" t="s">
        <v>504</v>
      </c>
      <c r="H59" s="30" t="s">
        <v>505</v>
      </c>
      <c r="I59" s="85" t="n">
        <v>46299</v>
      </c>
      <c r="J59" s="85" t="n">
        <v>46568</v>
      </c>
      <c r="K59" s="85" t="n">
        <v>46568</v>
      </c>
      <c r="L59" s="86" t="n">
        <f aca="false">'PT_MXU-02'!$F$32</f>
        <v>15402915</v>
      </c>
      <c r="M59" s="87" t="n">
        <f aca="false">IF(SUMIFS($L$9:$L$80,$A$9:$A$80,$A59)=0,0,$L59/SUMIFS($L$9:$L$80,$A$9:$A$80,$A59))</f>
        <v>0.183952527350654</v>
      </c>
      <c r="N59" s="91" t="n">
        <f aca="false">'PT_MXU-02'!$G$32</f>
        <v>0</v>
      </c>
      <c r="O59" s="91" t="n">
        <f aca="false">'PT_MXU-02'!$H$32</f>
        <v>0</v>
      </c>
      <c r="P59" s="31" t="n">
        <f aca="false">$L59*$N59</f>
        <v>0</v>
      </c>
      <c r="Q59" s="31" t="n">
        <f aca="false">$L59*$O59</f>
        <v>0</v>
      </c>
      <c r="R59" s="86" t="n">
        <f aca="false">'PT_MXU-02'!$K$32</f>
        <v>0</v>
      </c>
      <c r="S59" s="86" t="n">
        <f aca="false">'PT_MXU-02'!$L$32</f>
        <v>4620874</v>
      </c>
      <c r="T59" s="31" t="n">
        <f aca="false">$Q59-$P59</f>
        <v>0</v>
      </c>
      <c r="U59" s="31" t="n">
        <f aca="false">$Q59-$R59</f>
        <v>0</v>
      </c>
      <c r="V59" s="152" t="n">
        <f aca="false">IF($P59&lt;=0,1,$Q59/$P59)</f>
        <v>1</v>
      </c>
      <c r="W59" s="152" t="n">
        <f aca="false">IF($R59&lt;=0,1,$Q59/$R59)</f>
        <v>1</v>
      </c>
      <c r="X59" s="31" t="n">
        <f aca="false">IF($W59&lt;=0,$L59,$L59/$W59)</f>
        <v>15402915</v>
      </c>
      <c r="Y59" s="31" t="n">
        <f aca="false">$L59-$X59</f>
        <v>0</v>
      </c>
      <c r="Z59" s="153" t="str">
        <f aca="false">'PT_MXU-02'!$O$32</f>
        <v>Not Started</v>
      </c>
      <c r="AA59" s="46" t="str">
        <f aca="false">IF(AND($V59&gt;=0.95,$W59&gt;=0.95),"Green",IF(OR($V59&lt;0.85,$W59&lt;0.85),"Red","Amber"))</f>
        <v>Green</v>
      </c>
      <c r="AB59" s="31" t="n">
        <f aca="false">MAX(0,$K59-$J59)</f>
        <v>0</v>
      </c>
    </row>
    <row r="60" customFormat="false" ht="13.5" hidden="false" customHeight="true" outlineLevel="0" collapsed="false">
      <c r="A60" s="47" t="s">
        <v>301</v>
      </c>
      <c r="B60" s="154" t="str">
        <f aca="false">IFERROR(INDEX(Projects!$C$9:$C$16,MATCH($A60,Projects!$A$9:$A$16,0)),"")</f>
        <v>Mixed Use</v>
      </c>
      <c r="C60" s="155" t="n">
        <f aca="false">IF(Dashboard!$C$6="Corporate",1,IF(Dashboard!$C$6="Project",IF($A60=Dashboard!$M$6,1,0),IF($B60=Dashboard!$H$6,1,0)))</f>
        <v>1</v>
      </c>
      <c r="D60" s="156" t="s">
        <v>506</v>
      </c>
      <c r="E60" s="37" t="s">
        <v>530</v>
      </c>
      <c r="F60" s="37" t="s">
        <v>508</v>
      </c>
      <c r="G60" s="37" t="s">
        <v>509</v>
      </c>
      <c r="H60" s="37" t="s">
        <v>510</v>
      </c>
      <c r="I60" s="98" t="n">
        <v>46360</v>
      </c>
      <c r="J60" s="98" t="n">
        <v>46599</v>
      </c>
      <c r="K60" s="98" t="n">
        <v>46599</v>
      </c>
      <c r="L60" s="99" t="n">
        <f aca="false">'PT_MXU-02'!$F$33</f>
        <v>11239965</v>
      </c>
      <c r="M60" s="100" t="n">
        <f aca="false">IF(SUMIFS($L$9:$L$80,$A$9:$A$80,$A60)=0,0,$L60/SUMIFS($L$9:$L$80,$A$9:$A$80,$A60))</f>
        <v>0.134235628066694</v>
      </c>
      <c r="N60" s="102" t="n">
        <f aca="false">'PT_MXU-02'!$G$33</f>
        <v>0</v>
      </c>
      <c r="O60" s="102" t="n">
        <f aca="false">'PT_MXU-02'!$H$33</f>
        <v>0</v>
      </c>
      <c r="P60" s="49" t="n">
        <f aca="false">$L60*$N60</f>
        <v>0</v>
      </c>
      <c r="Q60" s="49" t="n">
        <f aca="false">$L60*$O60</f>
        <v>0</v>
      </c>
      <c r="R60" s="99" t="n">
        <f aca="false">'PT_MXU-02'!$K$33</f>
        <v>0</v>
      </c>
      <c r="S60" s="99" t="n">
        <f aca="false">'PT_MXU-02'!$L$33</f>
        <v>2023194</v>
      </c>
      <c r="T60" s="49" t="n">
        <f aca="false">$Q60-$P60</f>
        <v>0</v>
      </c>
      <c r="U60" s="49" t="n">
        <f aca="false">$Q60-$R60</f>
        <v>0</v>
      </c>
      <c r="V60" s="157" t="n">
        <f aca="false">IF($P60&lt;=0,1,$Q60/$P60)</f>
        <v>1</v>
      </c>
      <c r="W60" s="157" t="n">
        <f aca="false">IF($R60&lt;=0,1,$Q60/$R60)</f>
        <v>1</v>
      </c>
      <c r="X60" s="49" t="n">
        <f aca="false">IF($W60&lt;=0,$L60,$L60/$W60)</f>
        <v>11239965</v>
      </c>
      <c r="Y60" s="49" t="n">
        <f aca="false">$L60-$X60</f>
        <v>0</v>
      </c>
      <c r="Z60" s="103" t="str">
        <f aca="false">'PT_MXU-02'!$O$33</f>
        <v>Not Started</v>
      </c>
      <c r="AA60" s="52" t="str">
        <f aca="false">IF(AND($V60&gt;=0.95,$W60&gt;=0.95),"Green",IF(OR($V60&lt;0.85,$W60&lt;0.85),"Red","Amber"))</f>
        <v>Green</v>
      </c>
      <c r="AB60" s="49" t="n">
        <f aca="false">MAX(0,$K60-$J60)</f>
        <v>0</v>
      </c>
    </row>
    <row r="61" customFormat="false" ht="13.5" hidden="false" customHeight="true" outlineLevel="0" collapsed="false">
      <c r="A61" s="149" t="s">
        <v>301</v>
      </c>
      <c r="B61" s="150" t="str">
        <f aca="false">IFERROR(INDEX(Projects!$C$9:$C$16,MATCH($A61,Projects!$A$9:$A$16,0)),"")</f>
        <v>Mixed Use</v>
      </c>
      <c r="C61" s="94" t="n">
        <f aca="false">IF(Dashboard!$C$6="Corporate",1,IF(Dashboard!$C$6="Project",IF($A61=Dashboard!$M$6,1,0),IF($B61=Dashboard!$H$6,1,0)))</f>
        <v>1</v>
      </c>
      <c r="D61" s="151" t="s">
        <v>511</v>
      </c>
      <c r="E61" s="30" t="s">
        <v>512</v>
      </c>
      <c r="F61" s="30" t="s">
        <v>513</v>
      </c>
      <c r="G61" s="30" t="s">
        <v>514</v>
      </c>
      <c r="H61" s="30" t="s">
        <v>515</v>
      </c>
      <c r="I61" s="85" t="n">
        <v>46541</v>
      </c>
      <c r="J61" s="85" t="n">
        <v>46630</v>
      </c>
      <c r="K61" s="85" t="n">
        <v>46630</v>
      </c>
      <c r="L61" s="86" t="n">
        <f aca="false">'PT_MXU-02'!$F$34</f>
        <v>6244425</v>
      </c>
      <c r="M61" s="87" t="n">
        <f aca="false">IF(SUMIFS($L$9:$L$80,$A$9:$A$80,$A61)=0,0,$L61/SUMIFS($L$9:$L$80,$A$9:$A$80,$A61))</f>
        <v>0.0745753489259409</v>
      </c>
      <c r="N61" s="91" t="n">
        <f aca="false">'PT_MXU-02'!$G$34</f>
        <v>0</v>
      </c>
      <c r="O61" s="91" t="n">
        <f aca="false">'PT_MXU-02'!$H$34</f>
        <v>0</v>
      </c>
      <c r="P61" s="31" t="n">
        <f aca="false">$L61*$N61</f>
        <v>0</v>
      </c>
      <c r="Q61" s="31" t="n">
        <f aca="false">$L61*$O61</f>
        <v>0</v>
      </c>
      <c r="R61" s="86" t="n">
        <f aca="false">'PT_MXU-02'!$K$34</f>
        <v>0</v>
      </c>
      <c r="S61" s="86" t="n">
        <f aca="false">'PT_MXU-02'!$L$34</f>
        <v>312221</v>
      </c>
      <c r="T61" s="31" t="n">
        <f aca="false">$Q61-$P61</f>
        <v>0</v>
      </c>
      <c r="U61" s="31" t="n">
        <f aca="false">$Q61-$R61</f>
        <v>0</v>
      </c>
      <c r="V61" s="152" t="n">
        <f aca="false">IF($P61&lt;=0,1,$Q61/$P61)</f>
        <v>1</v>
      </c>
      <c r="W61" s="152" t="n">
        <f aca="false">IF($R61&lt;=0,1,$Q61/$R61)</f>
        <v>1</v>
      </c>
      <c r="X61" s="31" t="n">
        <f aca="false">IF($W61&lt;=0,$L61,$L61/$W61)</f>
        <v>6244425</v>
      </c>
      <c r="Y61" s="31" t="n">
        <f aca="false">$L61-$X61</f>
        <v>0</v>
      </c>
      <c r="Z61" s="153" t="str">
        <f aca="false">'PT_MXU-02'!$O$34</f>
        <v>Not Started</v>
      </c>
      <c r="AA61" s="46" t="str">
        <f aca="false">IF(AND($V61&gt;=0.95,$W61&gt;=0.95),"Green",IF(OR($V61&lt;0.85,$W61&lt;0.85),"Red","Amber"))</f>
        <v>Green</v>
      </c>
      <c r="AB61" s="31" t="n">
        <f aca="false">MAX(0,$K61-$J61)</f>
        <v>0</v>
      </c>
    </row>
    <row r="62" customFormat="false" ht="13.5" hidden="false" customHeight="true" outlineLevel="0" collapsed="false">
      <c r="A62" s="47" t="s">
        <v>301</v>
      </c>
      <c r="B62" s="154" t="str">
        <f aca="false">IFERROR(INDEX(Projects!$C$9:$C$16,MATCH($A62,Projects!$A$9:$A$16,0)),"")</f>
        <v>Mixed Use</v>
      </c>
      <c r="C62" s="155" t="n">
        <f aca="false">IF(Dashboard!$C$6="Corporate",1,IF(Dashboard!$C$6="Project",IF($A62=Dashboard!$M$6,1,0),IF($B62=Dashboard!$H$6,1,0)))</f>
        <v>1</v>
      </c>
      <c r="D62" s="156" t="s">
        <v>516</v>
      </c>
      <c r="E62" s="37" t="s">
        <v>517</v>
      </c>
      <c r="F62" s="37" t="s">
        <v>518</v>
      </c>
      <c r="G62" s="37" t="s">
        <v>514</v>
      </c>
      <c r="H62" s="37" t="s">
        <v>519</v>
      </c>
      <c r="I62" s="98" t="n">
        <v>46234</v>
      </c>
      <c r="J62" s="98" t="n">
        <v>46599</v>
      </c>
      <c r="K62" s="98" t="n">
        <v>46630</v>
      </c>
      <c r="L62" s="159" t="n">
        <f aca="false">'PT_MXU-02'!$F$35</f>
        <v>474098</v>
      </c>
      <c r="M62" s="100" t="n">
        <f aca="false">IF(SUMIFS($L$9:$L$80,$A$9:$A$80,$A62)=0,0,$L62/SUMIFS($L$9:$L$80,$A$9:$A$80,$A62))</f>
        <v>0.00566201432078866</v>
      </c>
      <c r="N62" s="102" t="n">
        <f aca="false">'PT_MXU-02'!$G$35</f>
        <v>0.1406</v>
      </c>
      <c r="O62" s="102" t="n">
        <f aca="false">'PT_MXU-02'!$H$35</f>
        <v>0.138</v>
      </c>
      <c r="P62" s="49" t="n">
        <f aca="false">$L62*$N62</f>
        <v>66658.1788</v>
      </c>
      <c r="Q62" s="49" t="n">
        <f aca="false">$L62*$O62</f>
        <v>65425.524</v>
      </c>
      <c r="R62" s="99" t="n">
        <f aca="false">'PT_MXU-02'!$K$35</f>
        <v>69741</v>
      </c>
      <c r="S62" s="99" t="n">
        <f aca="false">'PT_MXU-02'!$L$35</f>
        <v>260754</v>
      </c>
      <c r="T62" s="49" t="n">
        <f aca="false">$Q62-$P62</f>
        <v>-1232.65479999999</v>
      </c>
      <c r="U62" s="49" t="n">
        <f aca="false">$Q62-$R62</f>
        <v>-4315.476</v>
      </c>
      <c r="V62" s="157" t="n">
        <f aca="false">IF($P62&lt;=0,1,$Q62/$P62)</f>
        <v>0.981507823613087</v>
      </c>
      <c r="W62" s="157" t="n">
        <f aca="false">IF($R62&lt;=0,1,$Q62/$R62)</f>
        <v>0.938121392007571</v>
      </c>
      <c r="X62" s="49" t="n">
        <f aca="false">IF($W62&lt;=0,$L62,$L62/$W62)</f>
        <v>505369.565217391</v>
      </c>
      <c r="Y62" s="49" t="n">
        <f aca="false">$L62-$X62</f>
        <v>-31271.5652173912</v>
      </c>
      <c r="Z62" s="103" t="str">
        <f aca="false">'PT_MXU-02'!$O$35</f>
        <v>In Progress</v>
      </c>
      <c r="AA62" s="52" t="str">
        <f aca="false">IF(AND($V62&gt;=0.95,$W62&gt;=0.95),"Green",IF(OR($V62&lt;0.85,$W62&lt;0.85),"Red","Amber"))</f>
        <v>Amber</v>
      </c>
      <c r="AB62" s="49" t="n">
        <f aca="false">MAX(0,$K62-$J62)</f>
        <v>31</v>
      </c>
    </row>
    <row r="63" customFormat="false" ht="13.5" hidden="false" customHeight="true" outlineLevel="0" collapsed="false">
      <c r="A63" s="149" t="s">
        <v>303</v>
      </c>
      <c r="B63" s="150" t="str">
        <f aca="false">IFERROR(INDEX(Projects!$C$9:$C$16,MATCH($A63,Projects!$A$9:$A$16,0)),"")</f>
        <v>Land Development</v>
      </c>
      <c r="C63" s="94" t="n">
        <f aca="false">IF(Dashboard!$C$6="Corporate",1,IF(Dashboard!$C$6="Project",IF($A63=Dashboard!$M$6,1,0),IF($B63=Dashboard!$H$6,1,0)))</f>
        <v>1</v>
      </c>
      <c r="D63" s="151" t="s">
        <v>481</v>
      </c>
      <c r="E63" s="30" t="s">
        <v>482</v>
      </c>
      <c r="F63" s="30" t="s">
        <v>483</v>
      </c>
      <c r="G63" s="30" t="s">
        <v>484</v>
      </c>
      <c r="H63" s="30" t="s">
        <v>485</v>
      </c>
      <c r="I63" s="85" t="n">
        <v>46115</v>
      </c>
      <c r="J63" s="85" t="n">
        <v>46173</v>
      </c>
      <c r="K63" s="85" t="n">
        <v>46173</v>
      </c>
      <c r="L63" s="86" t="n">
        <f aca="false">'PT_LND-01'!$F$27</f>
        <v>5550705</v>
      </c>
      <c r="M63" s="87" t="n">
        <f aca="false">IF(SUMIFS($L$9:$L$80,$A$9:$A$80,$A63)=0,0,$L63/SUMIFS($L$9:$L$80,$A$9:$A$80,$A63))</f>
        <v>0.0441682079678653</v>
      </c>
      <c r="N63" s="91" t="n">
        <f aca="false">'PT_LND-01'!$G$27</f>
        <v>1</v>
      </c>
      <c r="O63" s="91" t="n">
        <f aca="false">'PT_LND-01'!$H$27</f>
        <v>1</v>
      </c>
      <c r="P63" s="31" t="n">
        <f aca="false">$L63*$N63</f>
        <v>5550705</v>
      </c>
      <c r="Q63" s="31" t="n">
        <f aca="false">$L63*$O63</f>
        <v>5550705</v>
      </c>
      <c r="R63" s="86" t="n">
        <f aca="false">'PT_LND-01'!$K$27</f>
        <v>5175710</v>
      </c>
      <c r="S63" s="86" t="n">
        <f aca="false">'PT_LND-01'!$L$27</f>
        <v>5550705</v>
      </c>
      <c r="T63" s="31" t="n">
        <f aca="false">$Q63-$P63</f>
        <v>0</v>
      </c>
      <c r="U63" s="31" t="n">
        <f aca="false">$Q63-$R63</f>
        <v>374995</v>
      </c>
      <c r="V63" s="152" t="n">
        <f aca="false">IF($P63&lt;=0,1,$Q63/$P63)</f>
        <v>1</v>
      </c>
      <c r="W63" s="152" t="n">
        <f aca="false">IF($R63&lt;=0,1,$Q63/$R63)</f>
        <v>1.07245286153977</v>
      </c>
      <c r="X63" s="31" t="n">
        <f aca="false">IF($W63&lt;=0,$L63,$L63/$W63)</f>
        <v>5175710</v>
      </c>
      <c r="Y63" s="31" t="n">
        <f aca="false">$L63-$X63</f>
        <v>374995</v>
      </c>
      <c r="Z63" s="153" t="str">
        <f aca="false">'PT_LND-01'!$O$27</f>
        <v>Complete</v>
      </c>
      <c r="AA63" s="46" t="str">
        <f aca="false">IF(AND($V63&gt;=0.95,$W63&gt;=0.95),"Green",IF(OR($V63&lt;0.85,$W63&lt;0.85),"Red","Amber"))</f>
        <v>Green</v>
      </c>
      <c r="AB63" s="31" t="n">
        <f aca="false">MAX(0,$K63-$J63)</f>
        <v>0</v>
      </c>
    </row>
    <row r="64" customFormat="false" ht="13.5" hidden="false" customHeight="true" outlineLevel="0" collapsed="false">
      <c r="A64" s="47" t="s">
        <v>303</v>
      </c>
      <c r="B64" s="154" t="str">
        <f aca="false">IFERROR(INDEX(Projects!$C$9:$C$16,MATCH($A64,Projects!$A$9:$A$16,0)),"")</f>
        <v>Land Development</v>
      </c>
      <c r="C64" s="155" t="n">
        <f aca="false">IF(Dashboard!$C$6="Corporate",1,IF(Dashboard!$C$6="Project",IF($A64=Dashboard!$M$6,1,0),IF($B64=Dashboard!$H$6,1,0)))</f>
        <v>1</v>
      </c>
      <c r="D64" s="156" t="s">
        <v>486</v>
      </c>
      <c r="E64" s="37" t="s">
        <v>487</v>
      </c>
      <c r="F64" s="37" t="s">
        <v>483</v>
      </c>
      <c r="G64" s="37" t="s">
        <v>488</v>
      </c>
      <c r="H64" s="37" t="s">
        <v>489</v>
      </c>
      <c r="I64" s="98" t="n">
        <v>46115</v>
      </c>
      <c r="J64" s="98" t="n">
        <v>46660</v>
      </c>
      <c r="K64" s="98" t="n">
        <v>46660</v>
      </c>
      <c r="L64" s="99" t="n">
        <f aca="false">'PT_LND-01'!$F$28</f>
        <v>9251175</v>
      </c>
      <c r="M64" s="100" t="n">
        <f aca="false">IF(SUMIFS($L$9:$L$80,$A$9:$A$80,$A64)=0,0,$L64/SUMIFS($L$9:$L$80,$A$9:$A$80,$A64))</f>
        <v>0.0736136799464422</v>
      </c>
      <c r="N64" s="102" t="n">
        <f aca="false">'PT_LND-01'!$G$28</f>
        <v>0.2778</v>
      </c>
      <c r="O64" s="102" t="n">
        <f aca="false">'PT_LND-01'!$H$28</f>
        <v>0.2971</v>
      </c>
      <c r="P64" s="49" t="n">
        <f aca="false">$L64*$N64</f>
        <v>2569976.415</v>
      </c>
      <c r="Q64" s="49" t="n">
        <f aca="false">$L64*$O64</f>
        <v>2748524.0925</v>
      </c>
      <c r="R64" s="99" t="n">
        <f aca="false">'PT_LND-01'!$K$28</f>
        <v>2666041</v>
      </c>
      <c r="S64" s="99" t="n">
        <f aca="false">'PT_LND-01'!$L$28</f>
        <v>8326058</v>
      </c>
      <c r="T64" s="49" t="n">
        <f aca="false">$Q64-$P64</f>
        <v>178547.6775</v>
      </c>
      <c r="U64" s="49" t="n">
        <f aca="false">$Q64-$R64</f>
        <v>82483.0924999998</v>
      </c>
      <c r="V64" s="157" t="n">
        <f aca="false">IF($P64&lt;=0,1,$Q64/$P64)</f>
        <v>1.06947444204464</v>
      </c>
      <c r="W64" s="157" t="n">
        <f aca="false">IF($R64&lt;=0,1,$Q64/$R64)</f>
        <v>1.03093841861397</v>
      </c>
      <c r="X64" s="49" t="n">
        <f aca="false">IF($W64&lt;=0,$L64,$L64/$W64)</f>
        <v>8973547.6270616</v>
      </c>
      <c r="Y64" s="49" t="n">
        <f aca="false">$L64-$X64</f>
        <v>277627.372938404</v>
      </c>
      <c r="Z64" s="103" t="str">
        <f aca="false">'PT_LND-01'!$O$28</f>
        <v>In Progress</v>
      </c>
      <c r="AA64" s="52" t="str">
        <f aca="false">IF(AND($V64&gt;=0.95,$W64&gt;=0.95),"Green",IF(OR($V64&lt;0.85,$W64&lt;0.85),"Red","Amber"))</f>
        <v>Green</v>
      </c>
      <c r="AB64" s="49" t="n">
        <f aca="false">MAX(0,$K64-$J64)</f>
        <v>0</v>
      </c>
    </row>
    <row r="65" customFormat="false" ht="13.5" hidden="false" customHeight="true" outlineLevel="0" collapsed="false">
      <c r="A65" s="149" t="s">
        <v>303</v>
      </c>
      <c r="B65" s="150" t="str">
        <f aca="false">IFERROR(INDEX(Projects!$C$9:$C$16,MATCH($A65,Projects!$A$9:$A$16,0)),"")</f>
        <v>Land Development</v>
      </c>
      <c r="C65" s="94" t="n">
        <f aca="false">IF(Dashboard!$C$6="Corporate",1,IF(Dashboard!$C$6="Project",IF($A65=Dashboard!$M$6,1,0),IF($B65=Dashboard!$H$6,1,0)))</f>
        <v>1</v>
      </c>
      <c r="D65" s="151" t="s">
        <v>490</v>
      </c>
      <c r="E65" s="30" t="s">
        <v>491</v>
      </c>
      <c r="F65" s="30" t="s">
        <v>492</v>
      </c>
      <c r="G65" s="30" t="s">
        <v>493</v>
      </c>
      <c r="H65" s="30" t="s">
        <v>494</v>
      </c>
      <c r="I65" s="85" t="n">
        <v>46115</v>
      </c>
      <c r="J65" s="85" t="n">
        <v>46356</v>
      </c>
      <c r="K65" s="85" t="n">
        <v>46356</v>
      </c>
      <c r="L65" s="86" t="n">
        <f aca="false">'PT_LND-01'!$F$29</f>
        <v>6784195</v>
      </c>
      <c r="M65" s="87" t="n">
        <f aca="false">IF(SUMIFS($L$9:$L$80,$A$9:$A$80,$A65)=0,0,$L65/SUMIFS($L$9:$L$80,$A$9:$A$80,$A65))</f>
        <v>0.0539833652940576</v>
      </c>
      <c r="N65" s="91" t="n">
        <f aca="false">'PT_LND-01'!$G$29</f>
        <v>0.6727</v>
      </c>
      <c r="O65" s="91" t="n">
        <f aca="false">'PT_LND-01'!$H$29</f>
        <v>0.6331</v>
      </c>
      <c r="P65" s="31" t="n">
        <f aca="false">$L65*$N65</f>
        <v>4563727.9765</v>
      </c>
      <c r="Q65" s="31" t="n">
        <f aca="false">$L65*$O65</f>
        <v>4295073.8545</v>
      </c>
      <c r="R65" s="86" t="n">
        <f aca="false">'PT_LND-01'!$K$29</f>
        <v>4388153</v>
      </c>
      <c r="S65" s="86" t="n">
        <f aca="false">'PT_LND-01'!$L$29</f>
        <v>5766566</v>
      </c>
      <c r="T65" s="31" t="n">
        <f aca="false">$Q65-$P65</f>
        <v>-268654.122</v>
      </c>
      <c r="U65" s="31" t="n">
        <f aca="false">$Q65-$R65</f>
        <v>-93079.1454999996</v>
      </c>
      <c r="V65" s="152" t="n">
        <f aca="false">IF($P65&lt;=0,1,$Q65/$P65)</f>
        <v>0.941132748624944</v>
      </c>
      <c r="W65" s="152" t="n">
        <f aca="false">IF($R65&lt;=0,1,$Q65/$R65)</f>
        <v>0.978788536885564</v>
      </c>
      <c r="X65" s="31" t="n">
        <f aca="false">IF($W65&lt;=0,$L65,$L65/$W65)</f>
        <v>6931216.23756121</v>
      </c>
      <c r="Y65" s="31" t="n">
        <f aca="false">$L65-$X65</f>
        <v>-147021.237561206</v>
      </c>
      <c r="Z65" s="153" t="str">
        <f aca="false">'PT_LND-01'!$O$29</f>
        <v>In Progress</v>
      </c>
      <c r="AA65" s="46" t="str">
        <f aca="false">IF(AND($V65&gt;=0.95,$W65&gt;=0.95),"Green",IF(OR($V65&lt;0.85,$W65&lt;0.85),"Red","Amber"))</f>
        <v>Amber</v>
      </c>
      <c r="AB65" s="31" t="n">
        <f aca="false">MAX(0,$K65-$J65)</f>
        <v>0</v>
      </c>
    </row>
    <row r="66" customFormat="false" ht="13.5" hidden="false" customHeight="true" outlineLevel="0" collapsed="false">
      <c r="A66" s="47" t="s">
        <v>303</v>
      </c>
      <c r="B66" s="154" t="str">
        <f aca="false">IFERROR(INDEX(Projects!$C$9:$C$16,MATCH($A66,Projects!$A$9:$A$16,0)),"")</f>
        <v>Land Development</v>
      </c>
      <c r="C66" s="155" t="n">
        <f aca="false">IF(Dashboard!$C$6="Corporate",1,IF(Dashboard!$C$6="Project",IF($A66=Dashboard!$M$6,1,0),IF($B66=Dashboard!$H$6,1,0)))</f>
        <v>1</v>
      </c>
      <c r="D66" s="156" t="s">
        <v>495</v>
      </c>
      <c r="E66" s="37" t="s">
        <v>532</v>
      </c>
      <c r="F66" s="37" t="s">
        <v>497</v>
      </c>
      <c r="G66" s="37" t="s">
        <v>484</v>
      </c>
      <c r="H66" s="37" t="s">
        <v>485</v>
      </c>
      <c r="I66" s="98" t="n">
        <v>46146</v>
      </c>
      <c r="J66" s="98" t="n">
        <v>46418</v>
      </c>
      <c r="K66" s="98" t="n">
        <v>46418</v>
      </c>
      <c r="L66" s="99" t="n">
        <f aca="false">'PT_LND-01'!$F$30</f>
        <v>22819565</v>
      </c>
      <c r="M66" s="100" t="n">
        <f aca="false">IF(SUMIFS($L$9:$L$80,$A$9:$A$80,$A66)=0,0,$L66/SUMIFS($L$9:$L$80,$A$9:$A$80,$A66))</f>
        <v>0.181580410534557</v>
      </c>
      <c r="N66" s="102" t="n">
        <f aca="false">'PT_LND-01'!$G$30</f>
        <v>0.2894</v>
      </c>
      <c r="O66" s="102" t="n">
        <f aca="false">'PT_LND-01'!$H$30</f>
        <v>0.294</v>
      </c>
      <c r="P66" s="49" t="n">
        <f aca="false">$L66*$N66</f>
        <v>6603982.111</v>
      </c>
      <c r="Q66" s="49" t="n">
        <f aca="false">$L66*$O66</f>
        <v>6708952.11</v>
      </c>
      <c r="R66" s="99" t="n">
        <f aca="false">'PT_LND-01'!$K$30</f>
        <v>6316522</v>
      </c>
      <c r="S66" s="99" t="n">
        <f aca="false">'PT_LND-01'!$L$30</f>
        <v>14148130</v>
      </c>
      <c r="T66" s="49" t="n">
        <f aca="false">$Q66-$P66</f>
        <v>104969.999</v>
      </c>
      <c r="U66" s="49" t="n">
        <f aca="false">$Q66-$R66</f>
        <v>392430.109999999</v>
      </c>
      <c r="V66" s="157" t="n">
        <f aca="false">IF($P66&lt;=0,1,$Q66/$P66)</f>
        <v>1.01589495507947</v>
      </c>
      <c r="W66" s="157" t="n">
        <f aca="false">IF($R66&lt;=0,1,$Q66/$R66)</f>
        <v>1.06212756165497</v>
      </c>
      <c r="X66" s="49" t="n">
        <f aca="false">IF($W66&lt;=0,$L66,$L66/$W66)</f>
        <v>21484768.707483</v>
      </c>
      <c r="Y66" s="49" t="n">
        <f aca="false">$L66-$X66</f>
        <v>1334796.292517</v>
      </c>
      <c r="Z66" s="103" t="str">
        <f aca="false">'PT_LND-01'!$O$30</f>
        <v>In Progress</v>
      </c>
      <c r="AA66" s="52" t="str">
        <f aca="false">IF(AND($V66&gt;=0.95,$W66&gt;=0.95),"Green",IF(OR($V66&lt;0.85,$W66&lt;0.85),"Red","Amber"))</f>
        <v>Green</v>
      </c>
      <c r="AB66" s="49" t="n">
        <f aca="false">MAX(0,$K66-$J66)</f>
        <v>0</v>
      </c>
    </row>
    <row r="67" customFormat="false" ht="13.5" hidden="false" customHeight="true" outlineLevel="0" collapsed="false">
      <c r="A67" s="149" t="s">
        <v>303</v>
      </c>
      <c r="B67" s="150" t="str">
        <f aca="false">IFERROR(INDEX(Projects!$C$9:$C$16,MATCH($A67,Projects!$A$9:$A$16,0)),"")</f>
        <v>Land Development</v>
      </c>
      <c r="C67" s="94" t="n">
        <f aca="false">IF(Dashboard!$C$6="Corporate",1,IF(Dashboard!$C$6="Project",IF($A67=Dashboard!$M$6,1,0),IF($B67=Dashboard!$H$6,1,0)))</f>
        <v>1</v>
      </c>
      <c r="D67" s="151" t="s">
        <v>498</v>
      </c>
      <c r="E67" s="30" t="s">
        <v>533</v>
      </c>
      <c r="F67" s="30" t="s">
        <v>500</v>
      </c>
      <c r="G67" s="30" t="s">
        <v>484</v>
      </c>
      <c r="H67" s="30" t="s">
        <v>485</v>
      </c>
      <c r="I67" s="85" t="n">
        <v>46207</v>
      </c>
      <c r="J67" s="85" t="n">
        <v>46538</v>
      </c>
      <c r="K67" s="85" t="n">
        <v>46538</v>
      </c>
      <c r="L67" s="86" t="n">
        <f aca="false">'PT_LND-01'!$F$31</f>
        <v>30220505</v>
      </c>
      <c r="M67" s="87" t="n">
        <f aca="false">IF(SUMIFS($L$9:$L$80,$A$9:$A$80,$A67)=0,0,$L67/SUMIFS($L$9:$L$80,$A$9:$A$80,$A67))</f>
        <v>0.240471354491711</v>
      </c>
      <c r="N67" s="91" t="n">
        <f aca="false">'PT_LND-01'!$G$31</f>
        <v>0.0461</v>
      </c>
      <c r="O67" s="91" t="n">
        <f aca="false">'PT_LND-01'!$H$31</f>
        <v>0.0512</v>
      </c>
      <c r="P67" s="31" t="n">
        <f aca="false">$L67*$N67</f>
        <v>1393165.2805</v>
      </c>
      <c r="Q67" s="31" t="n">
        <f aca="false">$L67*$O67</f>
        <v>1547289.856</v>
      </c>
      <c r="R67" s="86" t="n">
        <f aca="false">'PT_LND-01'!$K$31</f>
        <v>1532666</v>
      </c>
      <c r="S67" s="86" t="n">
        <f aca="false">'PT_LND-01'!$L$31</f>
        <v>13599227</v>
      </c>
      <c r="T67" s="31" t="n">
        <f aca="false">$Q67-$P67</f>
        <v>154124.5755</v>
      </c>
      <c r="U67" s="31" t="n">
        <f aca="false">$Q67-$R67</f>
        <v>14623.8560000001</v>
      </c>
      <c r="V67" s="152" t="n">
        <f aca="false">IF($P67&lt;=0,1,$Q67/$P67)</f>
        <v>1.11062906724512</v>
      </c>
      <c r="W67" s="152" t="n">
        <f aca="false">IF($R67&lt;=0,1,$Q67/$R67)</f>
        <v>1.00954144999628</v>
      </c>
      <c r="X67" s="31" t="n">
        <f aca="false">IF($W67&lt;=0,$L67,$L67/$W67)</f>
        <v>29934882.8125</v>
      </c>
      <c r="Y67" s="31" t="n">
        <f aca="false">$L67-$X67</f>
        <v>285622.187500004</v>
      </c>
      <c r="Z67" s="153" t="str">
        <f aca="false">'PT_LND-01'!$O$31</f>
        <v>In Progress</v>
      </c>
      <c r="AA67" s="46" t="str">
        <f aca="false">IF(AND($V67&gt;=0.95,$W67&gt;=0.95),"Green",IF(OR($V67&lt;0.85,$W67&lt;0.85),"Red","Amber"))</f>
        <v>Green</v>
      </c>
      <c r="AB67" s="31" t="n">
        <f aca="false">MAX(0,$K67-$J67)</f>
        <v>0</v>
      </c>
    </row>
    <row r="68" customFormat="false" ht="13.5" hidden="false" customHeight="true" outlineLevel="0" collapsed="false">
      <c r="A68" s="47" t="s">
        <v>303</v>
      </c>
      <c r="B68" s="154" t="str">
        <f aca="false">IFERROR(INDEX(Projects!$C$9:$C$16,MATCH($A68,Projects!$A$9:$A$16,0)),"")</f>
        <v>Land Development</v>
      </c>
      <c r="C68" s="155" t="n">
        <f aca="false">IF(Dashboard!$C$6="Corporate",1,IF(Dashboard!$C$6="Project",IF($A68=Dashboard!$M$6,1,0),IF($B68=Dashboard!$H$6,1,0)))</f>
        <v>1</v>
      </c>
      <c r="D68" s="156" t="s">
        <v>501</v>
      </c>
      <c r="E68" s="37" t="s">
        <v>534</v>
      </c>
      <c r="F68" s="37" t="s">
        <v>503</v>
      </c>
      <c r="G68" s="37" t="s">
        <v>535</v>
      </c>
      <c r="H68" s="37" t="s">
        <v>536</v>
      </c>
      <c r="I68" s="98" t="n">
        <v>46299</v>
      </c>
      <c r="J68" s="98" t="n">
        <v>46599</v>
      </c>
      <c r="K68" s="98" t="n">
        <v>46599</v>
      </c>
      <c r="L68" s="99" t="n">
        <f aca="false">'PT_LND-01'!$F$32</f>
        <v>22819565</v>
      </c>
      <c r="M68" s="100" t="n">
        <f aca="false">IF(SUMIFS($L$9:$L$80,$A$9:$A$80,$A68)=0,0,$L68/SUMIFS($L$9:$L$80,$A$9:$A$80,$A68))</f>
        <v>0.181580410534557</v>
      </c>
      <c r="N68" s="102" t="n">
        <f aca="false">'PT_LND-01'!$G$32</f>
        <v>0</v>
      </c>
      <c r="O68" s="102" t="n">
        <f aca="false">'PT_LND-01'!$H$32</f>
        <v>0</v>
      </c>
      <c r="P68" s="49" t="n">
        <f aca="false">$L68*$N68</f>
        <v>0</v>
      </c>
      <c r="Q68" s="49" t="n">
        <f aca="false">$L68*$O68</f>
        <v>0</v>
      </c>
      <c r="R68" s="99" t="n">
        <f aca="false">'PT_LND-01'!$K$32</f>
        <v>0</v>
      </c>
      <c r="S68" s="99" t="n">
        <f aca="false">'PT_LND-01'!$L$32</f>
        <v>6845870</v>
      </c>
      <c r="T68" s="49" t="n">
        <f aca="false">$Q68-$P68</f>
        <v>0</v>
      </c>
      <c r="U68" s="49" t="n">
        <f aca="false">$Q68-$R68</f>
        <v>0</v>
      </c>
      <c r="V68" s="157" t="n">
        <f aca="false">IF($P68&lt;=0,1,$Q68/$P68)</f>
        <v>1</v>
      </c>
      <c r="W68" s="157" t="n">
        <f aca="false">IF($R68&lt;=0,1,$Q68/$R68)</f>
        <v>1</v>
      </c>
      <c r="X68" s="49" t="n">
        <f aca="false">IF($W68&lt;=0,$L68,$L68/$W68)</f>
        <v>22819565</v>
      </c>
      <c r="Y68" s="49" t="n">
        <f aca="false">$L68-$X68</f>
        <v>0</v>
      </c>
      <c r="Z68" s="103" t="str">
        <f aca="false">'PT_LND-01'!$O$32</f>
        <v>Not Started</v>
      </c>
      <c r="AA68" s="52" t="str">
        <f aca="false">IF(AND($V68&gt;=0.95,$W68&gt;=0.95),"Green",IF(OR($V68&lt;0.85,$W68&lt;0.85),"Red","Amber"))</f>
        <v>Green</v>
      </c>
      <c r="AB68" s="49" t="n">
        <f aca="false">MAX(0,$K68-$J68)</f>
        <v>0</v>
      </c>
    </row>
    <row r="69" customFormat="false" ht="13.5" hidden="false" customHeight="true" outlineLevel="0" collapsed="false">
      <c r="A69" s="149" t="s">
        <v>303</v>
      </c>
      <c r="B69" s="150" t="str">
        <f aca="false">IFERROR(INDEX(Projects!$C$9:$C$16,MATCH($A69,Projects!$A$9:$A$16,0)),"")</f>
        <v>Land Development</v>
      </c>
      <c r="C69" s="94" t="n">
        <f aca="false">IF(Dashboard!$C$6="Corporate",1,IF(Dashboard!$C$6="Project",IF($A69=Dashboard!$M$6,1,0),IF($B69=Dashboard!$H$6,1,0)))</f>
        <v>1</v>
      </c>
      <c r="D69" s="151" t="s">
        <v>506</v>
      </c>
      <c r="E69" s="30" t="s">
        <v>537</v>
      </c>
      <c r="F69" s="30" t="s">
        <v>508</v>
      </c>
      <c r="G69" s="30" t="s">
        <v>504</v>
      </c>
      <c r="H69" s="30" t="s">
        <v>505</v>
      </c>
      <c r="I69" s="85" t="n">
        <v>46360</v>
      </c>
      <c r="J69" s="85" t="n">
        <v>46630</v>
      </c>
      <c r="K69" s="85" t="n">
        <v>46630</v>
      </c>
      <c r="L69" s="86" t="n">
        <f aca="false">'PT_LND-01'!$F$33</f>
        <v>16652115</v>
      </c>
      <c r="M69" s="87" t="n">
        <f aca="false">IF(SUMIFS($L$9:$L$80,$A$9:$A$80,$A69)=0,0,$L69/SUMIFS($L$9:$L$80,$A$9:$A$80,$A69))</f>
        <v>0.132504623903596</v>
      </c>
      <c r="N69" s="91" t="n">
        <f aca="false">'PT_LND-01'!$G$33</f>
        <v>0</v>
      </c>
      <c r="O69" s="91" t="n">
        <f aca="false">'PT_LND-01'!$H$33</f>
        <v>0</v>
      </c>
      <c r="P69" s="31" t="n">
        <f aca="false">$L69*$N69</f>
        <v>0</v>
      </c>
      <c r="Q69" s="31" t="n">
        <f aca="false">$L69*$O69</f>
        <v>0</v>
      </c>
      <c r="R69" s="86" t="n">
        <f aca="false">'PT_LND-01'!$K$33</f>
        <v>0</v>
      </c>
      <c r="S69" s="86" t="n">
        <f aca="false">'PT_LND-01'!$L$33</f>
        <v>2997381</v>
      </c>
      <c r="T69" s="31" t="n">
        <f aca="false">$Q69-$P69</f>
        <v>0</v>
      </c>
      <c r="U69" s="31" t="n">
        <f aca="false">$Q69-$R69</f>
        <v>0</v>
      </c>
      <c r="V69" s="152" t="n">
        <f aca="false">IF($P69&lt;=0,1,$Q69/$P69)</f>
        <v>1</v>
      </c>
      <c r="W69" s="152" t="n">
        <f aca="false">IF($R69&lt;=0,1,$Q69/$R69)</f>
        <v>1</v>
      </c>
      <c r="X69" s="31" t="n">
        <f aca="false">IF($W69&lt;=0,$L69,$L69/$W69)</f>
        <v>16652115</v>
      </c>
      <c r="Y69" s="31" t="n">
        <f aca="false">$L69-$X69</f>
        <v>0</v>
      </c>
      <c r="Z69" s="153" t="str">
        <f aca="false">'PT_LND-01'!$O$33</f>
        <v>Not Started</v>
      </c>
      <c r="AA69" s="46" t="str">
        <f aca="false">IF(AND($V69&gt;=0.95,$W69&gt;=0.95),"Green",IF(OR($V69&lt;0.85,$W69&lt;0.85),"Red","Amber"))</f>
        <v>Green</v>
      </c>
      <c r="AB69" s="31" t="n">
        <f aca="false">MAX(0,$K69-$J69)</f>
        <v>0</v>
      </c>
    </row>
    <row r="70" customFormat="false" ht="13.5" hidden="false" customHeight="true" outlineLevel="0" collapsed="false">
      <c r="A70" s="47" t="s">
        <v>303</v>
      </c>
      <c r="B70" s="154" t="str">
        <f aca="false">IFERROR(INDEX(Projects!$C$9:$C$16,MATCH($A70,Projects!$A$9:$A$16,0)),"")</f>
        <v>Land Development</v>
      </c>
      <c r="C70" s="155" t="n">
        <f aca="false">IF(Dashboard!$C$6="Corporate",1,IF(Dashboard!$C$6="Project",IF($A70=Dashboard!$M$6,1,0),IF($B70=Dashboard!$H$6,1,0)))</f>
        <v>1</v>
      </c>
      <c r="D70" s="156" t="s">
        <v>511</v>
      </c>
      <c r="E70" s="37" t="s">
        <v>512</v>
      </c>
      <c r="F70" s="37" t="s">
        <v>513</v>
      </c>
      <c r="G70" s="37" t="s">
        <v>514</v>
      </c>
      <c r="H70" s="37" t="s">
        <v>515</v>
      </c>
      <c r="I70" s="98" t="n">
        <v>46572</v>
      </c>
      <c r="J70" s="98" t="n">
        <v>46660</v>
      </c>
      <c r="K70" s="98" t="n">
        <v>46660</v>
      </c>
      <c r="L70" s="99" t="n">
        <f aca="false">'PT_LND-01'!$F$34</f>
        <v>9251175</v>
      </c>
      <c r="M70" s="100" t="n">
        <f aca="false">IF(SUMIFS($L$9:$L$80,$A$9:$A$80,$A70)=0,0,$L70/SUMIFS($L$9:$L$80,$A$9:$A$80,$A70))</f>
        <v>0.0736136799464422</v>
      </c>
      <c r="N70" s="102" t="n">
        <f aca="false">'PT_LND-01'!$G$34</f>
        <v>0</v>
      </c>
      <c r="O70" s="102" t="n">
        <f aca="false">'PT_LND-01'!$H$34</f>
        <v>0</v>
      </c>
      <c r="P70" s="49" t="n">
        <f aca="false">$L70*$N70</f>
        <v>0</v>
      </c>
      <c r="Q70" s="49" t="n">
        <f aca="false">$L70*$O70</f>
        <v>0</v>
      </c>
      <c r="R70" s="99" t="n">
        <f aca="false">'PT_LND-01'!$K$34</f>
        <v>0</v>
      </c>
      <c r="S70" s="99" t="n">
        <f aca="false">'PT_LND-01'!$L$34</f>
        <v>462559</v>
      </c>
      <c r="T70" s="49" t="n">
        <f aca="false">$Q70-$P70</f>
        <v>0</v>
      </c>
      <c r="U70" s="49" t="n">
        <f aca="false">$Q70-$R70</f>
        <v>0</v>
      </c>
      <c r="V70" s="157" t="n">
        <f aca="false">IF($P70&lt;=0,1,$Q70/$P70)</f>
        <v>1</v>
      </c>
      <c r="W70" s="157" t="n">
        <f aca="false">IF($R70&lt;=0,1,$Q70/$R70)</f>
        <v>1</v>
      </c>
      <c r="X70" s="49" t="n">
        <f aca="false">IF($W70&lt;=0,$L70,$L70/$W70)</f>
        <v>9251175</v>
      </c>
      <c r="Y70" s="49" t="n">
        <f aca="false">$L70-$X70</f>
        <v>0</v>
      </c>
      <c r="Z70" s="103" t="str">
        <f aca="false">'PT_LND-01'!$O$34</f>
        <v>Not Started</v>
      </c>
      <c r="AA70" s="52" t="str">
        <f aca="false">IF(AND($V70&gt;=0.95,$W70&gt;=0.95),"Green",IF(OR($V70&lt;0.85,$W70&lt;0.85),"Red","Amber"))</f>
        <v>Green</v>
      </c>
      <c r="AB70" s="49" t="n">
        <f aca="false">MAX(0,$K70-$J70)</f>
        <v>0</v>
      </c>
    </row>
    <row r="71" customFormat="false" ht="13.5" hidden="false" customHeight="true" outlineLevel="0" collapsed="false">
      <c r="A71" s="149" t="s">
        <v>303</v>
      </c>
      <c r="B71" s="150" t="str">
        <f aca="false">IFERROR(INDEX(Projects!$C$9:$C$16,MATCH($A71,Projects!$A$9:$A$16,0)),"")</f>
        <v>Land Development</v>
      </c>
      <c r="C71" s="94" t="n">
        <f aca="false">IF(Dashboard!$C$6="Corporate",1,IF(Dashboard!$C$6="Project",IF($A71=Dashboard!$M$6,1,0),IF($B71=Dashboard!$H$6,1,0)))</f>
        <v>1</v>
      </c>
      <c r="D71" s="151" t="s">
        <v>516</v>
      </c>
      <c r="E71" s="30" t="s">
        <v>517</v>
      </c>
      <c r="F71" s="30" t="s">
        <v>518</v>
      </c>
      <c r="G71" s="30" t="s">
        <v>514</v>
      </c>
      <c r="H71" s="30" t="s">
        <v>519</v>
      </c>
      <c r="I71" s="85" t="n">
        <v>46203</v>
      </c>
      <c r="J71" s="85" t="n">
        <v>46630</v>
      </c>
      <c r="K71" s="85" t="n">
        <v>46660</v>
      </c>
      <c r="L71" s="158" t="n">
        <f aca="false">'PT_LND-01'!$F$35</f>
        <v>2322954</v>
      </c>
      <c r="M71" s="87" t="n">
        <f aca="false">IF(SUMIFS($L$9:$L$80,$A$9:$A$80,$A71)=0,0,$L71/SUMIFS($L$9:$L$80,$A$9:$A$80,$A71))</f>
        <v>0.0184842673807714</v>
      </c>
      <c r="N71" s="91" t="n">
        <f aca="false">'PT_LND-01'!$G$35</f>
        <v>0.1676</v>
      </c>
      <c r="O71" s="91" t="n">
        <f aca="false">'PT_LND-01'!$H$35</f>
        <v>0.169</v>
      </c>
      <c r="P71" s="31" t="n">
        <f aca="false">$L71*$N71</f>
        <v>389327.0904</v>
      </c>
      <c r="Q71" s="31" t="n">
        <f aca="false">$L71*$O71</f>
        <v>392579.226</v>
      </c>
      <c r="R71" s="86" t="n">
        <f aca="false">'PT_LND-01'!$K$35</f>
        <v>386002</v>
      </c>
      <c r="S71" s="86" t="n">
        <f aca="false">'PT_LND-01'!$L$35</f>
        <v>1277625</v>
      </c>
      <c r="T71" s="31" t="n">
        <f aca="false">$Q71-$P71</f>
        <v>3252.13560000004</v>
      </c>
      <c r="U71" s="31" t="n">
        <f aca="false">$Q71-$R71</f>
        <v>6577.22600000002</v>
      </c>
      <c r="V71" s="152" t="n">
        <f aca="false">IF($P71&lt;=0,1,$Q71/$P71)</f>
        <v>1.00835322195704</v>
      </c>
      <c r="W71" s="152" t="n">
        <f aca="false">IF($R71&lt;=0,1,$Q71/$R71)</f>
        <v>1.01703935730903</v>
      </c>
      <c r="X71" s="31" t="n">
        <f aca="false">IF($W71&lt;=0,$L71,$L71/$W71)</f>
        <v>2284035.50295858</v>
      </c>
      <c r="Y71" s="31" t="n">
        <f aca="false">$L71-$X71</f>
        <v>38918.4970414201</v>
      </c>
      <c r="Z71" s="153" t="str">
        <f aca="false">'PT_LND-01'!$O$35</f>
        <v>In Progress</v>
      </c>
      <c r="AA71" s="46" t="str">
        <f aca="false">IF(AND($V71&gt;=0.95,$W71&gt;=0.95),"Green",IF(OR($V71&lt;0.85,$W71&lt;0.85),"Red","Amber"))</f>
        <v>Green</v>
      </c>
      <c r="AB71" s="31" t="n">
        <f aca="false">MAX(0,$K71-$J71)</f>
        <v>30</v>
      </c>
    </row>
    <row r="72" customFormat="false" ht="13.5" hidden="false" customHeight="true" outlineLevel="0" collapsed="false">
      <c r="A72" s="47" t="s">
        <v>304</v>
      </c>
      <c r="B72" s="154" t="str">
        <f aca="false">IFERROR(INDEX(Projects!$C$9:$C$16,MATCH($A72,Projects!$A$9:$A$16,0)),"")</f>
        <v>Land Development</v>
      </c>
      <c r="C72" s="155" t="n">
        <f aca="false">IF(Dashboard!$C$6="Corporate",1,IF(Dashboard!$C$6="Project",IF($A72=Dashboard!$M$6,1,0),IF($B72=Dashboard!$H$6,1,0)))</f>
        <v>1</v>
      </c>
      <c r="D72" s="156" t="s">
        <v>481</v>
      </c>
      <c r="E72" s="37" t="s">
        <v>482</v>
      </c>
      <c r="F72" s="37" t="s">
        <v>483</v>
      </c>
      <c r="G72" s="37" t="s">
        <v>484</v>
      </c>
      <c r="H72" s="37" t="s">
        <v>485</v>
      </c>
      <c r="I72" s="98" t="n">
        <v>46146</v>
      </c>
      <c r="J72" s="98" t="n">
        <v>46173</v>
      </c>
      <c r="K72" s="98" t="n">
        <v>46234</v>
      </c>
      <c r="L72" s="99" t="n">
        <f aca="false">'PT_LND-02'!$F$27</f>
        <v>2633614</v>
      </c>
      <c r="M72" s="100" t="n">
        <f aca="false">IF(SUMIFS($L$9:$L$80,$A$9:$A$80,$A72)=0,0,$L72/SUMIFS($L$9:$L$80,$A$9:$A$80,$A72))</f>
        <v>0.0447407696788306</v>
      </c>
      <c r="N72" s="102" t="n">
        <f aca="false">'PT_LND-02'!$G$27</f>
        <v>1</v>
      </c>
      <c r="O72" s="102" t="n">
        <f aca="false">'PT_LND-02'!$H$27</f>
        <v>1</v>
      </c>
      <c r="P72" s="49" t="n">
        <f aca="false">$L72*$N72</f>
        <v>2633614</v>
      </c>
      <c r="Q72" s="49" t="n">
        <f aca="false">$L72*$O72</f>
        <v>2633614</v>
      </c>
      <c r="R72" s="99" t="n">
        <f aca="false">'PT_LND-02'!$K$27</f>
        <v>2637853</v>
      </c>
      <c r="S72" s="99" t="n">
        <f aca="false">'PT_LND-02'!$L$27</f>
        <v>2633614</v>
      </c>
      <c r="T72" s="49" t="n">
        <f aca="false">$Q72-$P72</f>
        <v>0</v>
      </c>
      <c r="U72" s="49" t="n">
        <f aca="false">$Q72-$R72</f>
        <v>-4239</v>
      </c>
      <c r="V72" s="157" t="n">
        <f aca="false">IF($P72&lt;=0,1,$Q72/$P72)</f>
        <v>1</v>
      </c>
      <c r="W72" s="157" t="n">
        <f aca="false">IF($R72&lt;=0,1,$Q72/$R72)</f>
        <v>0.998393011286072</v>
      </c>
      <c r="X72" s="49" t="n">
        <f aca="false">IF($W72&lt;=0,$L72,$L72/$W72)</f>
        <v>2637853</v>
      </c>
      <c r="Y72" s="49" t="n">
        <f aca="false">$L72-$X72</f>
        <v>-4239</v>
      </c>
      <c r="Z72" s="103" t="str">
        <f aca="false">'PT_LND-02'!$O$27</f>
        <v>Complete</v>
      </c>
      <c r="AA72" s="52" t="str">
        <f aca="false">IF(AND($V72&gt;=0.95,$W72&gt;=0.95),"Green",IF(OR($V72&lt;0.85,$W72&lt;0.85),"Red","Amber"))</f>
        <v>Green</v>
      </c>
      <c r="AB72" s="49" t="n">
        <f aca="false">MAX(0,$K72-$J72)</f>
        <v>61</v>
      </c>
    </row>
    <row r="73" customFormat="false" ht="13.5" hidden="false" customHeight="true" outlineLevel="0" collapsed="false">
      <c r="A73" s="149" t="s">
        <v>304</v>
      </c>
      <c r="B73" s="150" t="str">
        <f aca="false">IFERROR(INDEX(Projects!$C$9:$C$16,MATCH($A73,Projects!$A$9:$A$16,0)),"")</f>
        <v>Land Development</v>
      </c>
      <c r="C73" s="94" t="n">
        <f aca="false">IF(Dashboard!$C$6="Corporate",1,IF(Dashboard!$C$6="Project",IF($A73=Dashboard!$M$6,1,0),IF($B73=Dashboard!$H$6,1,0)))</f>
        <v>1</v>
      </c>
      <c r="D73" s="151" t="s">
        <v>486</v>
      </c>
      <c r="E73" s="30" t="s">
        <v>487</v>
      </c>
      <c r="F73" s="30" t="s">
        <v>483</v>
      </c>
      <c r="G73" s="30" t="s">
        <v>488</v>
      </c>
      <c r="H73" s="30" t="s">
        <v>526</v>
      </c>
      <c r="I73" s="85" t="n">
        <v>46146</v>
      </c>
      <c r="J73" s="85" t="n">
        <v>46599</v>
      </c>
      <c r="K73" s="85" t="n">
        <v>46660</v>
      </c>
      <c r="L73" s="86" t="n">
        <f aca="false">'PT_LND-02'!$F$28</f>
        <v>4389356</v>
      </c>
      <c r="M73" s="87" t="n">
        <f aca="false">IF(SUMIFS($L$9:$L$80,$A$9:$A$80,$A73)=0,0,$L73/SUMIFS($L$9:$L$80,$A$9:$A$80,$A73))</f>
        <v>0.0745679381391476</v>
      </c>
      <c r="N73" s="91" t="n">
        <f aca="false">'PT_LND-02'!$G$28</f>
        <v>0.2667</v>
      </c>
      <c r="O73" s="91" t="n">
        <f aca="false">'PT_LND-02'!$H$28</f>
        <v>0.2571</v>
      </c>
      <c r="P73" s="31" t="n">
        <f aca="false">$L73*$N73</f>
        <v>1170641.2452</v>
      </c>
      <c r="Q73" s="31" t="n">
        <f aca="false">$L73*$O73</f>
        <v>1128503.4276</v>
      </c>
      <c r="R73" s="86" t="n">
        <f aca="false">'PT_LND-02'!$K$28</f>
        <v>1175826</v>
      </c>
      <c r="S73" s="86" t="n">
        <f aca="false">'PT_LND-02'!$L$28</f>
        <v>3950420</v>
      </c>
      <c r="T73" s="31" t="n">
        <f aca="false">$Q73-$P73</f>
        <v>-42137.8176</v>
      </c>
      <c r="U73" s="31" t="n">
        <f aca="false">$Q73-$R73</f>
        <v>-47322.5723999999</v>
      </c>
      <c r="V73" s="152" t="n">
        <f aca="false">IF($P73&lt;=0,1,$Q73/$P73)</f>
        <v>0.96400449943757</v>
      </c>
      <c r="W73" s="152" t="n">
        <f aca="false">IF($R73&lt;=0,1,$Q73/$R73)</f>
        <v>0.959753762546499</v>
      </c>
      <c r="X73" s="31" t="n">
        <f aca="false">IF($W73&lt;=0,$L73,$L73/$W73)</f>
        <v>4573418.90315053</v>
      </c>
      <c r="Y73" s="31" t="n">
        <f aca="false">$L73-$X73</f>
        <v>-184062.903150525</v>
      </c>
      <c r="Z73" s="153" t="str">
        <f aca="false">'PT_LND-02'!$O$28</f>
        <v>In Progress</v>
      </c>
      <c r="AA73" s="46" t="str">
        <f aca="false">IF(AND($V73&gt;=0.95,$W73&gt;=0.95),"Green",IF(OR($V73&lt;0.85,$W73&lt;0.85),"Red","Amber"))</f>
        <v>Green</v>
      </c>
      <c r="AB73" s="31" t="n">
        <f aca="false">MAX(0,$K73-$J73)</f>
        <v>61</v>
      </c>
    </row>
    <row r="74" customFormat="false" ht="13.5" hidden="false" customHeight="true" outlineLevel="0" collapsed="false">
      <c r="A74" s="47" t="s">
        <v>304</v>
      </c>
      <c r="B74" s="154" t="str">
        <f aca="false">IFERROR(INDEX(Projects!$C$9:$C$16,MATCH($A74,Projects!$A$9:$A$16,0)),"")</f>
        <v>Land Development</v>
      </c>
      <c r="C74" s="155" t="n">
        <f aca="false">IF(Dashboard!$C$6="Corporate",1,IF(Dashboard!$C$6="Project",IF($A74=Dashboard!$M$6,1,0),IF($B74=Dashboard!$H$6,1,0)))</f>
        <v>1</v>
      </c>
      <c r="D74" s="156" t="s">
        <v>490</v>
      </c>
      <c r="E74" s="37" t="s">
        <v>491</v>
      </c>
      <c r="F74" s="37" t="s">
        <v>492</v>
      </c>
      <c r="G74" s="37" t="s">
        <v>493</v>
      </c>
      <c r="H74" s="37" t="s">
        <v>494</v>
      </c>
      <c r="I74" s="98" t="n">
        <v>46146</v>
      </c>
      <c r="J74" s="98" t="n">
        <v>46326</v>
      </c>
      <c r="K74" s="98" t="n">
        <v>46387</v>
      </c>
      <c r="L74" s="99" t="n">
        <f aca="false">'PT_LND-02'!$F$29</f>
        <v>3218861</v>
      </c>
      <c r="M74" s="100" t="n">
        <f aca="false">IF(SUMIFS($L$9:$L$80,$A$9:$A$80,$A74)=0,0,$L74/SUMIFS($L$9:$L$80,$A$9:$A$80,$A74))</f>
        <v>0.0546831535028179</v>
      </c>
      <c r="N74" s="102" t="n">
        <f aca="false">'PT_LND-02'!$G$29</f>
        <v>0.6373</v>
      </c>
      <c r="O74" s="102" t="n">
        <f aca="false">'PT_LND-02'!$H$29</f>
        <v>0.5406</v>
      </c>
      <c r="P74" s="49" t="n">
        <f aca="false">$L74*$N74</f>
        <v>2051380.1153</v>
      </c>
      <c r="Q74" s="49" t="n">
        <f aca="false">$L74*$O74</f>
        <v>1740116.2566</v>
      </c>
      <c r="R74" s="99" t="n">
        <f aca="false">'PT_LND-02'!$K$29</f>
        <v>1909900</v>
      </c>
      <c r="S74" s="99" t="n">
        <f aca="false">'PT_LND-02'!$L$29</f>
        <v>2736032</v>
      </c>
      <c r="T74" s="49" t="n">
        <f aca="false">$Q74-$P74</f>
        <v>-311263.8587</v>
      </c>
      <c r="U74" s="49" t="n">
        <f aca="false">$Q74-$R74</f>
        <v>-169783.7434</v>
      </c>
      <c r="V74" s="157" t="n">
        <f aca="false">IF($P74&lt;=0,1,$Q74/$P74)</f>
        <v>0.848266122705162</v>
      </c>
      <c r="W74" s="157" t="n">
        <f aca="false">IF($R74&lt;=0,1,$Q74/$R74)</f>
        <v>0.911103333472957</v>
      </c>
      <c r="X74" s="49" t="n">
        <f aca="false">IF($W74&lt;=0,$L74,$L74/$W74)</f>
        <v>3532926.37809841</v>
      </c>
      <c r="Y74" s="49" t="n">
        <f aca="false">$L74-$X74</f>
        <v>-314065.378098409</v>
      </c>
      <c r="Z74" s="103" t="str">
        <f aca="false">'PT_LND-02'!$O$29</f>
        <v>At Risk</v>
      </c>
      <c r="AA74" s="52" t="str">
        <f aca="false">IF(AND($V74&gt;=0.95,$W74&gt;=0.95),"Green",IF(OR($V74&lt;0.85,$W74&lt;0.85),"Red","Amber"))</f>
        <v>Red</v>
      </c>
      <c r="AB74" s="49" t="n">
        <f aca="false">MAX(0,$K74-$J74)</f>
        <v>61</v>
      </c>
    </row>
    <row r="75" customFormat="false" ht="13.5" hidden="false" customHeight="true" outlineLevel="0" collapsed="false">
      <c r="A75" s="149" t="s">
        <v>304</v>
      </c>
      <c r="B75" s="150" t="str">
        <f aca="false">IFERROR(INDEX(Projects!$C$9:$C$16,MATCH($A75,Projects!$A$9:$A$16,0)),"")</f>
        <v>Land Development</v>
      </c>
      <c r="C75" s="94" t="n">
        <f aca="false">IF(Dashboard!$C$6="Corporate",1,IF(Dashboard!$C$6="Project",IF($A75=Dashboard!$M$6,1,0),IF($B75=Dashboard!$H$6,1,0)))</f>
        <v>1</v>
      </c>
      <c r="D75" s="151" t="s">
        <v>495</v>
      </c>
      <c r="E75" s="30" t="s">
        <v>532</v>
      </c>
      <c r="F75" s="30" t="s">
        <v>497</v>
      </c>
      <c r="G75" s="30" t="s">
        <v>484</v>
      </c>
      <c r="H75" s="30" t="s">
        <v>485</v>
      </c>
      <c r="I75" s="85" t="n">
        <v>46176</v>
      </c>
      <c r="J75" s="85" t="n">
        <v>46418</v>
      </c>
      <c r="K75" s="85" t="n">
        <v>46477</v>
      </c>
      <c r="L75" s="86" t="n">
        <f aca="false">'PT_LND-02'!$F$30</f>
        <v>10827079</v>
      </c>
      <c r="M75" s="87" t="n">
        <f aca="false">IF(SUMIFS($L$9:$L$80,$A$9:$A$80,$A75)=0,0,$L75/SUMIFS($L$9:$L$80,$A$9:$A$80,$A75))</f>
        <v>0.183934262133138</v>
      </c>
      <c r="N75" s="91" t="n">
        <f aca="false">'PT_LND-02'!$G$30</f>
        <v>0.2593</v>
      </c>
      <c r="O75" s="91" t="n">
        <f aca="false">'PT_LND-02'!$H$30</f>
        <v>0.2374</v>
      </c>
      <c r="P75" s="31" t="n">
        <f aca="false">$L75*$N75</f>
        <v>2807461.5847</v>
      </c>
      <c r="Q75" s="31" t="n">
        <f aca="false">$L75*$O75</f>
        <v>2570348.5546</v>
      </c>
      <c r="R75" s="86" t="n">
        <f aca="false">'PT_LND-02'!$K$30</f>
        <v>2600026</v>
      </c>
      <c r="S75" s="86" t="n">
        <f aca="false">'PT_LND-02'!$L$30</f>
        <v>6712789</v>
      </c>
      <c r="T75" s="31" t="n">
        <f aca="false">$Q75-$P75</f>
        <v>-237113.0301</v>
      </c>
      <c r="U75" s="31" t="n">
        <f aca="false">$Q75-$R75</f>
        <v>-29677.4454000001</v>
      </c>
      <c r="V75" s="152" t="n">
        <f aca="false">IF($P75&lt;=0,1,$Q75/$P75)</f>
        <v>0.915541843424605</v>
      </c>
      <c r="W75" s="152" t="n">
        <f aca="false">IF($R75&lt;=0,1,$Q75/$R75)</f>
        <v>0.988585712065956</v>
      </c>
      <c r="X75" s="31" t="n">
        <f aca="false">IF($W75&lt;=0,$L75,$L75/$W75)</f>
        <v>10952089.3007582</v>
      </c>
      <c r="Y75" s="31" t="n">
        <f aca="false">$L75-$X75</f>
        <v>-125010.300758215</v>
      </c>
      <c r="Z75" s="153" t="str">
        <f aca="false">'PT_LND-02'!$O$30</f>
        <v>In Progress</v>
      </c>
      <c r="AA75" s="46" t="str">
        <f aca="false">IF(AND($V75&gt;=0.95,$W75&gt;=0.95),"Green",IF(OR($V75&lt;0.85,$W75&lt;0.85),"Red","Amber"))</f>
        <v>Amber</v>
      </c>
      <c r="AB75" s="31" t="n">
        <f aca="false">MAX(0,$K75-$J75)</f>
        <v>59</v>
      </c>
    </row>
    <row r="76" customFormat="false" ht="13.5" hidden="false" customHeight="true" outlineLevel="0" collapsed="false">
      <c r="A76" s="47" t="s">
        <v>304</v>
      </c>
      <c r="B76" s="154" t="str">
        <f aca="false">IFERROR(INDEX(Projects!$C$9:$C$16,MATCH($A76,Projects!$A$9:$A$16,0)),"")</f>
        <v>Land Development</v>
      </c>
      <c r="C76" s="155" t="n">
        <f aca="false">IF(Dashboard!$C$6="Corporate",1,IF(Dashboard!$C$6="Project",IF($A76=Dashboard!$M$6,1,0),IF($B76=Dashboard!$H$6,1,0)))</f>
        <v>1</v>
      </c>
      <c r="D76" s="156" t="s">
        <v>498</v>
      </c>
      <c r="E76" s="37" t="s">
        <v>533</v>
      </c>
      <c r="F76" s="37" t="s">
        <v>500</v>
      </c>
      <c r="G76" s="37" t="s">
        <v>484</v>
      </c>
      <c r="H76" s="37" t="s">
        <v>485</v>
      </c>
      <c r="I76" s="98" t="n">
        <v>46238</v>
      </c>
      <c r="J76" s="98" t="n">
        <v>46507</v>
      </c>
      <c r="K76" s="98" t="n">
        <v>46568</v>
      </c>
      <c r="L76" s="99" t="n">
        <f aca="false">'PT_LND-02'!$F$31</f>
        <v>14338564</v>
      </c>
      <c r="M76" s="100" t="n">
        <f aca="false">IF(SUMIFS($L$9:$L$80,$A$9:$A$80,$A76)=0,0,$L76/SUMIFS($L$9:$L$80,$A$9:$A$80,$A76))</f>
        <v>0.243588616042127</v>
      </c>
      <c r="N76" s="102" t="n">
        <f aca="false">'PT_LND-02'!$G$31</f>
        <v>0.0343</v>
      </c>
      <c r="O76" s="102" t="n">
        <f aca="false">'PT_LND-02'!$H$31</f>
        <v>0.0344</v>
      </c>
      <c r="P76" s="49" t="n">
        <f aca="false">$L76*$N76</f>
        <v>491812.7452</v>
      </c>
      <c r="Q76" s="49" t="n">
        <f aca="false">$L76*$O76</f>
        <v>493246.6016</v>
      </c>
      <c r="R76" s="99" t="n">
        <f aca="false">'PT_LND-02'!$K$31</f>
        <v>524310</v>
      </c>
      <c r="S76" s="99" t="n">
        <f aca="false">'PT_LND-02'!$L$31</f>
        <v>6452354</v>
      </c>
      <c r="T76" s="49" t="n">
        <f aca="false">$Q76-$P76</f>
        <v>1433.85640000005</v>
      </c>
      <c r="U76" s="49" t="n">
        <f aca="false">$Q76-$R76</f>
        <v>-31063.3984</v>
      </c>
      <c r="V76" s="157" t="n">
        <f aca="false">IF($P76&lt;=0,1,$Q76/$P76)</f>
        <v>1.00291545189504</v>
      </c>
      <c r="W76" s="157" t="n">
        <f aca="false">IF($R76&lt;=0,1,$Q76/$R76)</f>
        <v>0.940753755602602</v>
      </c>
      <c r="X76" s="49" t="n">
        <f aca="false">IF($W76&lt;=0,$L76,$L76/$W76)</f>
        <v>15241569.7674419</v>
      </c>
      <c r="Y76" s="49" t="n">
        <f aca="false">$L76-$X76</f>
        <v>-903005.76744186</v>
      </c>
      <c r="Z76" s="103" t="str">
        <f aca="false">'PT_LND-02'!$O$31</f>
        <v>In Progress</v>
      </c>
      <c r="AA76" s="52" t="str">
        <f aca="false">IF(AND($V76&gt;=0.95,$W76&gt;=0.95),"Green",IF(OR($V76&lt;0.85,$W76&lt;0.85),"Red","Amber"))</f>
        <v>Amber</v>
      </c>
      <c r="AB76" s="49" t="n">
        <f aca="false">MAX(0,$K76-$J76)</f>
        <v>61</v>
      </c>
    </row>
    <row r="77" customFormat="false" ht="13.5" hidden="false" customHeight="true" outlineLevel="0" collapsed="false">
      <c r="A77" s="149" t="s">
        <v>304</v>
      </c>
      <c r="B77" s="150" t="str">
        <f aca="false">IFERROR(INDEX(Projects!$C$9:$C$16,MATCH($A77,Projects!$A$9:$A$16,0)),"")</f>
        <v>Land Development</v>
      </c>
      <c r="C77" s="94" t="n">
        <f aca="false">IF(Dashboard!$C$6="Corporate",1,IF(Dashboard!$C$6="Project",IF($A77=Dashboard!$M$6,1,0),IF($B77=Dashboard!$H$6,1,0)))</f>
        <v>1</v>
      </c>
      <c r="D77" s="151" t="s">
        <v>501</v>
      </c>
      <c r="E77" s="30" t="s">
        <v>534</v>
      </c>
      <c r="F77" s="30" t="s">
        <v>503</v>
      </c>
      <c r="G77" s="30" t="s">
        <v>535</v>
      </c>
      <c r="H77" s="30" t="s">
        <v>536</v>
      </c>
      <c r="I77" s="85" t="n">
        <v>46299</v>
      </c>
      <c r="J77" s="85" t="n">
        <v>46538</v>
      </c>
      <c r="K77" s="85" t="n">
        <v>46599</v>
      </c>
      <c r="L77" s="86" t="n">
        <f aca="false">'PT_LND-02'!$F$32</f>
        <v>10827079</v>
      </c>
      <c r="M77" s="87" t="n">
        <f aca="false">IF(SUMIFS($L$9:$L$80,$A$9:$A$80,$A77)=0,0,$L77/SUMIFS($L$9:$L$80,$A$9:$A$80,$A77))</f>
        <v>0.183934262133138</v>
      </c>
      <c r="N77" s="91" t="n">
        <f aca="false">'PT_LND-02'!$G$32</f>
        <v>0</v>
      </c>
      <c r="O77" s="91" t="n">
        <f aca="false">'PT_LND-02'!$H$32</f>
        <v>0</v>
      </c>
      <c r="P77" s="31" t="n">
        <f aca="false">$L77*$N77</f>
        <v>0</v>
      </c>
      <c r="Q77" s="31" t="n">
        <f aca="false">$L77*$O77</f>
        <v>0</v>
      </c>
      <c r="R77" s="86" t="n">
        <f aca="false">'PT_LND-02'!$K$32</f>
        <v>0</v>
      </c>
      <c r="S77" s="86" t="n">
        <f aca="false">'PT_LND-02'!$L$32</f>
        <v>3248124</v>
      </c>
      <c r="T77" s="31" t="n">
        <f aca="false">$Q77-$P77</f>
        <v>0</v>
      </c>
      <c r="U77" s="31" t="n">
        <f aca="false">$Q77-$R77</f>
        <v>0</v>
      </c>
      <c r="V77" s="152" t="n">
        <f aca="false">IF($P77&lt;=0,1,$Q77/$P77)</f>
        <v>1</v>
      </c>
      <c r="W77" s="152" t="n">
        <f aca="false">IF($R77&lt;=0,1,$Q77/$R77)</f>
        <v>1</v>
      </c>
      <c r="X77" s="31" t="n">
        <f aca="false">IF($W77&lt;=0,$L77,$L77/$W77)</f>
        <v>10827079</v>
      </c>
      <c r="Y77" s="31" t="n">
        <f aca="false">$L77-$X77</f>
        <v>0</v>
      </c>
      <c r="Z77" s="153" t="str">
        <f aca="false">'PT_LND-02'!$O$32</f>
        <v>Not Started</v>
      </c>
      <c r="AA77" s="46" t="str">
        <f aca="false">IF(AND($V77&gt;=0.95,$W77&gt;=0.95),"Green",IF(OR($V77&lt;0.85,$W77&lt;0.85),"Red","Amber"))</f>
        <v>Green</v>
      </c>
      <c r="AB77" s="31" t="n">
        <f aca="false">MAX(0,$K77-$J77)</f>
        <v>61</v>
      </c>
    </row>
    <row r="78" customFormat="false" ht="13.5" hidden="false" customHeight="true" outlineLevel="0" collapsed="false">
      <c r="A78" s="47" t="s">
        <v>304</v>
      </c>
      <c r="B78" s="154" t="str">
        <f aca="false">IFERROR(INDEX(Projects!$C$9:$C$16,MATCH($A78,Projects!$A$9:$A$16,0)),"")</f>
        <v>Land Development</v>
      </c>
      <c r="C78" s="155" t="n">
        <f aca="false">IF(Dashboard!$C$6="Corporate",1,IF(Dashboard!$C$6="Project",IF($A78=Dashboard!$M$6,1,0),IF($B78=Dashboard!$H$6,1,0)))</f>
        <v>1</v>
      </c>
      <c r="D78" s="156" t="s">
        <v>506</v>
      </c>
      <c r="E78" s="37" t="s">
        <v>537</v>
      </c>
      <c r="F78" s="37" t="s">
        <v>508</v>
      </c>
      <c r="G78" s="37" t="s">
        <v>504</v>
      </c>
      <c r="H78" s="37" t="s">
        <v>505</v>
      </c>
      <c r="I78" s="98" t="n">
        <v>46329</v>
      </c>
      <c r="J78" s="98" t="n">
        <v>46568</v>
      </c>
      <c r="K78" s="98" t="n">
        <v>46630</v>
      </c>
      <c r="L78" s="99" t="n">
        <f aca="false">'PT_LND-02'!$F$33</f>
        <v>7900841</v>
      </c>
      <c r="M78" s="100" t="n">
        <f aca="false">IF(SUMIFS($L$9:$L$80,$A$9:$A$80,$A78)=0,0,$L78/SUMIFS($L$9:$L$80,$A$9:$A$80,$A78))</f>
        <v>0.134222292048137</v>
      </c>
      <c r="N78" s="102" t="n">
        <f aca="false">'PT_LND-02'!$G$33</f>
        <v>0</v>
      </c>
      <c r="O78" s="102" t="n">
        <f aca="false">'PT_LND-02'!$H$33</f>
        <v>0</v>
      </c>
      <c r="P78" s="49" t="n">
        <f aca="false">$L78*$N78</f>
        <v>0</v>
      </c>
      <c r="Q78" s="49" t="n">
        <f aca="false">$L78*$O78</f>
        <v>0</v>
      </c>
      <c r="R78" s="99" t="n">
        <f aca="false">'PT_LND-02'!$K$33</f>
        <v>0</v>
      </c>
      <c r="S78" s="99" t="n">
        <f aca="false">'PT_LND-02'!$L$33</f>
        <v>1422151</v>
      </c>
      <c r="T78" s="49" t="n">
        <f aca="false">$Q78-$P78</f>
        <v>0</v>
      </c>
      <c r="U78" s="49" t="n">
        <f aca="false">$Q78-$R78</f>
        <v>0</v>
      </c>
      <c r="V78" s="157" t="n">
        <f aca="false">IF($P78&lt;=0,1,$Q78/$P78)</f>
        <v>1</v>
      </c>
      <c r="W78" s="157" t="n">
        <f aca="false">IF($R78&lt;=0,1,$Q78/$R78)</f>
        <v>1</v>
      </c>
      <c r="X78" s="49" t="n">
        <f aca="false">IF($W78&lt;=0,$L78,$L78/$W78)</f>
        <v>7900841</v>
      </c>
      <c r="Y78" s="49" t="n">
        <f aca="false">$L78-$X78</f>
        <v>0</v>
      </c>
      <c r="Z78" s="103" t="str">
        <f aca="false">'PT_LND-02'!$O$33</f>
        <v>Not Started</v>
      </c>
      <c r="AA78" s="52" t="str">
        <f aca="false">IF(AND($V78&gt;=0.95,$W78&gt;=0.95),"Green",IF(OR($V78&lt;0.85,$W78&lt;0.85),"Red","Amber"))</f>
        <v>Green</v>
      </c>
      <c r="AB78" s="49" t="n">
        <f aca="false">MAX(0,$K78-$J78)</f>
        <v>62</v>
      </c>
    </row>
    <row r="79" customFormat="false" ht="13.5" hidden="false" customHeight="true" outlineLevel="0" collapsed="false">
      <c r="A79" s="149" t="s">
        <v>304</v>
      </c>
      <c r="B79" s="150" t="str">
        <f aca="false">IFERROR(INDEX(Projects!$C$9:$C$16,MATCH($A79,Projects!$A$9:$A$16,0)),"")</f>
        <v>Land Development</v>
      </c>
      <c r="C79" s="94" t="n">
        <f aca="false">IF(Dashboard!$C$6="Corporate",1,IF(Dashboard!$C$6="Project",IF($A79=Dashboard!$M$6,1,0),IF($B79=Dashboard!$H$6,1,0)))</f>
        <v>1</v>
      </c>
      <c r="D79" s="151" t="s">
        <v>511</v>
      </c>
      <c r="E79" s="30" t="s">
        <v>512</v>
      </c>
      <c r="F79" s="30" t="s">
        <v>513</v>
      </c>
      <c r="G79" s="30" t="s">
        <v>514</v>
      </c>
      <c r="H79" s="30" t="s">
        <v>515</v>
      </c>
      <c r="I79" s="85" t="n">
        <v>46511</v>
      </c>
      <c r="J79" s="85" t="n">
        <v>46599</v>
      </c>
      <c r="K79" s="85" t="n">
        <v>46660</v>
      </c>
      <c r="L79" s="86" t="n">
        <f aca="false">'PT_LND-02'!$F$34</f>
        <v>4389356</v>
      </c>
      <c r="M79" s="87" t="n">
        <f aca="false">IF(SUMIFS($L$9:$L$80,$A$9:$A$80,$A79)=0,0,$L79/SUMIFS($L$9:$L$80,$A$9:$A$80,$A79))</f>
        <v>0.0745679381391476</v>
      </c>
      <c r="N79" s="91" t="n">
        <f aca="false">'PT_LND-02'!$G$34</f>
        <v>0</v>
      </c>
      <c r="O79" s="91" t="n">
        <f aca="false">'PT_LND-02'!$H$34</f>
        <v>0</v>
      </c>
      <c r="P79" s="31" t="n">
        <f aca="false">$L79*$N79</f>
        <v>0</v>
      </c>
      <c r="Q79" s="31" t="n">
        <f aca="false">$L79*$O79</f>
        <v>0</v>
      </c>
      <c r="R79" s="86" t="n">
        <f aca="false">'PT_LND-02'!$K$34</f>
        <v>0</v>
      </c>
      <c r="S79" s="86" t="n">
        <f aca="false">'PT_LND-02'!$L$34</f>
        <v>219468</v>
      </c>
      <c r="T79" s="31" t="n">
        <f aca="false">$Q79-$P79</f>
        <v>0</v>
      </c>
      <c r="U79" s="31" t="n">
        <f aca="false">$Q79-$R79</f>
        <v>0</v>
      </c>
      <c r="V79" s="152" t="n">
        <f aca="false">IF($P79&lt;=0,1,$Q79/$P79)</f>
        <v>1</v>
      </c>
      <c r="W79" s="152" t="n">
        <f aca="false">IF($R79&lt;=0,1,$Q79/$R79)</f>
        <v>1</v>
      </c>
      <c r="X79" s="31" t="n">
        <f aca="false">IF($W79&lt;=0,$L79,$L79/$W79)</f>
        <v>4389356</v>
      </c>
      <c r="Y79" s="31" t="n">
        <f aca="false">$L79-$X79</f>
        <v>0</v>
      </c>
      <c r="Z79" s="153" t="str">
        <f aca="false">'PT_LND-02'!$O$34</f>
        <v>Not Started</v>
      </c>
      <c r="AA79" s="46" t="str">
        <f aca="false">IF(AND($V79&gt;=0.95,$W79&gt;=0.95),"Green",IF(OR($V79&lt;0.85,$W79&lt;0.85),"Red","Amber"))</f>
        <v>Green</v>
      </c>
      <c r="AB79" s="31" t="n">
        <f aca="false">MAX(0,$K79-$J79)</f>
        <v>61</v>
      </c>
    </row>
    <row r="80" customFormat="false" ht="13.5" hidden="false" customHeight="true" outlineLevel="0" collapsed="false">
      <c r="A80" s="47" t="s">
        <v>304</v>
      </c>
      <c r="B80" s="154" t="str">
        <f aca="false">IFERROR(INDEX(Projects!$C$9:$C$16,MATCH($A80,Projects!$A$9:$A$16,0)),"")</f>
        <v>Land Development</v>
      </c>
      <c r="C80" s="155" t="n">
        <f aca="false">IF(Dashboard!$C$6="Corporate",1,IF(Dashboard!$C$6="Project",IF($A80=Dashboard!$M$6,1,0),IF($B80=Dashboard!$H$6,1,0)))</f>
        <v>1</v>
      </c>
      <c r="D80" s="156" t="s">
        <v>516</v>
      </c>
      <c r="E80" s="37" t="s">
        <v>517</v>
      </c>
      <c r="F80" s="37" t="s">
        <v>518</v>
      </c>
      <c r="G80" s="37" t="s">
        <v>514</v>
      </c>
      <c r="H80" s="37" t="s">
        <v>519</v>
      </c>
      <c r="I80" s="98" t="n">
        <v>46234</v>
      </c>
      <c r="J80" s="98" t="n">
        <v>46568</v>
      </c>
      <c r="K80" s="98" t="n">
        <v>46599</v>
      </c>
      <c r="L80" s="159" t="n">
        <f aca="false">'PT_LND-02'!$F$35</f>
        <v>339101</v>
      </c>
      <c r="M80" s="100" t="n">
        <f aca="false">IF(SUMIFS($L$9:$L$80,$A$9:$A$80,$A80)=0,0,$L80/SUMIFS($L$9:$L$80,$A$9:$A$80,$A80))</f>
        <v>0.00576076818351555</v>
      </c>
      <c r="N80" s="102" t="n">
        <f aca="false">'PT_LND-02'!$G$35</f>
        <v>0.1564</v>
      </c>
      <c r="O80" s="102" t="n">
        <f aca="false">'PT_LND-02'!$H$35</f>
        <v>0.1464</v>
      </c>
      <c r="P80" s="49" t="n">
        <f aca="false">$L80*$N80</f>
        <v>53035.3964</v>
      </c>
      <c r="Q80" s="49" t="n">
        <f aca="false">$L80*$O80</f>
        <v>49644.3864</v>
      </c>
      <c r="R80" s="99" t="n">
        <f aca="false">'PT_LND-02'!$K$35</f>
        <v>52319</v>
      </c>
      <c r="S80" s="99" t="n">
        <f aca="false">'PT_LND-02'!$L$35</f>
        <v>186506</v>
      </c>
      <c r="T80" s="49" t="n">
        <f aca="false">$Q80-$P80</f>
        <v>-3391.01</v>
      </c>
      <c r="U80" s="49" t="n">
        <f aca="false">$Q80-$R80</f>
        <v>-2674.6136</v>
      </c>
      <c r="V80" s="157" t="n">
        <f aca="false">IF($P80&lt;=0,1,$Q80/$P80)</f>
        <v>0.936061381074169</v>
      </c>
      <c r="W80" s="157" t="n">
        <f aca="false">IF($R80&lt;=0,1,$Q80/$R80)</f>
        <v>0.948878732391674</v>
      </c>
      <c r="X80" s="49" t="n">
        <f aca="false">IF($W80&lt;=0,$L80,$L80/$W80)</f>
        <v>357370.218579235</v>
      </c>
      <c r="Y80" s="49" t="n">
        <f aca="false">$L80-$X80</f>
        <v>-18269.218579235</v>
      </c>
      <c r="Z80" s="103" t="str">
        <f aca="false">'PT_LND-02'!$O$35</f>
        <v>In Progress</v>
      </c>
      <c r="AA80" s="52" t="str">
        <f aca="false">IF(AND($V80&gt;=0.95,$W80&gt;=0.95),"Green",IF(OR($V80&lt;0.85,$W80&lt;0.85),"Red","Amber"))</f>
        <v>Amber</v>
      </c>
      <c r="AB80" s="49" t="n">
        <f aca="false">MAX(0,$K80-$J80)</f>
        <v>31</v>
      </c>
    </row>
    <row r="81" customFormat="false" ht="18" hidden="false" customHeight="true" outlineLevel="0" collapsed="false">
      <c r="A81" s="27" t="s">
        <v>538</v>
      </c>
      <c r="B81" s="27"/>
      <c r="C81" s="27"/>
      <c r="D81" s="27"/>
      <c r="E81" s="27"/>
      <c r="F81" s="27"/>
      <c r="G81" s="27"/>
      <c r="H81" s="27"/>
      <c r="I81" s="27"/>
      <c r="J81" s="27"/>
      <c r="K81" s="27"/>
      <c r="L81" s="28" t="n">
        <f aca="false">SUMPRODUCT(WBS_Register!$C$9:$C$80,WBS_Register!$L$9:$L$80)</f>
        <v>867966335</v>
      </c>
      <c r="M81" s="105"/>
      <c r="N81" s="104" t="n">
        <f aca="false">IF($L81=0,0,$P81/$L81)</f>
        <v>0.145414298427945</v>
      </c>
      <c r="O81" s="104" t="n">
        <f aca="false">IF($L81=0,0,$Q81/$L81)</f>
        <v>0.138690269040216</v>
      </c>
      <c r="P81" s="28" t="n">
        <f aca="false">SUMPRODUCT(WBS_Register!$C$9:$C$80,WBS_Register!$P$9:$P$80)</f>
        <v>126214715.6631</v>
      </c>
      <c r="Q81" s="28" t="n">
        <f aca="false">SUMPRODUCT(WBS_Register!$C$9:$C$80,WBS_Register!$Q$9:$Q$80)</f>
        <v>120378484.519</v>
      </c>
      <c r="R81" s="28" t="n">
        <f aca="false">SUMPRODUCT(WBS_Register!$C$9:$C$80,WBS_Register!$R$9:$R$80)</f>
        <v>122819465</v>
      </c>
      <c r="S81" s="28" t="n">
        <f aca="false">SUMPRODUCT(WBS_Register!$C$9:$C$80,WBS_Register!$S$9:$S$80)</f>
        <v>406983639</v>
      </c>
      <c r="T81" s="28" t="n">
        <f aca="false">SUMPRODUCT(WBS_Register!$C$9:$C$80,WBS_Register!$T$9:$T$80)</f>
        <v>-5836231.1441</v>
      </c>
      <c r="U81" s="28" t="n">
        <f aca="false">SUMPRODUCT(WBS_Register!$C$9:$C$80,WBS_Register!$U$9:$U$80)</f>
        <v>-2440980.481</v>
      </c>
      <c r="V81" s="29" t="n">
        <f aca="false">IF($P81&lt;=0,1,$Q81/$P81)</f>
        <v>0.953759503292164</v>
      </c>
      <c r="W81" s="29" t="n">
        <f aca="false">IF($R81&lt;=0,1,$Q81/$R81)</f>
        <v>0.980125459095592</v>
      </c>
      <c r="X81" s="28" t="n">
        <f aca="false">SUMPRODUCT(WBS_Register!$C$9:$C$80,WBS_Register!$X$9:$X$80)</f>
        <v>884147327.930336</v>
      </c>
      <c r="Y81" s="28" t="n">
        <f aca="false">SUMPRODUCT(WBS_Register!$C$9:$C$80,WBS_Register!$Y$9:$Y$80)</f>
        <v>-16180992.9303357</v>
      </c>
      <c r="Z81" s="146" t="str">
        <f aca="false">Dashboard!$M$7</f>
        <v>CORPORATE — all portfolios</v>
      </c>
      <c r="AA81" s="145" t="str">
        <f aca="false">IF(AND($V81&gt;=0.95,$W81&gt;=0.95),"Green",IF(OR($V81&lt;0.85,$W81&lt;0.85),"Red","Amber"))</f>
        <v>Green</v>
      </c>
      <c r="AB81" s="105"/>
    </row>
    <row r="82" customFormat="false" ht="15" hidden="false" customHeight="true" outlineLevel="0" collapsed="false">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row>
    <row r="83" customFormat="false" ht="25.5" hidden="false" customHeight="true" outlineLevel="0" collapsed="false">
      <c r="A83" s="58" t="s">
        <v>539</v>
      </c>
      <c r="B83" s="58"/>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row>
  </sheetData>
  <autoFilter ref="A8:AB80"/>
  <mergeCells count="8">
    <mergeCell ref="A1:AB1"/>
    <mergeCell ref="A2:AB2"/>
    <mergeCell ref="A3:AB3"/>
    <mergeCell ref="A4:AB4"/>
    <mergeCell ref="A6:AB6"/>
    <mergeCell ref="A7:AB7"/>
    <mergeCell ref="A81:K81"/>
    <mergeCell ref="A83:AB83"/>
  </mergeCells>
  <conditionalFormatting sqref="AA9:AA80">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Z9:Z80">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C9:C80">
    <cfRule type="cellIs" priority="9" operator="equal" aboveAverage="0" equalAverage="0" bottom="0" percent="0" rank="0" text="" dxfId="0">
      <formula>"1"</formula>
    </cfRule>
  </conditionalFormatting>
  <conditionalFormatting sqref="O9:O80">
    <cfRule type="dataBar" priority="10">
      <dataBar showValue="1" minLength="10" maxLength="90">
        <cfvo type="num" val="0"/>
        <cfvo type="num" val="1"/>
        <color rgb="FF5FA8D3"/>
      </dataBar>
      <extLst>
        <ext xmlns:x14="http://schemas.microsoft.com/office/spreadsheetml/2009/9/main" uri="{B025F937-C7B1-47D3-B67F-A62EFF666E3E}">
          <x14:id>{8ABD11D6-EBB0-422F-8ED5-4B945E37E99B}</x14:id>
        </ext>
      </extLst>
    </cfRule>
  </conditionalFormatting>
  <dataValidations count="2">
    <dataValidation allowBlank="true" errorStyle="stop" operator="between" showDropDown="false" showErrorMessage="false" showInputMessage="false" sqref="Z9:Z80" type="list">
      <formula1>"Not Started,In Progress,At Risk,On Hold,Complete"</formula1>
      <formula2>0</formula2>
    </dataValidation>
    <dataValidation allowBlank="true" errorStyle="stop" operator="between" showDropDown="false" showErrorMessage="false" showInputMessage="false" sqref="A9:A80"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dataBar" id="{8ABD11D6-EBB0-422F-8ED5-4B945E37E99B}">
            <x14:dataBar minLength="10" maxLength="90" axisPosition="none" gradient="true">
              <x14:cfvo type="num">
                <xm:f>0</xm:f>
              </x14:cfvo>
              <x14:cfvo type="num">
                <xm:f>1</xm:f>
              </x14:cfvo>
              <x14:negativeFillColor rgb="FF5FA8D3"/>
              <x14:axisColor rgb="FF000000"/>
            </x14:dataBar>
          </x14:cfRule>
          <xm:sqref>O9:O80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L16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34"/>
    <col collapsed="false" customWidth="true" hidden="false" outlineLevel="0" max="2" min="2" style="1" width="8"/>
    <col collapsed="false" customWidth="true" hidden="false" outlineLevel="0" max="3" min="3" style="1" width="16"/>
    <col collapsed="false" customWidth="true" hidden="false" outlineLevel="0" max="4" min="4" style="1" width="4"/>
    <col collapsed="false" customWidth="true" hidden="false" outlineLevel="0" max="5" min="5" style="1" width="30"/>
    <col collapsed="false" customWidth="true" hidden="false" outlineLevel="0" max="7" min="6" style="1" width="16"/>
    <col collapsed="false" customWidth="true" hidden="false" outlineLevel="0" max="8" min="8" style="1" width="14"/>
    <col collapsed="false" customWidth="true" hidden="false" outlineLevel="0" max="9" min="9" style="1" width="12"/>
    <col collapsed="false" customWidth="true" hidden="false" outlineLevel="0" max="10" min="10" style="1" width="8"/>
    <col collapsed="false" customWidth="true" hidden="false" outlineLevel="0" max="11" min="11" style="1" width="10"/>
    <col collapsed="false" customWidth="true" hidden="false" outlineLevel="0" max="12" min="12" style="1" width="24"/>
  </cols>
  <sheetData>
    <row r="1" customFormat="false" ht="7.5" hidden="false" customHeight="true" outlineLevel="0" collapsed="false">
      <c r="A1" s="2"/>
      <c r="B1" s="2"/>
      <c r="C1" s="2"/>
      <c r="D1" s="2"/>
      <c r="E1" s="2"/>
      <c r="F1" s="2"/>
      <c r="G1" s="2"/>
      <c r="H1" s="2"/>
      <c r="I1" s="2"/>
      <c r="J1" s="2"/>
      <c r="K1" s="2"/>
      <c r="L1" s="2"/>
    </row>
    <row r="2" customFormat="false" ht="30" hidden="false" customHeight="true" outlineLevel="0" collapsed="false">
      <c r="A2" s="59" t="s">
        <v>540</v>
      </c>
      <c r="B2" s="59"/>
      <c r="C2" s="59"/>
      <c r="D2" s="59"/>
      <c r="E2" s="59"/>
      <c r="F2" s="59"/>
      <c r="G2" s="59"/>
      <c r="H2" s="59"/>
      <c r="I2" s="59"/>
      <c r="J2" s="59"/>
      <c r="K2" s="59"/>
      <c r="L2" s="59"/>
    </row>
    <row r="3" customFormat="false" ht="16.5" hidden="false" customHeight="true" outlineLevel="0" collapsed="false">
      <c r="A3" s="60" t="s">
        <v>541</v>
      </c>
      <c r="B3" s="60"/>
      <c r="C3" s="60"/>
      <c r="D3" s="60"/>
      <c r="E3" s="60"/>
      <c r="F3" s="60"/>
      <c r="G3" s="60"/>
      <c r="H3" s="60"/>
      <c r="I3" s="60"/>
      <c r="J3" s="60"/>
      <c r="K3" s="60"/>
      <c r="L3" s="60"/>
    </row>
    <row r="4" customFormat="false" ht="15" hidden="false" customHeight="true" outlineLevel="0" collapsed="false">
      <c r="A4" s="61" t="s">
        <v>542</v>
      </c>
      <c r="B4" s="61"/>
      <c r="C4" s="61"/>
      <c r="D4" s="61"/>
      <c r="E4" s="61"/>
      <c r="F4" s="61"/>
      <c r="G4" s="61"/>
      <c r="H4" s="61"/>
      <c r="I4" s="61"/>
      <c r="J4" s="61"/>
      <c r="K4" s="61"/>
      <c r="L4" s="61"/>
    </row>
    <row r="5" customFormat="false" ht="15" hidden="false" customHeight="true" outlineLevel="0" collapsed="false">
      <c r="A5" s="5"/>
      <c r="B5" s="5"/>
      <c r="C5" s="5"/>
      <c r="D5" s="5"/>
      <c r="E5" s="5"/>
      <c r="F5" s="5"/>
      <c r="G5" s="5"/>
      <c r="H5" s="5"/>
      <c r="I5" s="5"/>
      <c r="J5" s="5"/>
      <c r="K5" s="5"/>
      <c r="L5" s="5"/>
    </row>
    <row r="6" customFormat="false" ht="19.5" hidden="false" customHeight="true" outlineLevel="0" collapsed="false">
      <c r="A6" s="13" t="s">
        <v>543</v>
      </c>
      <c r="B6" s="13"/>
      <c r="C6" s="13"/>
      <c r="D6" s="13"/>
      <c r="E6" s="13"/>
      <c r="F6" s="13"/>
      <c r="G6" s="13"/>
      <c r="H6" s="13"/>
      <c r="I6" s="13"/>
      <c r="J6" s="13"/>
      <c r="K6" s="13"/>
      <c r="L6" s="13"/>
    </row>
    <row r="7" customFormat="false" ht="16.5" hidden="false" customHeight="true" outlineLevel="0" collapsed="false">
      <c r="A7" s="53" t="s">
        <v>327</v>
      </c>
      <c r="B7" s="53"/>
      <c r="C7" s="118" t="n">
        <f aca="false">Master_Tracker!$C$11</f>
        <v>977373423</v>
      </c>
      <c r="D7" s="5"/>
      <c r="E7" s="53" t="s">
        <v>328</v>
      </c>
      <c r="F7" s="118" t="n">
        <f aca="false">Master_Tracker!$H$11</f>
        <v>13854933</v>
      </c>
      <c r="G7" s="118"/>
      <c r="H7" s="5"/>
      <c r="I7" s="53" t="s">
        <v>331</v>
      </c>
      <c r="J7" s="118" t="n">
        <f aca="false">Master_Tracker!$C$12</f>
        <v>991228356</v>
      </c>
      <c r="K7" s="118"/>
      <c r="L7" s="160"/>
    </row>
    <row r="8" customFormat="false" ht="16.5" hidden="false" customHeight="true" outlineLevel="0" collapsed="false">
      <c r="A8" s="53" t="s">
        <v>329</v>
      </c>
      <c r="B8" s="53"/>
      <c r="C8" s="118" t="n">
        <f aca="false">Master_Tracker!$M$11</f>
        <v>17447154</v>
      </c>
      <c r="D8" s="5"/>
      <c r="E8" s="53" t="s">
        <v>544</v>
      </c>
      <c r="F8" s="117" t="n">
        <f aca="false">$J$7+$C$8</f>
        <v>1008675510</v>
      </c>
      <c r="G8" s="117"/>
      <c r="H8" s="5"/>
      <c r="I8" s="53" t="s">
        <v>545</v>
      </c>
      <c r="J8" s="121" t="n">
        <f aca="false">IF($C$7=0,0,($F$7+$C$8)/$C$7)</f>
        <v>0.0320267425565141</v>
      </c>
      <c r="K8" s="121"/>
      <c r="L8" s="160"/>
    </row>
    <row r="9" customFormat="false" ht="16.5" hidden="false" customHeight="true" outlineLevel="0" collapsed="false">
      <c r="A9" s="53" t="s">
        <v>546</v>
      </c>
      <c r="B9" s="53"/>
      <c r="C9" s="117" t="n">
        <f aca="false">IF(Master_Tracker!$C$13=0,0,Master_Tracker!$C$12*Master_Tracker!$M$13/Master_Tracker!$C$13)</f>
        <v>137473727.373931</v>
      </c>
      <c r="D9" s="5"/>
      <c r="E9" s="53" t="s">
        <v>547</v>
      </c>
      <c r="F9" s="118" t="n">
        <f aca="false">SUMPRODUCT(Projects!$AM$9:$AM$16,Projects!$AF$9:$AF$16)</f>
        <v>101734277</v>
      </c>
      <c r="G9" s="118"/>
      <c r="H9" s="5"/>
      <c r="I9" s="53" t="s">
        <v>548</v>
      </c>
      <c r="J9" s="117" t="n">
        <f aca="false">$C$9-$F$9</f>
        <v>35739450.3739307</v>
      </c>
      <c r="K9" s="117"/>
      <c r="L9" s="160"/>
    </row>
    <row r="10" customFormat="false" ht="16.5" hidden="false" customHeight="true" outlineLevel="0" collapsed="false">
      <c r="A10" s="53" t="s">
        <v>549</v>
      </c>
      <c r="B10" s="53"/>
      <c r="C10" s="118" t="n">
        <f aca="false">SUMPRODUCT(Projects!$AM$9:$AM$16,Projects!$AG$9:$AG$16)</f>
        <v>110286100</v>
      </c>
      <c r="D10" s="5"/>
      <c r="E10" s="53" t="s">
        <v>550</v>
      </c>
      <c r="F10" s="118" t="n">
        <f aca="false">SUMPRODUCT(Projects!$AM$9:$AM$16,Projects!$AH$9:$AH$16)</f>
        <v>85456792</v>
      </c>
      <c r="G10" s="118"/>
      <c r="H10" s="5"/>
      <c r="I10" s="53" t="s">
        <v>551</v>
      </c>
      <c r="J10" s="121" t="n">
        <f aca="false">IF($C$10=0,0,$F$9/$C$10)</f>
        <v>0.922457834668195</v>
      </c>
      <c r="K10" s="121"/>
      <c r="L10" s="160"/>
    </row>
    <row r="11" customFormat="false" ht="16.5" hidden="false" customHeight="true" outlineLevel="0" collapsed="false">
      <c r="A11" s="53" t="s">
        <v>552</v>
      </c>
      <c r="B11" s="53"/>
      <c r="C11" s="117" t="n">
        <f aca="false">SUMPRODUCT(Projects!$AM$9:$AM$16,Projects!$AF$9:$AF$16,Projects!$AE$9:$AE$16)</f>
        <v>0</v>
      </c>
      <c r="D11" s="5"/>
      <c r="E11" s="53" t="s">
        <v>553</v>
      </c>
      <c r="F11" s="117" t="n">
        <f aca="false">SUMPRODUCT(Projects!$AM$9:$AM$16,Projects!$R$9:$R$16,Projects!$AD$9:$AD$16)-SUMPRODUCT(Projects!$AM$9:$AM$16,Projects!$AJ$9:$AJ$16)</f>
        <v>72583333.5</v>
      </c>
      <c r="G11" s="117"/>
      <c r="H11" s="5"/>
      <c r="I11" s="53" t="s">
        <v>554</v>
      </c>
      <c r="J11" s="117" t="n">
        <f aca="false">$F$10+SUMPRODUCT(Projects!$AM$9:$AM$16,Projects!$R$9:$R$16,Projects!$AD$9:$AD$16)-SUMPRODUCT(Projects!$AM$9:$AM$16,Projects!$AJ$9:$AJ$16)</f>
        <v>158040125.5</v>
      </c>
      <c r="K11" s="117"/>
      <c r="L11" s="160"/>
    </row>
    <row r="12" customFormat="false" ht="15" hidden="false" customHeight="true" outlineLevel="0" collapsed="false">
      <c r="A12" s="5"/>
      <c r="B12" s="5"/>
      <c r="C12" s="5"/>
      <c r="D12" s="5"/>
      <c r="E12" s="5"/>
      <c r="F12" s="5"/>
      <c r="G12" s="5"/>
      <c r="H12" s="5"/>
      <c r="I12" s="5"/>
      <c r="J12" s="5"/>
      <c r="K12" s="5"/>
      <c r="L12" s="5"/>
    </row>
    <row r="13" customFormat="false" ht="19.5" hidden="false" customHeight="true" outlineLevel="0" collapsed="false">
      <c r="A13" s="13" t="s">
        <v>555</v>
      </c>
      <c r="B13" s="13"/>
      <c r="C13" s="13"/>
      <c r="D13" s="13"/>
      <c r="E13" s="13"/>
      <c r="F13" s="13"/>
      <c r="G13" s="13"/>
      <c r="H13" s="13"/>
      <c r="I13" s="13"/>
      <c r="J13" s="13"/>
      <c r="K13" s="13"/>
      <c r="L13" s="13"/>
    </row>
    <row r="14" customFormat="false" ht="16.5" hidden="false" customHeight="true" outlineLevel="0" collapsed="false">
      <c r="A14" s="53" t="s">
        <v>332</v>
      </c>
      <c r="B14" s="53"/>
      <c r="C14" s="118" t="n">
        <f aca="false">Master_Tracker!$H$12</f>
        <v>855900862</v>
      </c>
      <c r="D14" s="5"/>
      <c r="E14" s="53" t="s">
        <v>333</v>
      </c>
      <c r="F14" s="118" t="n">
        <f aca="false">Master_Tracker!$M$12</f>
        <v>12065473</v>
      </c>
      <c r="G14" s="118"/>
      <c r="H14" s="5"/>
      <c r="I14" s="53" t="s">
        <v>334</v>
      </c>
      <c r="J14" s="118" t="n">
        <f aca="false">Master_Tracker!$C$13</f>
        <v>867966335</v>
      </c>
      <c r="K14" s="118"/>
      <c r="L14" s="160"/>
    </row>
    <row r="15" customFormat="false" ht="16.5" hidden="false" customHeight="true" outlineLevel="0" collapsed="false">
      <c r="A15" s="53" t="s">
        <v>556</v>
      </c>
      <c r="B15" s="53"/>
      <c r="C15" s="118" t="n">
        <f aca="false">Master_Tracker!$C$14</f>
        <v>122819465</v>
      </c>
      <c r="D15" s="5"/>
      <c r="E15" s="53" t="s">
        <v>557</v>
      </c>
      <c r="F15" s="118" t="n">
        <f aca="false">Master_Tracker!$H$14</f>
        <v>406983639</v>
      </c>
      <c r="G15" s="118"/>
      <c r="H15" s="5"/>
      <c r="I15" s="53" t="s">
        <v>558</v>
      </c>
      <c r="J15" s="118" t="n">
        <f aca="false">SUMPRODUCT(Projects!$AM$9:$AM$16,Projects!$AI$9:$AI$16)</f>
        <v>4053042</v>
      </c>
      <c r="K15" s="118"/>
      <c r="L15" s="160"/>
    </row>
    <row r="16" customFormat="false" ht="16.5" hidden="false" customHeight="true" outlineLevel="0" collapsed="false">
      <c r="A16" s="53" t="s">
        <v>559</v>
      </c>
      <c r="B16" s="53"/>
      <c r="C16" s="117" t="n">
        <f aca="false">$C$15+$F$15+$J$15</f>
        <v>533856146</v>
      </c>
      <c r="D16" s="5"/>
      <c r="E16" s="53" t="s">
        <v>560</v>
      </c>
      <c r="F16" s="117" t="n">
        <f aca="false">$J$14-$C$16</f>
        <v>334110189</v>
      </c>
      <c r="G16" s="117"/>
      <c r="H16" s="5"/>
      <c r="I16" s="53" t="s">
        <v>561</v>
      </c>
      <c r="J16" s="121" t="n">
        <f aca="false">IF($J$14=0,0,$F$15/$J$14)</f>
        <v>0.468893345961396</v>
      </c>
      <c r="K16" s="121"/>
      <c r="L16" s="160"/>
    </row>
    <row r="17" customFormat="false" ht="16.5" hidden="false" customHeight="true" outlineLevel="0" collapsed="false">
      <c r="A17" s="53" t="s">
        <v>336</v>
      </c>
      <c r="B17" s="53"/>
      <c r="C17" s="118" t="n">
        <f aca="false">Master_Tracker!$M$13</f>
        <v>120378484.519</v>
      </c>
      <c r="D17" s="5"/>
      <c r="E17" s="53" t="s">
        <v>335</v>
      </c>
      <c r="F17" s="118" t="n">
        <f aca="false">Master_Tracker!$H$13</f>
        <v>126214715.6631</v>
      </c>
      <c r="G17" s="118"/>
      <c r="H17" s="5"/>
      <c r="I17" s="53" t="s">
        <v>562</v>
      </c>
      <c r="J17" s="118" t="n">
        <f aca="false">Master_Tracker!$C$15</f>
        <v>-2440980.48100001</v>
      </c>
      <c r="K17" s="118"/>
      <c r="L17" s="160"/>
    </row>
    <row r="18" customFormat="false" ht="16.5" hidden="false" customHeight="true" outlineLevel="0" collapsed="false">
      <c r="A18" s="53" t="s">
        <v>563</v>
      </c>
      <c r="B18" s="53"/>
      <c r="C18" s="118" t="n">
        <f aca="false">Master_Tracker!$M$14</f>
        <v>-5836231.1441</v>
      </c>
      <c r="D18" s="5"/>
      <c r="E18" s="53" t="s">
        <v>342</v>
      </c>
      <c r="F18" s="161" t="n">
        <f aca="false">Master_Tracker!$M$15</f>
        <v>0.980125459095592</v>
      </c>
      <c r="G18" s="161"/>
      <c r="H18" s="5"/>
      <c r="I18" s="53" t="s">
        <v>341</v>
      </c>
      <c r="J18" s="161" t="n">
        <f aca="false">Master_Tracker!$H$15</f>
        <v>0.953759503292164</v>
      </c>
      <c r="K18" s="161"/>
      <c r="L18" s="160"/>
    </row>
    <row r="19" customFormat="false" ht="15" hidden="false" customHeight="true" outlineLevel="0" collapsed="false">
      <c r="A19" s="5"/>
      <c r="B19" s="5"/>
      <c r="C19" s="5"/>
      <c r="D19" s="5"/>
      <c r="E19" s="5"/>
      <c r="F19" s="5"/>
      <c r="G19" s="5"/>
      <c r="H19" s="5"/>
      <c r="I19" s="5"/>
      <c r="J19" s="5"/>
      <c r="K19" s="5"/>
      <c r="L19" s="5"/>
    </row>
    <row r="20" customFormat="false" ht="19.5" hidden="false" customHeight="true" outlineLevel="0" collapsed="false">
      <c r="A20" s="13" t="s">
        <v>564</v>
      </c>
      <c r="B20" s="13"/>
      <c r="C20" s="13"/>
      <c r="D20" s="13"/>
      <c r="E20" s="13"/>
      <c r="F20" s="13"/>
      <c r="G20" s="13"/>
      <c r="H20" s="13"/>
      <c r="I20" s="13"/>
      <c r="J20" s="13"/>
      <c r="K20" s="13"/>
      <c r="L20" s="13"/>
    </row>
    <row r="21" customFormat="false" ht="16.5" hidden="false" customHeight="true" outlineLevel="0" collapsed="false">
      <c r="A21" s="53" t="s">
        <v>565</v>
      </c>
      <c r="B21" s="53"/>
      <c r="C21" s="162" t="n">
        <v>0.955</v>
      </c>
      <c r="D21" s="5"/>
      <c r="E21" s="53" t="s">
        <v>566</v>
      </c>
      <c r="F21" s="117" t="n">
        <f aca="false">$J$15</f>
        <v>4053042</v>
      </c>
      <c r="G21" s="117"/>
      <c r="H21" s="5"/>
      <c r="I21" s="53" t="s">
        <v>567</v>
      </c>
      <c r="J21" s="162" t="n">
        <v>0.96</v>
      </c>
      <c r="K21" s="162"/>
      <c r="L21" s="160"/>
    </row>
    <row r="22" customFormat="false" ht="16.5" hidden="false" customHeight="true" outlineLevel="0" collapsed="false">
      <c r="A22" s="53" t="s">
        <v>568</v>
      </c>
      <c r="B22" s="53"/>
      <c r="C22" s="163" t="n">
        <v>1</v>
      </c>
      <c r="D22" s="5"/>
      <c r="E22" s="53" t="s">
        <v>569</v>
      </c>
      <c r="F22" s="117" t="n">
        <f aca="false">SUMPRODUCT(Cost_Financials!$C$70:$C$157,Cost_Financials!$J$70:$J$157)</f>
        <v>878381931.02</v>
      </c>
      <c r="G22" s="117"/>
      <c r="H22" s="5"/>
      <c r="I22" s="53" t="s">
        <v>570</v>
      </c>
      <c r="J22" s="163" t="n">
        <v>0</v>
      </c>
      <c r="K22" s="163"/>
      <c r="L22" s="160"/>
    </row>
    <row r="23" customFormat="false" ht="15" hidden="false" customHeight="true" outlineLevel="0" collapsed="false">
      <c r="A23" s="5"/>
      <c r="B23" s="5"/>
      <c r="C23" s="5"/>
      <c r="D23" s="5"/>
      <c r="E23" s="5"/>
      <c r="F23" s="5"/>
      <c r="G23" s="5"/>
      <c r="H23" s="5"/>
      <c r="I23" s="5"/>
      <c r="J23" s="5"/>
      <c r="K23" s="5"/>
      <c r="L23" s="5"/>
    </row>
    <row r="24" customFormat="false" ht="19.5" hidden="false" customHeight="true" outlineLevel="0" collapsed="false">
      <c r="A24" s="13" t="s">
        <v>571</v>
      </c>
      <c r="B24" s="13"/>
      <c r="C24" s="13"/>
      <c r="D24" s="13"/>
      <c r="E24" s="13"/>
      <c r="F24" s="13"/>
      <c r="G24" s="13"/>
      <c r="H24" s="13"/>
      <c r="I24" s="13"/>
      <c r="J24" s="13"/>
      <c r="K24" s="13"/>
      <c r="L24" s="13"/>
    </row>
    <row r="25" customFormat="false" ht="13.5" hidden="false" customHeight="true" outlineLevel="0" collapsed="false">
      <c r="A25" s="80" t="s">
        <v>572</v>
      </c>
      <c r="B25" s="80"/>
      <c r="C25" s="80"/>
      <c r="D25" s="80"/>
      <c r="E25" s="80"/>
      <c r="F25" s="80"/>
      <c r="G25" s="80"/>
      <c r="H25" s="80"/>
      <c r="I25" s="80"/>
      <c r="J25" s="80"/>
      <c r="K25" s="80"/>
      <c r="L25" s="80"/>
    </row>
    <row r="26" customFormat="false" ht="25.5" hidden="false" customHeight="true" outlineLevel="0" collapsed="false">
      <c r="A26" s="23" t="s">
        <v>573</v>
      </c>
      <c r="B26" s="23" t="s">
        <v>574</v>
      </c>
      <c r="C26" s="23"/>
      <c r="D26" s="23"/>
      <c r="E26" s="23" t="s">
        <v>575</v>
      </c>
      <c r="F26" s="23" t="s">
        <v>279</v>
      </c>
      <c r="G26" s="23" t="s">
        <v>408</v>
      </c>
      <c r="H26" s="23" t="s">
        <v>576</v>
      </c>
      <c r="I26" s="23" t="s">
        <v>577</v>
      </c>
      <c r="J26" s="23"/>
      <c r="K26" s="23"/>
      <c r="L26" s="23"/>
    </row>
    <row r="27" customFormat="false" ht="15" hidden="false" customHeight="true" outlineLevel="0" collapsed="false">
      <c r="A27" s="42" t="n">
        <v>1</v>
      </c>
      <c r="B27" s="30" t="s">
        <v>578</v>
      </c>
      <c r="C27" s="30"/>
      <c r="D27" s="30"/>
      <c r="E27" s="126" t="s">
        <v>579</v>
      </c>
      <c r="F27" s="31" t="n">
        <f aca="false">IF(Master_Tracker!$M$15&lt;=0,Master_Tracker!$C$13,Master_Tracker!$C$13/Master_Tracker!$M$15)</f>
        <v>885566563.897762</v>
      </c>
      <c r="G27" s="31" t="n">
        <f aca="false">Master_Tracker!$C$13-$F27</f>
        <v>-17600228.8977621</v>
      </c>
      <c r="H27" s="87" t="n">
        <f aca="false">IF(Master_Tracker!$C$13=0,0,$G27/Master_Tracker!$C$13)</f>
        <v>-0.0202775478587681</v>
      </c>
      <c r="I27" s="55" t="s">
        <v>580</v>
      </c>
      <c r="J27" s="55"/>
      <c r="K27" s="55"/>
      <c r="L27" s="55"/>
    </row>
    <row r="28" customFormat="false" ht="15" hidden="false" customHeight="true" outlineLevel="0" collapsed="false">
      <c r="A28" s="47" t="n">
        <v>2</v>
      </c>
      <c r="B28" s="37" t="s">
        <v>581</v>
      </c>
      <c r="C28" s="37"/>
      <c r="D28" s="37"/>
      <c r="E28" s="133" t="s">
        <v>582</v>
      </c>
      <c r="F28" s="49" t="n">
        <f aca="false">Master_Tracker!$C$14+(Master_Tracker!$C$13-Master_Tracker!$M$13)</f>
        <v>870407315.481</v>
      </c>
      <c r="G28" s="49" t="n">
        <f aca="false">Master_Tracker!$C$13-$F28</f>
        <v>-2440980.48099995</v>
      </c>
      <c r="H28" s="100" t="n">
        <f aca="false">IF(Master_Tracker!$C$13=0,0,$G28/Master_Tracker!$C$13)</f>
        <v>-0.00281229856800834</v>
      </c>
      <c r="I28" s="134" t="s">
        <v>583</v>
      </c>
      <c r="J28" s="134"/>
      <c r="K28" s="134"/>
      <c r="L28" s="134"/>
    </row>
    <row r="29" customFormat="false" ht="15" hidden="false" customHeight="true" outlineLevel="0" collapsed="false">
      <c r="A29" s="42" t="n">
        <v>3</v>
      </c>
      <c r="B29" s="30" t="s">
        <v>584</v>
      </c>
      <c r="C29" s="30"/>
      <c r="D29" s="30"/>
      <c r="E29" s="126" t="s">
        <v>585</v>
      </c>
      <c r="F29" s="31" t="n">
        <f aca="false">IF(Master_Tracker!$M$15*Master_Tracker!$H$15&lt;=0,Master_Tracker!$C$13,Master_Tracker!$C$14+(Master_Tracker!$C$13-Master_Tracker!$M$13)/(Master_Tracker!$M$15*Master_Tracker!$H$15))</f>
        <v>922546331.432187</v>
      </c>
      <c r="G29" s="31" t="n">
        <f aca="false">Master_Tracker!$C$13-$F29</f>
        <v>-54579996.4321874</v>
      </c>
      <c r="H29" s="87" t="n">
        <f aca="false">IF(Master_Tracker!$C$13=0,0,$G29/Master_Tracker!$C$13)</f>
        <v>-0.0628826190962665</v>
      </c>
      <c r="I29" s="55" t="s">
        <v>586</v>
      </c>
      <c r="J29" s="55"/>
      <c r="K29" s="55"/>
      <c r="L29" s="55"/>
    </row>
    <row r="30" customFormat="false" ht="15" hidden="false" customHeight="true" outlineLevel="0" collapsed="false">
      <c r="A30" s="47" t="n">
        <v>4</v>
      </c>
      <c r="B30" s="37" t="s">
        <v>587</v>
      </c>
      <c r="C30" s="37"/>
      <c r="D30" s="37"/>
      <c r="E30" s="133" t="s">
        <v>588</v>
      </c>
      <c r="F30" s="49" t="n">
        <f aca="false">Master_Tracker!$C$14+SUMPRODUCT(Cost_Financials!$C$70:$C$157,Cost_Financials!$J$70:$J$157)-Master_Tracker!$M$13</f>
        <v>880822911.501</v>
      </c>
      <c r="G30" s="49" t="n">
        <f aca="false">Master_Tracker!$C$13-$F30</f>
        <v>-12856576.5009999</v>
      </c>
      <c r="H30" s="100" t="n">
        <f aca="false">IF(Master_Tracker!$C$13=0,0,$G30/Master_Tracker!$C$13)</f>
        <v>-0.0148122985680083</v>
      </c>
      <c r="I30" s="134" t="s">
        <v>589</v>
      </c>
      <c r="J30" s="134"/>
      <c r="K30" s="134"/>
      <c r="L30" s="134"/>
    </row>
    <row r="31" customFormat="false" ht="15" hidden="false" customHeight="true" outlineLevel="0" collapsed="false">
      <c r="A31" s="5"/>
      <c r="B31" s="5"/>
      <c r="C31" s="5"/>
      <c r="D31" s="5"/>
      <c r="E31" s="5"/>
      <c r="F31" s="5"/>
      <c r="G31" s="5"/>
      <c r="H31" s="5"/>
      <c r="I31" s="5"/>
      <c r="J31" s="5"/>
      <c r="K31" s="5"/>
      <c r="L31" s="5"/>
    </row>
    <row r="32" customFormat="false" ht="18.75" hidden="false" customHeight="true" outlineLevel="0" collapsed="false">
      <c r="A32" s="27" t="s">
        <v>590</v>
      </c>
      <c r="B32" s="27"/>
      <c r="C32" s="27"/>
      <c r="D32" s="27"/>
      <c r="E32" s="27"/>
      <c r="F32" s="28" t="n">
        <f aca="false">INDEX($F$27:$F$30,$C$22)</f>
        <v>885566563.897762</v>
      </c>
      <c r="G32" s="28" t="n">
        <f aca="false">Master_Tracker!$C$13-$F32</f>
        <v>-17600228.8977621</v>
      </c>
      <c r="H32" s="104" t="n">
        <f aca="false">IF(Master_Tracker!$C$13=0,0,$G32/Master_Tracker!$C$13)</f>
        <v>-0.0202775478587681</v>
      </c>
      <c r="I32" s="27" t="str">
        <f aca="false">IF($G32&gt;=0,"Forecast within budget",IF(ABS($H32)&lt;=0.03,"Forecast overrun within 3% tolerance","Forecast overrun exceeds 3% — escalate"))</f>
        <v>Forecast overrun within 3% tolerance</v>
      </c>
      <c r="J32" s="27"/>
      <c r="K32" s="27"/>
      <c r="L32" s="27"/>
    </row>
    <row r="33" customFormat="false" ht="15.75" hidden="false" customHeight="true" outlineLevel="0" collapsed="false">
      <c r="A33" s="53" t="s">
        <v>591</v>
      </c>
      <c r="B33" s="53"/>
      <c r="C33" s="53"/>
      <c r="D33" s="53"/>
      <c r="E33" s="53"/>
      <c r="F33" s="164" t="n">
        <f aca="false">$F$32-Master_Tracker!$C$14</f>
        <v>762747098.897762</v>
      </c>
      <c r="G33" s="160"/>
      <c r="H33" s="160"/>
      <c r="I33" s="55" t="s">
        <v>592</v>
      </c>
      <c r="J33" s="55"/>
      <c r="K33" s="55"/>
      <c r="L33" s="55"/>
    </row>
    <row r="34" customFormat="false" ht="15.75" hidden="false" customHeight="true" outlineLevel="0" collapsed="false">
      <c r="A34" s="53" t="s">
        <v>593</v>
      </c>
      <c r="B34" s="53"/>
      <c r="C34" s="53"/>
      <c r="D34" s="53"/>
      <c r="E34" s="53"/>
      <c r="F34" s="26" t="n">
        <f aca="false">IF((Master_Tracker!$C$13-Master_Tracker!$C$14)=0,0,(Master_Tracker!$C$13-Master_Tracker!$M$13)/(Master_Tracker!$C$13-Master_Tracker!$C$14))</f>
        <v>1.00327583806532</v>
      </c>
      <c r="G34" s="160"/>
      <c r="H34" s="160"/>
      <c r="I34" s="55" t="s">
        <v>594</v>
      </c>
      <c r="J34" s="55"/>
      <c r="K34" s="55"/>
      <c r="L34" s="55"/>
    </row>
    <row r="35" customFormat="false" ht="15.75" hidden="false" customHeight="true" outlineLevel="0" collapsed="false">
      <c r="A35" s="53" t="s">
        <v>595</v>
      </c>
      <c r="B35" s="53"/>
      <c r="C35" s="53"/>
      <c r="D35" s="53"/>
      <c r="E35" s="53"/>
      <c r="F35" s="26" t="n">
        <f aca="false">IF(($F$32-Master_Tracker!$C$14)=0,0,(Master_Tracker!$C$13-Master_Tracker!$M$13)/($F$32-Master_Tracker!$C$14))</f>
        <v>0.980125459095592</v>
      </c>
      <c r="G35" s="160"/>
      <c r="H35" s="160"/>
      <c r="I35" s="55" t="s">
        <v>596</v>
      </c>
      <c r="J35" s="55"/>
      <c r="K35" s="55"/>
      <c r="L35" s="55"/>
    </row>
    <row r="36" customFormat="false" ht="15" hidden="false" customHeight="true" outlineLevel="0" collapsed="false">
      <c r="A36" s="5"/>
      <c r="B36" s="5"/>
      <c r="C36" s="5"/>
      <c r="D36" s="5"/>
      <c r="E36" s="5"/>
      <c r="F36" s="5"/>
      <c r="G36" s="5"/>
      <c r="H36" s="5"/>
      <c r="I36" s="5"/>
      <c r="J36" s="5"/>
      <c r="K36" s="5"/>
      <c r="L36" s="5"/>
    </row>
    <row r="37" customFormat="false" ht="19.5" hidden="false" customHeight="true" outlineLevel="0" collapsed="false">
      <c r="A37" s="13" t="s">
        <v>597</v>
      </c>
      <c r="B37" s="13"/>
      <c r="C37" s="13"/>
      <c r="D37" s="13"/>
      <c r="E37" s="13"/>
      <c r="F37" s="13"/>
      <c r="G37" s="13"/>
      <c r="H37" s="13"/>
      <c r="I37" s="13"/>
      <c r="J37" s="13"/>
      <c r="K37" s="13"/>
      <c r="L37" s="13"/>
    </row>
    <row r="38" customFormat="false" ht="13.5" hidden="false" customHeight="true" outlineLevel="0" collapsed="false">
      <c r="A38" s="80" t="s">
        <v>598</v>
      </c>
      <c r="B38" s="80"/>
      <c r="C38" s="80"/>
      <c r="D38" s="80"/>
      <c r="E38" s="80"/>
      <c r="F38" s="80"/>
      <c r="G38" s="80"/>
      <c r="H38" s="80"/>
      <c r="I38" s="80"/>
      <c r="J38" s="80"/>
      <c r="K38" s="80"/>
      <c r="L38" s="80"/>
    </row>
    <row r="39" customFormat="false" ht="25.5" hidden="false" customHeight="true" outlineLevel="0" collapsed="false">
      <c r="A39" s="23" t="s">
        <v>599</v>
      </c>
      <c r="B39" s="23"/>
      <c r="C39" s="23"/>
      <c r="D39" s="23"/>
      <c r="E39" s="23" t="s">
        <v>600</v>
      </c>
      <c r="F39" s="23" t="s">
        <v>601</v>
      </c>
      <c r="G39" s="23" t="s">
        <v>602</v>
      </c>
      <c r="H39" s="23" t="s">
        <v>603</v>
      </c>
      <c r="I39" s="23" t="s">
        <v>576</v>
      </c>
      <c r="J39" s="23" t="s">
        <v>288</v>
      </c>
      <c r="K39" s="23"/>
      <c r="L39" s="23"/>
    </row>
    <row r="40" customFormat="false" ht="15.75" hidden="false" customHeight="true" outlineLevel="0" collapsed="false">
      <c r="A40" s="24" t="s">
        <v>604</v>
      </c>
      <c r="B40" s="24"/>
      <c r="C40" s="24"/>
      <c r="D40" s="24"/>
      <c r="E40" s="126" t="s">
        <v>605</v>
      </c>
      <c r="F40" s="25" t="n">
        <f aca="false">Master_Tracker!$C$12</f>
        <v>991228356</v>
      </c>
      <c r="G40" s="25" t="n">
        <f aca="false">Master_Tracker!$C$13</f>
        <v>867966335</v>
      </c>
      <c r="H40" s="164" t="n">
        <f aca="false">$F40-$G40</f>
        <v>123262021</v>
      </c>
      <c r="I40" s="122" t="n">
        <f aca="false">IF($F40=0,0,$H40/$F40)</f>
        <v>0.124352799487508</v>
      </c>
      <c r="J40" s="125" t="str">
        <f aca="false">IF($H40&gt;=0,"Green",IF($I40&gt;=-0.03,"Amber","Red"))</f>
        <v>Green</v>
      </c>
      <c r="K40" s="160"/>
      <c r="L40" s="160"/>
    </row>
    <row r="41" customFormat="false" ht="15.75" hidden="false" customHeight="true" outlineLevel="0" collapsed="false">
      <c r="A41" s="24" t="s">
        <v>606</v>
      </c>
      <c r="B41" s="24"/>
      <c r="C41" s="24"/>
      <c r="D41" s="24"/>
      <c r="E41" s="126" t="s">
        <v>607</v>
      </c>
      <c r="F41" s="25" t="n">
        <f aca="false">$C$9</f>
        <v>137473727.373931</v>
      </c>
      <c r="G41" s="25" t="n">
        <f aca="false">Master_Tracker!$C$14</f>
        <v>122819465</v>
      </c>
      <c r="H41" s="164" t="n">
        <f aca="false">$F41-$G41</f>
        <v>14654262.3739307</v>
      </c>
      <c r="I41" s="122" t="n">
        <f aca="false">IF($F41=0,0,$H41/$F41)</f>
        <v>0.106596821471719</v>
      </c>
      <c r="J41" s="125" t="str">
        <f aca="false">IF($H41&gt;=0,"Green",IF($I41&gt;=-0.03,"Amber","Red"))</f>
        <v>Green</v>
      </c>
      <c r="K41" s="160"/>
      <c r="L41" s="160"/>
    </row>
    <row r="42" customFormat="false" ht="15.75" hidden="false" customHeight="true" outlineLevel="0" collapsed="false">
      <c r="A42" s="24" t="s">
        <v>608</v>
      </c>
      <c r="B42" s="24"/>
      <c r="C42" s="24"/>
      <c r="D42" s="24"/>
      <c r="E42" s="126" t="s">
        <v>609</v>
      </c>
      <c r="F42" s="25" t="n">
        <f aca="false">Master_Tracker!$C$12</f>
        <v>991228356</v>
      </c>
      <c r="G42" s="25" t="n">
        <f aca="false">$F$32</f>
        <v>885566563.897762</v>
      </c>
      <c r="H42" s="164" t="n">
        <f aca="false">$F42-$G42</f>
        <v>105661792.102238</v>
      </c>
      <c r="I42" s="122" t="n">
        <f aca="false">IF($F42=0,0,$H42/$F42)</f>
        <v>0.106596821471719</v>
      </c>
      <c r="J42" s="125" t="str">
        <f aca="false">IF($H42&gt;=0,"Green",IF($I42&gt;=-0.03,"Amber","Red"))</f>
        <v>Green</v>
      </c>
      <c r="K42" s="160"/>
      <c r="L42" s="160"/>
    </row>
    <row r="43" customFormat="false" ht="18" hidden="false" customHeight="true" outlineLevel="0" collapsed="false">
      <c r="A43" s="27" t="s">
        <v>610</v>
      </c>
      <c r="B43" s="27"/>
      <c r="C43" s="27"/>
      <c r="D43" s="27"/>
      <c r="E43" s="27"/>
      <c r="F43" s="28" t="n">
        <f aca="false">$F$42-$F$40</f>
        <v>0</v>
      </c>
      <c r="G43" s="28" t="n">
        <f aca="false">$G$42-$G$40</f>
        <v>17600228.8977621</v>
      </c>
      <c r="H43" s="28" t="n">
        <f aca="false">$H$42-$H$40</f>
        <v>-17600228.8977621</v>
      </c>
      <c r="I43" s="165" t="n">
        <f aca="false">$I$42-$I$40</f>
        <v>-0.0177559780157884</v>
      </c>
      <c r="J43" s="145" t="str">
        <f aca="false">IF($H43&gt;=0,"Green",IF($H43&gt;=-0.02*Master_Tracker!$C$12,"Amber","Red"))</f>
        <v>Amber</v>
      </c>
      <c r="K43" s="166" t="s">
        <v>611</v>
      </c>
      <c r="L43" s="166"/>
    </row>
    <row r="44" customFormat="false" ht="15" hidden="false" customHeight="true" outlineLevel="0" collapsed="false">
      <c r="A44" s="5"/>
      <c r="B44" s="5"/>
      <c r="C44" s="5"/>
      <c r="D44" s="5"/>
      <c r="E44" s="5"/>
      <c r="F44" s="5"/>
      <c r="G44" s="5"/>
      <c r="H44" s="5"/>
      <c r="I44" s="5"/>
      <c r="J44" s="5"/>
      <c r="K44" s="5"/>
      <c r="L44" s="5"/>
    </row>
    <row r="45" customFormat="false" ht="19.5" hidden="false" customHeight="true" outlineLevel="0" collapsed="false">
      <c r="A45" s="13" t="s">
        <v>612</v>
      </c>
      <c r="B45" s="13"/>
      <c r="C45" s="13"/>
      <c r="D45" s="13"/>
      <c r="E45" s="13"/>
      <c r="F45" s="13"/>
      <c r="G45" s="13"/>
      <c r="H45" s="13"/>
      <c r="I45" s="13"/>
      <c r="J45" s="13"/>
      <c r="K45" s="13"/>
      <c r="L45" s="13"/>
    </row>
    <row r="46" customFormat="false" ht="13.5" hidden="false" customHeight="true" outlineLevel="0" collapsed="false">
      <c r="A46" s="80" t="s">
        <v>613</v>
      </c>
      <c r="B46" s="80"/>
      <c r="C46" s="80"/>
      <c r="D46" s="80"/>
      <c r="E46" s="80"/>
      <c r="F46" s="80"/>
      <c r="G46" s="80"/>
      <c r="H46" s="80"/>
      <c r="I46" s="80"/>
      <c r="J46" s="80"/>
      <c r="K46" s="80"/>
      <c r="L46" s="80"/>
    </row>
    <row r="47" customFormat="false" ht="33.75" hidden="false" customHeight="true" outlineLevel="0" collapsed="false">
      <c r="A47" s="23" t="s">
        <v>614</v>
      </c>
      <c r="B47" s="23"/>
      <c r="C47" s="23"/>
      <c r="D47" s="23" t="s">
        <v>615</v>
      </c>
      <c r="E47" s="23" t="s">
        <v>616</v>
      </c>
      <c r="F47" s="23" t="s">
        <v>617</v>
      </c>
      <c r="G47" s="23" t="s">
        <v>276</v>
      </c>
      <c r="H47" s="23" t="s">
        <v>618</v>
      </c>
      <c r="I47" s="23" t="s">
        <v>619</v>
      </c>
      <c r="J47" s="23" t="s">
        <v>620</v>
      </c>
      <c r="K47" s="23" t="s">
        <v>621</v>
      </c>
      <c r="L47" s="23" t="s">
        <v>288</v>
      </c>
    </row>
    <row r="48" customFormat="false" ht="15" hidden="false" customHeight="true" outlineLevel="0" collapsed="false">
      <c r="A48" s="30" t="s">
        <v>622</v>
      </c>
      <c r="B48" s="30"/>
      <c r="C48" s="30"/>
      <c r="D48" s="31" t="n">
        <f aca="false">SUMPRODUCT(Cost_Financials!$C$70:$C$157,(Cost_Financials!$E$70:$E$157=$A48)*1,Cost_Financials!$F$70:$F$157)</f>
        <v>59913061</v>
      </c>
      <c r="E48" s="31" t="n">
        <f aca="false">SUMPRODUCT(Cost_Financials!$C$70:$C$157,(Cost_Financials!$E$70:$E$157=$A48)*1,Cost_Financials!$G$70:$G$157)</f>
        <v>0</v>
      </c>
      <c r="F48" s="31" t="n">
        <f aca="false">$D48+$E48</f>
        <v>59913061</v>
      </c>
      <c r="G48" s="31" t="n">
        <f aca="false">SUMPRODUCT(Cost_Financials!$C$70:$C$157,(Cost_Financials!$E$70:$E$157=$A48)*1,Cost_Financials!$I$70:$I$157)</f>
        <v>30026072</v>
      </c>
      <c r="H48" s="31" t="n">
        <f aca="false">SUMPRODUCT(Cost_Financials!$C$70:$C$157,(Cost_Financials!$E$70:$E$157=$A48)*1,Cost_Financials!$H$70:$H$157)</f>
        <v>11850122</v>
      </c>
      <c r="I48" s="31" t="n">
        <f aca="false">SUMPRODUCT(Cost_Financials!$C$70:$C$157,(Cost_Financials!$E$70:$E$157=$A48)*1,Cost_Financials!$J$70:$J$157)</f>
        <v>60632017.732</v>
      </c>
      <c r="J48" s="31" t="n">
        <f aca="false">$F48-$I48</f>
        <v>-718956.732000001</v>
      </c>
      <c r="K48" s="87" t="n">
        <f aca="false">IF($F48=0,0,$J48/$F48)</f>
        <v>-0.012</v>
      </c>
      <c r="L48" s="46" t="str">
        <f aca="false">IF($J48&gt;=0,"Green",IF(ABS($K48)&lt;=0.05,"Amber","Red"))</f>
        <v>Amber</v>
      </c>
    </row>
    <row r="49" customFormat="false" ht="15" hidden="false" customHeight="true" outlineLevel="0" collapsed="false">
      <c r="A49" s="37" t="s">
        <v>623</v>
      </c>
      <c r="B49" s="37"/>
      <c r="C49" s="37"/>
      <c r="D49" s="49" t="n">
        <f aca="false">SUMPRODUCT(Cost_Financials!$C$70:$C$157,(Cost_Financials!$E$70:$E$157=$A49)*1,Cost_Financials!$F$70:$F$157)</f>
        <v>53065853</v>
      </c>
      <c r="E49" s="49" t="n">
        <f aca="false">SUMPRODUCT(Cost_Financials!$C$70:$C$157,(Cost_Financials!$E$70:$E$157=$A49)*1,Cost_Financials!$G$70:$G$157)</f>
        <v>0</v>
      </c>
      <c r="F49" s="49" t="n">
        <f aca="false">$D49+$E49</f>
        <v>53065853</v>
      </c>
      <c r="G49" s="49" t="n">
        <f aca="false">SUMPRODUCT(Cost_Financials!$C$70:$C$157,(Cost_Financials!$E$70:$E$157=$A49)*1,Cost_Financials!$I$70:$I$157)</f>
        <v>24020858</v>
      </c>
      <c r="H49" s="49" t="n">
        <f aca="false">SUMPRODUCT(Cost_Financials!$C$70:$C$157,(Cost_Financials!$E$70:$E$157=$A49)*1,Cost_Financials!$H$70:$H$157)</f>
        <v>10072602</v>
      </c>
      <c r="I49" s="49" t="n">
        <f aca="false">SUMPRODUCT(Cost_Financials!$C$70:$C$157,(Cost_Financials!$E$70:$E$157=$A49)*1,Cost_Financials!$J$70:$J$157)</f>
        <v>53702643.236</v>
      </c>
      <c r="J49" s="49" t="n">
        <f aca="false">$F49-$I49</f>
        <v>-636790.236000001</v>
      </c>
      <c r="K49" s="100" t="n">
        <f aca="false">IF($F49=0,0,$J49/$F49)</f>
        <v>-0.012</v>
      </c>
      <c r="L49" s="52" t="str">
        <f aca="false">IF($J49&gt;=0,"Green",IF(ABS($K49)&lt;=0.05,"Amber","Red"))</f>
        <v>Amber</v>
      </c>
    </row>
    <row r="50" customFormat="false" ht="15" hidden="false" customHeight="true" outlineLevel="0" collapsed="false">
      <c r="A50" s="30" t="s">
        <v>624</v>
      </c>
      <c r="B50" s="30"/>
      <c r="C50" s="30"/>
      <c r="D50" s="31" t="n">
        <f aca="false">SUMPRODUCT(Cost_Financials!$C$70:$C$157,(Cost_Financials!$E$70:$E$157=$A50)*1,Cost_Financials!$F$70:$F$157)</f>
        <v>42795044</v>
      </c>
      <c r="E50" s="31" t="n">
        <f aca="false">SUMPRODUCT(Cost_Financials!$C$70:$C$157,(Cost_Financials!$E$70:$E$157=$A50)*1,Cost_Financials!$G$70:$G$157)</f>
        <v>0</v>
      </c>
      <c r="F50" s="31" t="n">
        <f aca="false">$D50+$E50</f>
        <v>42795044</v>
      </c>
      <c r="G50" s="31" t="n">
        <f aca="false">SUMPRODUCT(Cost_Financials!$C$70:$C$157,(Cost_Financials!$E$70:$E$157=$A50)*1,Cost_Financials!$I$70:$I$157)</f>
        <v>18015644</v>
      </c>
      <c r="H50" s="31" t="n">
        <f aca="false">SUMPRODUCT(Cost_Financials!$C$70:$C$157,(Cost_Financials!$E$70:$E$157=$A50)*1,Cost_Financials!$H$70:$H$157)</f>
        <v>2607026</v>
      </c>
      <c r="I50" s="31" t="n">
        <f aca="false">SUMPRODUCT(Cost_Financials!$C$70:$C$157,(Cost_Financials!$E$70:$E$157=$A50)*1,Cost_Financials!$J$70:$J$157)</f>
        <v>43308584.528</v>
      </c>
      <c r="J50" s="31" t="n">
        <f aca="false">$F50-$I50</f>
        <v>-513540.527999997</v>
      </c>
      <c r="K50" s="87" t="n">
        <f aca="false">IF($F50=0,0,$J50/$F50)</f>
        <v>-0.0119999999999999</v>
      </c>
      <c r="L50" s="46" t="str">
        <f aca="false">IF($J50&gt;=0,"Green",IF(ABS($K50)&lt;=0.05,"Amber","Red"))</f>
        <v>Amber</v>
      </c>
    </row>
    <row r="51" customFormat="false" ht="15" hidden="false" customHeight="true" outlineLevel="0" collapsed="false">
      <c r="A51" s="37" t="s">
        <v>625</v>
      </c>
      <c r="B51" s="37"/>
      <c r="C51" s="37"/>
      <c r="D51" s="49" t="n">
        <f aca="false">SUMPRODUCT(Cost_Financials!$C$70:$C$157,(Cost_Financials!$E$70:$E$157=$A51)*1,Cost_Financials!$F$70:$F$157)</f>
        <v>64192564</v>
      </c>
      <c r="E51" s="49" t="n">
        <f aca="false">SUMPRODUCT(Cost_Financials!$C$70:$C$157,(Cost_Financials!$E$70:$E$157=$A51)*1,Cost_Financials!$G$70:$G$157)</f>
        <v>0</v>
      </c>
      <c r="F51" s="49" t="n">
        <f aca="false">$D51+$E51</f>
        <v>64192564</v>
      </c>
      <c r="G51" s="49" t="n">
        <f aca="false">SUMPRODUCT(Cost_Financials!$C$70:$C$157,(Cost_Financials!$E$70:$E$157=$A51)*1,Cost_Financials!$I$70:$I$157)</f>
        <v>22019118</v>
      </c>
      <c r="H51" s="49" t="n">
        <f aca="false">SUMPRODUCT(Cost_Financials!$C$70:$C$157,(Cost_Financials!$E$70:$E$157=$A51)*1,Cost_Financials!$H$70:$H$157)</f>
        <v>7347074</v>
      </c>
      <c r="I51" s="49" t="n">
        <f aca="false">SUMPRODUCT(Cost_Financials!$C$70:$C$157,(Cost_Financials!$E$70:$E$157=$A51)*1,Cost_Financials!$J$70:$J$157)</f>
        <v>64962874.768</v>
      </c>
      <c r="J51" s="49" t="n">
        <f aca="false">$F51-$I51</f>
        <v>-770310.767999999</v>
      </c>
      <c r="K51" s="100" t="n">
        <f aca="false">IF($F51=0,0,$J51/$F51)</f>
        <v>-0.012</v>
      </c>
      <c r="L51" s="52" t="str">
        <f aca="false">IF($J51&gt;=0,"Green",IF(ABS($K51)&lt;=0.05,"Amber","Red"))</f>
        <v>Amber</v>
      </c>
    </row>
    <row r="52" customFormat="false" ht="15" hidden="false" customHeight="true" outlineLevel="0" collapsed="false">
      <c r="A52" s="30" t="s">
        <v>626</v>
      </c>
      <c r="B52" s="30"/>
      <c r="C52" s="30"/>
      <c r="D52" s="31" t="n">
        <f aca="false">SUMPRODUCT(Cost_Financials!$C$70:$C$157,(Cost_Financials!$E$70:$E$157=$A52)*1,Cost_Financials!$F$70:$F$157)</f>
        <v>359478362</v>
      </c>
      <c r="E52" s="31" t="n">
        <f aca="false">SUMPRODUCT(Cost_Financials!$C$70:$C$157,(Cost_Financials!$E$70:$E$157=$A52)*1,Cost_Financials!$G$70:$G$157)</f>
        <v>0</v>
      </c>
      <c r="F52" s="31" t="n">
        <f aca="false">$D52+$E52</f>
        <v>359478362</v>
      </c>
      <c r="G52" s="31" t="n">
        <f aca="false">SUMPRODUCT(Cost_Financials!$C$70:$C$157,(Cost_Financials!$E$70:$E$157=$A52)*1,Cost_Financials!$I$70:$I$157)</f>
        <v>188163384</v>
      </c>
      <c r="H52" s="31" t="n">
        <f aca="false">SUMPRODUCT(Cost_Financials!$C$70:$C$157,(Cost_Financials!$E$70:$E$157=$A52)*1,Cost_Financials!$H$70:$H$157)</f>
        <v>61620627</v>
      </c>
      <c r="I52" s="31" t="n">
        <f aca="false">SUMPRODUCT(Cost_Financials!$C$70:$C$157,(Cost_Financials!$E$70:$E$157=$A52)*1,Cost_Financials!$J$70:$J$157)</f>
        <v>363792102.344</v>
      </c>
      <c r="J52" s="31" t="n">
        <f aca="false">$F52-$I52</f>
        <v>-4313740.34399998</v>
      </c>
      <c r="K52" s="87" t="n">
        <f aca="false">IF($F52=0,0,$J52/$F52)</f>
        <v>-0.012</v>
      </c>
      <c r="L52" s="46" t="str">
        <f aca="false">IF($J52&gt;=0,"Green",IF(ABS($K52)&lt;=0.05,"Amber","Red"))</f>
        <v>Amber</v>
      </c>
    </row>
    <row r="53" customFormat="false" ht="15" hidden="false" customHeight="true" outlineLevel="0" collapsed="false">
      <c r="A53" s="37" t="s">
        <v>627</v>
      </c>
      <c r="B53" s="37"/>
      <c r="C53" s="37"/>
      <c r="D53" s="49" t="n">
        <f aca="false">SUMPRODUCT(Cost_Financials!$C$70:$C$157,(Cost_Financials!$E$70:$E$157=$A53)*1,Cost_Financials!$F$70:$F$157)</f>
        <v>171180172</v>
      </c>
      <c r="E53" s="49" t="n">
        <f aca="false">SUMPRODUCT(Cost_Financials!$C$70:$C$157,(Cost_Financials!$E$70:$E$157=$A53)*1,Cost_Financials!$G$70:$G$157)</f>
        <v>0</v>
      </c>
      <c r="F53" s="49" t="n">
        <f aca="false">$D53+$E53</f>
        <v>171180172</v>
      </c>
      <c r="G53" s="49" t="n">
        <f aca="false">SUMPRODUCT(Cost_Financials!$C$70:$C$157,(Cost_Financials!$E$70:$E$157=$A53)*1,Cost_Financials!$I$70:$I$157)</f>
        <v>86074740</v>
      </c>
      <c r="H53" s="49" t="n">
        <f aca="false">SUMPRODUCT(Cost_Financials!$C$70:$C$157,(Cost_Financials!$E$70:$E$157=$A53)*1,Cost_Financials!$H$70:$H$157)</f>
        <v>17775181</v>
      </c>
      <c r="I53" s="49" t="n">
        <f aca="false">SUMPRODUCT(Cost_Financials!$C$70:$C$157,(Cost_Financials!$E$70:$E$157=$A53)*1,Cost_Financials!$J$70:$J$157)</f>
        <v>173234334.064</v>
      </c>
      <c r="J53" s="49" t="n">
        <f aca="false">$F53-$I53</f>
        <v>-2054162.06400001</v>
      </c>
      <c r="K53" s="100" t="n">
        <f aca="false">IF($F53=0,0,$J53/$F53)</f>
        <v>-0.0120000000000001</v>
      </c>
      <c r="L53" s="52" t="str">
        <f aca="false">IF($J53&gt;=0,"Green",IF(ABS($K53)&lt;=0.05,"Amber","Red"))</f>
        <v>Amber</v>
      </c>
    </row>
    <row r="54" customFormat="false" ht="15" hidden="false" customHeight="true" outlineLevel="0" collapsed="false">
      <c r="A54" s="30" t="s">
        <v>628</v>
      </c>
      <c r="B54" s="30"/>
      <c r="C54" s="30"/>
      <c r="D54" s="31" t="n">
        <f aca="false">SUMPRODUCT(Cost_Financials!$C$70:$C$157,(Cost_Financials!$E$70:$E$157=$A54)*1,Cost_Financials!$F$70:$F$157)</f>
        <v>38515540</v>
      </c>
      <c r="E54" s="31" t="n">
        <f aca="false">SUMPRODUCT(Cost_Financials!$C$70:$C$157,(Cost_Financials!$E$70:$E$157=$A54)*1,Cost_Financials!$G$70:$G$157)</f>
        <v>0</v>
      </c>
      <c r="F54" s="31" t="n">
        <f aca="false">$D54+$E54</f>
        <v>38515540</v>
      </c>
      <c r="G54" s="31" t="n">
        <f aca="false">SUMPRODUCT(Cost_Financials!$C$70:$C$157,(Cost_Financials!$E$70:$E$157=$A54)*1,Cost_Financials!$I$70:$I$157)</f>
        <v>16013906</v>
      </c>
      <c r="H54" s="31" t="n">
        <f aca="false">SUMPRODUCT(Cost_Financials!$C$70:$C$157,(Cost_Financials!$E$70:$E$157=$A54)*1,Cost_Financials!$H$70:$H$157)</f>
        <v>4503046</v>
      </c>
      <c r="I54" s="31" t="n">
        <f aca="false">SUMPRODUCT(Cost_Financials!$C$70:$C$157,(Cost_Financials!$E$70:$E$157=$A54)*1,Cost_Financials!$J$70:$J$157)</f>
        <v>38977726.48</v>
      </c>
      <c r="J54" s="31" t="n">
        <f aca="false">$F54-$I54</f>
        <v>-462186.480000004</v>
      </c>
      <c r="K54" s="87" t="n">
        <f aca="false">IF($F54=0,0,$J54/$F54)</f>
        <v>-0.0120000000000001</v>
      </c>
      <c r="L54" s="46" t="str">
        <f aca="false">IF($J54&gt;=0,"Green",IF(ABS($K54)&lt;=0.05,"Amber","Red"))</f>
        <v>Amber</v>
      </c>
    </row>
    <row r="55" customFormat="false" ht="15" hidden="false" customHeight="true" outlineLevel="0" collapsed="false">
      <c r="A55" s="37" t="s">
        <v>629</v>
      </c>
      <c r="B55" s="37"/>
      <c r="C55" s="37"/>
      <c r="D55" s="49" t="n">
        <f aca="false">SUMPRODUCT(Cost_Financials!$C$70:$C$157,(Cost_Financials!$E$70:$E$157=$A55)*1,Cost_Financials!$F$70:$F$157)</f>
        <v>18829818</v>
      </c>
      <c r="E55" s="49" t="n">
        <f aca="false">SUMPRODUCT(Cost_Financials!$C$70:$C$157,(Cost_Financials!$E$70:$E$157=$A55)*1,Cost_Financials!$G$70:$G$157)</f>
        <v>0</v>
      </c>
      <c r="F55" s="49" t="n">
        <f aca="false">$D55+$E55</f>
        <v>18829818</v>
      </c>
      <c r="G55" s="49" t="n">
        <f aca="false">SUMPRODUCT(Cost_Financials!$C$70:$C$157,(Cost_Financials!$E$70:$E$157=$A55)*1,Cost_Financials!$I$70:$I$157)</f>
        <v>8006953</v>
      </c>
      <c r="H55" s="49" t="n">
        <f aca="false">SUMPRODUCT(Cost_Financials!$C$70:$C$157,(Cost_Financials!$E$70:$E$157=$A55)*1,Cost_Financials!$H$70:$H$157)</f>
        <v>2607026</v>
      </c>
      <c r="I55" s="49" t="n">
        <f aca="false">SUMPRODUCT(Cost_Financials!$C$70:$C$157,(Cost_Financials!$E$70:$E$157=$A55)*1,Cost_Financials!$J$70:$J$157)</f>
        <v>19055775.816</v>
      </c>
      <c r="J55" s="49" t="n">
        <f aca="false">$F55-$I55</f>
        <v>-225957.816</v>
      </c>
      <c r="K55" s="100" t="n">
        <f aca="false">IF($F55=0,0,$J55/$F55)</f>
        <v>-0.012</v>
      </c>
      <c r="L55" s="52" t="str">
        <f aca="false">IF($J55&gt;=0,"Green",IF(ABS($K55)&lt;=0.05,"Amber","Red"))</f>
        <v>Amber</v>
      </c>
    </row>
    <row r="56" customFormat="false" ht="15" hidden="false" customHeight="true" outlineLevel="0" collapsed="false">
      <c r="A56" s="30" t="s">
        <v>630</v>
      </c>
      <c r="B56" s="30"/>
      <c r="C56" s="30"/>
      <c r="D56" s="31" t="n">
        <f aca="false">SUMPRODUCT(Cost_Financials!$C$70:$C$157,(Cost_Financials!$E$70:$E$157=$A56)*1,Cost_Financials!$F$70:$F$157)</f>
        <v>22253423</v>
      </c>
      <c r="E56" s="31" t="n">
        <f aca="false">SUMPRODUCT(Cost_Financials!$C$70:$C$157,(Cost_Financials!$E$70:$E$157=$A56)*1,Cost_Financials!$G$70:$G$157)</f>
        <v>0</v>
      </c>
      <c r="F56" s="31" t="n">
        <f aca="false">$D56+$E56</f>
        <v>22253423</v>
      </c>
      <c r="G56" s="31" t="n">
        <f aca="false">SUMPRODUCT(Cost_Financials!$C$70:$C$157,(Cost_Financials!$E$70:$E$157=$A56)*1,Cost_Financials!$I$70:$I$157)</f>
        <v>8006953</v>
      </c>
      <c r="H56" s="31" t="n">
        <f aca="false">SUMPRODUCT(Cost_Financials!$C$70:$C$157,(Cost_Financials!$E$70:$E$157=$A56)*1,Cost_Financials!$H$70:$H$157)</f>
        <v>2725527</v>
      </c>
      <c r="I56" s="31" t="n">
        <f aca="false">SUMPRODUCT(Cost_Financials!$C$70:$C$157,(Cost_Financials!$E$70:$E$157=$A56)*1,Cost_Financials!$J$70:$J$157)</f>
        <v>22520464.076</v>
      </c>
      <c r="J56" s="31" t="n">
        <f aca="false">$F56-$I56</f>
        <v>-267041.076000001</v>
      </c>
      <c r="K56" s="87" t="n">
        <f aca="false">IF($F56=0,0,$J56/$F56)</f>
        <v>-0.0120000000000001</v>
      </c>
      <c r="L56" s="46" t="str">
        <f aca="false">IF($J56&gt;=0,"Green",IF(ABS($K56)&lt;=0.05,"Amber","Red"))</f>
        <v>Amber</v>
      </c>
    </row>
    <row r="57" customFormat="false" ht="15" hidden="false" customHeight="true" outlineLevel="0" collapsed="false">
      <c r="A57" s="37" t="s">
        <v>631</v>
      </c>
      <c r="B57" s="37"/>
      <c r="C57" s="37"/>
      <c r="D57" s="49" t="n">
        <f aca="false">SUMPRODUCT(Cost_Financials!$C$70:$C$157,(Cost_Financials!$E$70:$E$157=$A57)*1,Cost_Financials!$F$70:$F$157)</f>
        <v>25677025</v>
      </c>
      <c r="E57" s="49" t="n">
        <f aca="false">SUMPRODUCT(Cost_Financials!$C$70:$C$157,(Cost_Financials!$E$70:$E$157=$A57)*1,Cost_Financials!$G$70:$G$157)</f>
        <v>0</v>
      </c>
      <c r="F57" s="49" t="n">
        <f aca="false">$D57+$E57</f>
        <v>25677025</v>
      </c>
      <c r="G57" s="49" t="n">
        <f aca="false">SUMPRODUCT(Cost_Financials!$C$70:$C$157,(Cost_Financials!$E$70:$E$157=$A57)*1,Cost_Financials!$I$70:$I$157)</f>
        <v>0</v>
      </c>
      <c r="H57" s="49" t="n">
        <f aca="false">SUMPRODUCT(Cost_Financials!$C$70:$C$157,(Cost_Financials!$E$70:$E$157=$A57)*1,Cost_Financials!$H$70:$H$157)</f>
        <v>0</v>
      </c>
      <c r="I57" s="49" t="n">
        <f aca="false">SUMPRODUCT(Cost_Financials!$C$70:$C$157,(Cost_Financials!$E$70:$E$157=$A57)*1,Cost_Financials!$J$70:$J$157)</f>
        <v>25985149.3</v>
      </c>
      <c r="J57" s="49" t="n">
        <f aca="false">$F57-$I57</f>
        <v>-308124.300000001</v>
      </c>
      <c r="K57" s="100" t="n">
        <f aca="false">IF($F57=0,0,$J57/$F57)</f>
        <v>-0.012</v>
      </c>
      <c r="L57" s="52" t="str">
        <f aca="false">IF($J57&gt;=0,"Green",IF(ABS($K57)&lt;=0.05,"Amber","Red"))</f>
        <v>Amber</v>
      </c>
    </row>
    <row r="58" customFormat="false" ht="15" hidden="false" customHeight="true" outlineLevel="0" collapsed="false">
      <c r="A58" s="30" t="s">
        <v>632</v>
      </c>
      <c r="B58" s="30"/>
      <c r="C58" s="30"/>
      <c r="D58" s="31" t="n">
        <f aca="false">SUMPRODUCT(Cost_Financials!$C$70:$C$157,(Cost_Financials!$E$70:$E$157=$A58)*1,Cost_Financials!$F$70:$F$157)</f>
        <v>0</v>
      </c>
      <c r="E58" s="31" t="n">
        <f aca="false">SUMPRODUCT(Cost_Financials!$C$70:$C$157,(Cost_Financials!$E$70:$E$157=$A58)*1,Cost_Financials!$G$70:$G$157)</f>
        <v>12065473</v>
      </c>
      <c r="F58" s="31" t="n">
        <f aca="false">$D58+$E58</f>
        <v>12065473</v>
      </c>
      <c r="G58" s="31" t="n">
        <f aca="false">SUMPRODUCT(Cost_Financials!$C$70:$C$157,(Cost_Financials!$E$70:$E$157=$A58)*1,Cost_Financials!$I$70:$I$157)</f>
        <v>6636011</v>
      </c>
      <c r="H58" s="31" t="n">
        <f aca="false">SUMPRODUCT(Cost_Financials!$C$70:$C$157,(Cost_Financials!$E$70:$E$157=$A58)*1,Cost_Financials!$H$70:$H$157)</f>
        <v>1711234</v>
      </c>
      <c r="I58" s="31" t="n">
        <f aca="false">SUMPRODUCT(Cost_Financials!$C$70:$C$157,(Cost_Financials!$E$70:$E$157=$A58)*1,Cost_Financials!$J$70:$J$157)</f>
        <v>12210258.676</v>
      </c>
      <c r="J58" s="31" t="n">
        <f aca="false">$F58-$I58</f>
        <v>-144785.676000001</v>
      </c>
      <c r="K58" s="87" t="n">
        <f aca="false">IF($F58=0,0,$J58/$F58)</f>
        <v>-0.0120000000000001</v>
      </c>
      <c r="L58" s="46" t="str">
        <f aca="false">IF($J58&gt;=0,"Green",IF(ABS($K58)&lt;=0.05,"Amber","Red"))</f>
        <v>Amber</v>
      </c>
    </row>
    <row r="59" customFormat="false" ht="18" hidden="false" customHeight="true" outlineLevel="0" collapsed="false">
      <c r="A59" s="27" t="s">
        <v>633</v>
      </c>
      <c r="B59" s="27"/>
      <c r="C59" s="27"/>
      <c r="D59" s="28" t="n">
        <f aca="false">SUM($D$48:$D$58)</f>
        <v>855900862</v>
      </c>
      <c r="E59" s="28" t="n">
        <f aca="false">SUM($E$48:$E$58)</f>
        <v>12065473</v>
      </c>
      <c r="F59" s="28" t="n">
        <f aca="false">SUM($F$48:$F$58)</f>
        <v>867966335</v>
      </c>
      <c r="G59" s="28" t="n">
        <f aca="false">SUM($G$48:$G$58)</f>
        <v>406983639</v>
      </c>
      <c r="H59" s="28" t="n">
        <f aca="false">SUM($H$48:$H$58)</f>
        <v>122819465</v>
      </c>
      <c r="I59" s="28" t="n">
        <f aca="false">SUM($I$48:$I$58)</f>
        <v>878381931.02</v>
      </c>
      <c r="J59" s="28" t="n">
        <f aca="false">SUM($J$48:$J$58)</f>
        <v>-10415596.02</v>
      </c>
      <c r="K59" s="104" t="n">
        <f aca="false">IF($F59=0,0,$J59/$F59)</f>
        <v>-0.012</v>
      </c>
      <c r="L59" s="145" t="str">
        <f aca="false">IF($J59&gt;=0,"Green",IF(ABS($K59)&lt;=0.05,"Amber","Red"))</f>
        <v>Amber</v>
      </c>
    </row>
    <row r="60" customFormat="false" ht="15" hidden="false" customHeight="true" outlineLevel="0" collapsed="false">
      <c r="A60" s="5"/>
      <c r="B60" s="5"/>
      <c r="C60" s="5"/>
      <c r="D60" s="5"/>
      <c r="E60" s="5"/>
      <c r="F60" s="5"/>
      <c r="G60" s="5"/>
      <c r="H60" s="5"/>
      <c r="I60" s="5"/>
      <c r="J60" s="5"/>
      <c r="K60" s="5"/>
      <c r="L60" s="5"/>
    </row>
    <row r="61" customFormat="false" ht="19.5" hidden="false" customHeight="true" outlineLevel="0" collapsed="false">
      <c r="A61" s="13" t="s">
        <v>634</v>
      </c>
      <c r="B61" s="13"/>
      <c r="C61" s="13"/>
      <c r="D61" s="13"/>
      <c r="E61" s="13"/>
      <c r="F61" s="13"/>
      <c r="G61" s="13"/>
      <c r="H61" s="13"/>
      <c r="I61" s="13"/>
      <c r="J61" s="13"/>
      <c r="K61" s="13"/>
      <c r="L61" s="13"/>
    </row>
    <row r="62" customFormat="false" ht="16.5" hidden="false" customHeight="true" outlineLevel="0" collapsed="false">
      <c r="A62" s="53" t="s">
        <v>635</v>
      </c>
      <c r="B62" s="53"/>
      <c r="C62" s="117" t="n">
        <f aca="false">Cost_Financials!$F$10+SUMPRODUCT(Projects!$AM$9:$AM$16,Projects!$R$9:$R$16,Projects!$AD$9:$AD$16)</f>
        <v>172253425.5</v>
      </c>
      <c r="D62" s="5"/>
      <c r="E62" s="53" t="s">
        <v>636</v>
      </c>
      <c r="F62" s="117" t="n">
        <f aca="false">SUMPRODUCT(Projects!$AM$9:$AM$16,Projects!$AJ$9:$AJ$16)</f>
        <v>14213300</v>
      </c>
      <c r="G62" s="117"/>
      <c r="H62" s="5"/>
      <c r="I62" s="53" t="s">
        <v>554</v>
      </c>
      <c r="J62" s="117" t="n">
        <f aca="false">$C$62-$F$62</f>
        <v>158040125.5</v>
      </c>
      <c r="K62" s="117"/>
      <c r="L62" s="160"/>
    </row>
    <row r="63" customFormat="false" ht="16.5" hidden="false" customHeight="true" outlineLevel="0" collapsed="false">
      <c r="A63" s="53" t="s">
        <v>552</v>
      </c>
      <c r="B63" s="53"/>
      <c r="C63" s="117" t="n">
        <f aca="false">$C$11</f>
        <v>0</v>
      </c>
      <c r="D63" s="5"/>
      <c r="E63" s="53" t="s">
        <v>548</v>
      </c>
      <c r="F63" s="117" t="n">
        <f aca="false">$J$9</f>
        <v>35739450.3739307</v>
      </c>
      <c r="G63" s="117"/>
      <c r="H63" s="5"/>
      <c r="I63" s="53" t="s">
        <v>637</v>
      </c>
      <c r="J63" s="117" t="n">
        <f aca="false">$C$63+$F$63</f>
        <v>35739450.3739307</v>
      </c>
      <c r="K63" s="117"/>
      <c r="L63" s="160"/>
    </row>
    <row r="64" customFormat="false" ht="16.5" hidden="false" customHeight="true" outlineLevel="0" collapsed="false">
      <c r="A64" s="53" t="s">
        <v>638</v>
      </c>
      <c r="B64" s="53"/>
      <c r="C64" s="117" t="n">
        <f aca="false">Cost_Financials!$F$9-Cost_Financials!$F$10</f>
        <v>16277485</v>
      </c>
      <c r="D64" s="5"/>
      <c r="E64" s="53" t="s">
        <v>639</v>
      </c>
      <c r="F64" s="117" t="n">
        <f aca="false">$C$10-Cost_Financials!$F$9</f>
        <v>8551823</v>
      </c>
      <c r="G64" s="117"/>
      <c r="H64" s="5"/>
      <c r="I64" s="53" t="s">
        <v>553</v>
      </c>
      <c r="J64" s="117" t="n">
        <f aca="false">$F$11</f>
        <v>72583333.5</v>
      </c>
      <c r="K64" s="117"/>
      <c r="L64" s="160"/>
    </row>
    <row r="65" customFormat="false" ht="16.5" hidden="false" customHeight="true" outlineLevel="0" collapsed="false">
      <c r="A65" s="53" t="s">
        <v>640</v>
      </c>
      <c r="B65" s="53"/>
      <c r="C65" s="121" t="n">
        <f aca="false">IF(Cost_Financials!$F$9=0,0,Cost_Financials!$F$10/Cost_Financials!$F$9)</f>
        <v>0.839999993315921</v>
      </c>
      <c r="D65" s="5"/>
      <c r="E65" s="53" t="s">
        <v>641</v>
      </c>
      <c r="F65" s="121" t="n">
        <f aca="false">IF(Master_Tracker!$C$12=0,0,($J$62-$J$64)/Master_Tracker!$C$12)</f>
        <v>0.086213021936592</v>
      </c>
      <c r="G65" s="121"/>
      <c r="H65" s="5"/>
      <c r="I65" s="53" t="s">
        <v>642</v>
      </c>
      <c r="J65" s="167" t="str">
        <f aca="false">IF(($J$62-$J$64)&lt;=$C$9,"Green",IF(($J$62-$J$64)&lt;=$C$9*1.05,"Amber","Red"))</f>
        <v>Green</v>
      </c>
      <c r="K65" s="167"/>
      <c r="L65" s="160"/>
    </row>
    <row r="66" customFormat="false" ht="15" hidden="false" customHeight="true" outlineLevel="0" collapsed="false">
      <c r="A66" s="5"/>
      <c r="B66" s="5"/>
      <c r="C66" s="5"/>
      <c r="D66" s="5"/>
      <c r="E66" s="5"/>
      <c r="F66" s="5"/>
      <c r="G66" s="5"/>
      <c r="H66" s="5"/>
      <c r="I66" s="5"/>
      <c r="J66" s="5"/>
      <c r="K66" s="5"/>
      <c r="L66" s="5"/>
    </row>
    <row r="67" customFormat="false" ht="19.5" hidden="false" customHeight="true" outlineLevel="0" collapsed="false">
      <c r="A67" s="13" t="s">
        <v>643</v>
      </c>
      <c r="B67" s="13"/>
      <c r="C67" s="13"/>
      <c r="D67" s="13"/>
      <c r="E67" s="13"/>
      <c r="F67" s="13"/>
      <c r="G67" s="13"/>
      <c r="H67" s="13"/>
      <c r="I67" s="13"/>
      <c r="J67" s="13"/>
      <c r="K67" s="13"/>
      <c r="L67" s="13"/>
    </row>
    <row r="68" customFormat="false" ht="13.5" hidden="false" customHeight="true" outlineLevel="0" collapsed="false">
      <c r="A68" s="80" t="s">
        <v>644</v>
      </c>
      <c r="B68" s="80"/>
      <c r="C68" s="80"/>
      <c r="D68" s="80"/>
      <c r="E68" s="80"/>
      <c r="F68" s="80"/>
      <c r="G68" s="80"/>
      <c r="H68" s="80"/>
      <c r="I68" s="80"/>
      <c r="J68" s="80"/>
      <c r="K68" s="80"/>
      <c r="L68" s="80"/>
    </row>
    <row r="69" customFormat="false" ht="33.75" hidden="false" customHeight="true" outlineLevel="0" collapsed="false">
      <c r="A69" s="23" t="s">
        <v>256</v>
      </c>
      <c r="B69" s="23" t="s">
        <v>5</v>
      </c>
      <c r="C69" s="23" t="s">
        <v>289</v>
      </c>
      <c r="D69" s="23"/>
      <c r="E69" s="23" t="s">
        <v>614</v>
      </c>
      <c r="F69" s="23" t="s">
        <v>615</v>
      </c>
      <c r="G69" s="23" t="s">
        <v>616</v>
      </c>
      <c r="H69" s="23" t="s">
        <v>618</v>
      </c>
      <c r="I69" s="23" t="s">
        <v>276</v>
      </c>
      <c r="J69" s="23" t="s">
        <v>619</v>
      </c>
      <c r="K69" s="23" t="s">
        <v>621</v>
      </c>
      <c r="L69" s="23" t="s">
        <v>288</v>
      </c>
    </row>
    <row r="70" customFormat="false" ht="13.5" hidden="false" customHeight="true" outlineLevel="0" collapsed="false">
      <c r="A70" s="149" t="s">
        <v>8</v>
      </c>
      <c r="B70" s="150" t="str">
        <f aca="false">IFERROR(INDEX(Projects!$C$9:$C$16,MATCH($A70,Projects!$A$9:$A$16,0)),"")</f>
        <v>Residential</v>
      </c>
      <c r="C70" s="94" t="n">
        <f aca="false">IF(Dashboard!$C$6="Corporate",1,IF(Dashboard!$C$6="Project",IF($A70=Dashboard!$M$6,1,0),IF($B70=Dashboard!$H$6,1,0)))</f>
        <v>1</v>
      </c>
      <c r="D70" s="160"/>
      <c r="E70" s="30" t="s">
        <v>622</v>
      </c>
      <c r="F70" s="86" t="n">
        <f aca="false">'PT_RES-01'!$E$47</f>
        <v>6032083</v>
      </c>
      <c r="G70" s="92" t="n">
        <v>0</v>
      </c>
      <c r="H70" s="86" t="n">
        <f aca="false">'PT_RES-01'!$G$47</f>
        <v>1337463</v>
      </c>
      <c r="I70" s="86" t="n">
        <f aca="false">'PT_RES-01'!$H$47</f>
        <v>3023043</v>
      </c>
      <c r="J70" s="31" t="n">
        <f aca="false">($F70+$G70)*1.012</f>
        <v>6104467.996</v>
      </c>
      <c r="K70" s="87" t="n">
        <f aca="false">IF(($F70+$G70)=0,0,(($F70+$G70)-$J70)/($F70+$G70))</f>
        <v>-0.012</v>
      </c>
      <c r="L70" s="46" t="str">
        <f aca="false">IF($K70&gt;=0,"Green",IF(ABS($K70)&lt;=0.05,"Amber","Red"))</f>
        <v>Amber</v>
      </c>
    </row>
    <row r="71" customFormat="false" ht="13.5" hidden="false" customHeight="true" outlineLevel="0" collapsed="false">
      <c r="A71" s="47" t="s">
        <v>8</v>
      </c>
      <c r="B71" s="154" t="str">
        <f aca="false">IFERROR(INDEX(Projects!$C$9:$C$16,MATCH($A71,Projects!$A$9:$A$16,0)),"")</f>
        <v>Residential</v>
      </c>
      <c r="C71" s="155" t="n">
        <f aca="false">IF(Dashboard!$C$6="Corporate",1,IF(Dashboard!$C$6="Project",IF($A71=Dashboard!$M$6,1,0),IF($B71=Dashboard!$H$6,1,0)))</f>
        <v>1</v>
      </c>
      <c r="D71" s="168"/>
      <c r="E71" s="37" t="s">
        <v>623</v>
      </c>
      <c r="F71" s="99" t="n">
        <f aca="false">'PT_RES-01'!$E$48</f>
        <v>5342702</v>
      </c>
      <c r="G71" s="99" t="n">
        <v>0</v>
      </c>
      <c r="H71" s="99" t="n">
        <f aca="false">'PT_RES-01'!$G$48</f>
        <v>1136843</v>
      </c>
      <c r="I71" s="99" t="n">
        <f aca="false">'PT_RES-01'!$H$48</f>
        <v>2418434</v>
      </c>
      <c r="J71" s="49" t="n">
        <f aca="false">($F71+$G71)*1.012</f>
        <v>5406814.424</v>
      </c>
      <c r="K71" s="100" t="n">
        <f aca="false">IF(($F71+$G71)=0,0,(($F71+$G71)-$J71)/($F71+$G71))</f>
        <v>-0.0119999999999999</v>
      </c>
      <c r="L71" s="52" t="str">
        <f aca="false">IF($K71&gt;=0,"Green",IF(ABS($K71)&lt;=0.05,"Amber","Red"))</f>
        <v>Amber</v>
      </c>
    </row>
    <row r="72" customFormat="false" ht="13.5" hidden="false" customHeight="true" outlineLevel="0" collapsed="false">
      <c r="A72" s="149" t="s">
        <v>8</v>
      </c>
      <c r="B72" s="150" t="str">
        <f aca="false">IFERROR(INDEX(Projects!$C$9:$C$16,MATCH($A72,Projects!$A$9:$A$16,0)),"")</f>
        <v>Residential</v>
      </c>
      <c r="C72" s="94" t="n">
        <f aca="false">IF(Dashboard!$C$6="Corporate",1,IF(Dashboard!$C$6="Project",IF($A72=Dashboard!$M$6,1,0),IF($B72=Dashboard!$H$6,1,0)))</f>
        <v>1</v>
      </c>
      <c r="D72" s="160"/>
      <c r="E72" s="30" t="s">
        <v>624</v>
      </c>
      <c r="F72" s="86" t="n">
        <f aca="false">'PT_RES-01'!$E$49</f>
        <v>4308631</v>
      </c>
      <c r="G72" s="92" t="n">
        <v>0</v>
      </c>
      <c r="H72" s="86" t="n">
        <f aca="false">'PT_RES-01'!$G$49</f>
        <v>294242</v>
      </c>
      <c r="I72" s="86" t="n">
        <f aca="false">'PT_RES-01'!$H$49</f>
        <v>1813826</v>
      </c>
      <c r="J72" s="31" t="n">
        <f aca="false">($F72+$G72)*1.012</f>
        <v>4360334.572</v>
      </c>
      <c r="K72" s="87" t="n">
        <f aca="false">IF(($F72+$G72)=0,0,(($F72+$G72)-$J72)/($F72+$G72))</f>
        <v>-0.0119999999999999</v>
      </c>
      <c r="L72" s="46" t="str">
        <f aca="false">IF($K72&gt;=0,"Green",IF(ABS($K72)&lt;=0.05,"Amber","Red"))</f>
        <v>Amber</v>
      </c>
    </row>
    <row r="73" customFormat="false" ht="13.5" hidden="false" customHeight="true" outlineLevel="0" collapsed="false">
      <c r="A73" s="47" t="s">
        <v>8</v>
      </c>
      <c r="B73" s="154" t="str">
        <f aca="false">IFERROR(INDEX(Projects!$C$9:$C$16,MATCH($A73,Projects!$A$9:$A$16,0)),"")</f>
        <v>Residential</v>
      </c>
      <c r="C73" s="155" t="n">
        <f aca="false">IF(Dashboard!$C$6="Corporate",1,IF(Dashboard!$C$6="Project",IF($A73=Dashboard!$M$6,1,0),IF($B73=Dashboard!$H$6,1,0)))</f>
        <v>1</v>
      </c>
      <c r="D73" s="168"/>
      <c r="E73" s="37" t="s">
        <v>625</v>
      </c>
      <c r="F73" s="99" t="n">
        <f aca="false">'PT_RES-01'!$E$50</f>
        <v>6462946</v>
      </c>
      <c r="G73" s="99" t="n">
        <v>0</v>
      </c>
      <c r="H73" s="99" t="n">
        <f aca="false">'PT_RES-01'!$G$50</f>
        <v>829227</v>
      </c>
      <c r="I73" s="99" t="n">
        <f aca="false">'PT_RES-01'!$H$50</f>
        <v>2216898</v>
      </c>
      <c r="J73" s="49" t="n">
        <f aca="false">($F73+$G73)*1.012</f>
        <v>6540501.352</v>
      </c>
      <c r="K73" s="100" t="n">
        <f aca="false">IF(($F73+$G73)=0,0,(($F73+$G73)-$J73)/($F73+$G73))</f>
        <v>-0.012</v>
      </c>
      <c r="L73" s="52" t="str">
        <f aca="false">IF($K73&gt;=0,"Green",IF(ABS($K73)&lt;=0.05,"Amber","Red"))</f>
        <v>Amber</v>
      </c>
    </row>
    <row r="74" customFormat="false" ht="13.5" hidden="false" customHeight="true" outlineLevel="0" collapsed="false">
      <c r="A74" s="149" t="s">
        <v>8</v>
      </c>
      <c r="B74" s="150" t="str">
        <f aca="false">IFERROR(INDEX(Projects!$C$9:$C$16,MATCH($A74,Projects!$A$9:$A$16,0)),"")</f>
        <v>Residential</v>
      </c>
      <c r="C74" s="94" t="n">
        <f aca="false">IF(Dashboard!$C$6="Corporate",1,IF(Dashboard!$C$6="Project",IF($A74=Dashboard!$M$6,1,0),IF($B74=Dashboard!$H$6,1,0)))</f>
        <v>1</v>
      </c>
      <c r="D74" s="160"/>
      <c r="E74" s="30" t="s">
        <v>626</v>
      </c>
      <c r="F74" s="86" t="n">
        <f aca="false">'PT_RES-01'!$E$51</f>
        <v>36192497</v>
      </c>
      <c r="G74" s="92" t="n">
        <v>0</v>
      </c>
      <c r="H74" s="86" t="n">
        <f aca="false">'PT_RES-01'!$G$51</f>
        <v>6954807</v>
      </c>
      <c r="I74" s="86" t="n">
        <f aca="false">'PT_RES-01'!$H$51</f>
        <v>18944402</v>
      </c>
      <c r="J74" s="31" t="n">
        <f aca="false">($F74+$G74)*1.012</f>
        <v>36626806.964</v>
      </c>
      <c r="K74" s="87" t="n">
        <f aca="false">IF(($F74+$G74)=0,0,(($F74+$G74)-$J74)/($F74+$G74))</f>
        <v>-0.012</v>
      </c>
      <c r="L74" s="46" t="str">
        <f aca="false">IF($K74&gt;=0,"Green",IF(ABS($K74)&lt;=0.05,"Amber","Red"))</f>
        <v>Amber</v>
      </c>
    </row>
    <row r="75" customFormat="false" ht="13.5" hidden="false" customHeight="true" outlineLevel="0" collapsed="false">
      <c r="A75" s="47" t="s">
        <v>8</v>
      </c>
      <c r="B75" s="154" t="str">
        <f aca="false">IFERROR(INDEX(Projects!$C$9:$C$16,MATCH($A75,Projects!$A$9:$A$16,0)),"")</f>
        <v>Residential</v>
      </c>
      <c r="C75" s="155" t="n">
        <f aca="false">IF(Dashboard!$C$6="Corporate",1,IF(Dashboard!$C$6="Project",IF($A75=Dashboard!$M$6,1,0),IF($B75=Dashboard!$H$6,1,0)))</f>
        <v>1</v>
      </c>
      <c r="D75" s="168"/>
      <c r="E75" s="37" t="s">
        <v>627</v>
      </c>
      <c r="F75" s="99" t="n">
        <f aca="false">'PT_RES-01'!$E$52</f>
        <v>17234522</v>
      </c>
      <c r="G75" s="99" t="n">
        <v>0</v>
      </c>
      <c r="H75" s="99" t="n">
        <f aca="false">'PT_RES-01'!$G$52</f>
        <v>2006194</v>
      </c>
      <c r="I75" s="99" t="n">
        <f aca="false">'PT_RES-01'!$H$52</f>
        <v>8666056</v>
      </c>
      <c r="J75" s="49" t="n">
        <f aca="false">($F75+$G75)*1.012</f>
        <v>17441336.264</v>
      </c>
      <c r="K75" s="100" t="n">
        <f aca="false">IF(($F75+$G75)=0,0,(($F75+$G75)-$J75)/($F75+$G75))</f>
        <v>-0.0119999999999999</v>
      </c>
      <c r="L75" s="52" t="str">
        <f aca="false">IF($K75&gt;=0,"Green",IF(ABS($K75)&lt;=0.05,"Amber","Red"))</f>
        <v>Amber</v>
      </c>
    </row>
    <row r="76" customFormat="false" ht="13.5" hidden="false" customHeight="true" outlineLevel="0" collapsed="false">
      <c r="A76" s="149" t="s">
        <v>8</v>
      </c>
      <c r="B76" s="150" t="str">
        <f aca="false">IFERROR(INDEX(Projects!$C$9:$C$16,MATCH($A76,Projects!$A$9:$A$16,0)),"")</f>
        <v>Residential</v>
      </c>
      <c r="C76" s="94" t="n">
        <f aca="false">IF(Dashboard!$C$6="Corporate",1,IF(Dashboard!$C$6="Project",IF($A76=Dashboard!$M$6,1,0),IF($B76=Dashboard!$H$6,1,0)))</f>
        <v>1</v>
      </c>
      <c r="D76" s="160"/>
      <c r="E76" s="30" t="s">
        <v>628</v>
      </c>
      <c r="F76" s="86" t="n">
        <f aca="false">'PT_RES-01'!$E$53</f>
        <v>3877768</v>
      </c>
      <c r="G76" s="92" t="n">
        <v>0</v>
      </c>
      <c r="H76" s="86" t="n">
        <f aca="false">'PT_RES-01'!$G$53</f>
        <v>508236</v>
      </c>
      <c r="I76" s="86" t="n">
        <f aca="false">'PT_RES-01'!$H$53</f>
        <v>1612290</v>
      </c>
      <c r="J76" s="31" t="n">
        <f aca="false">($F76+$G76)*1.012</f>
        <v>3924301.216</v>
      </c>
      <c r="K76" s="87" t="n">
        <f aca="false">IF(($F76+$G76)=0,0,(($F76+$G76)-$J76)/($F76+$G76))</f>
        <v>-0.012</v>
      </c>
      <c r="L76" s="46" t="str">
        <f aca="false">IF($K76&gt;=0,"Green",IF(ABS($K76)&lt;=0.05,"Amber","Red"))</f>
        <v>Amber</v>
      </c>
    </row>
    <row r="77" customFormat="false" ht="13.5" hidden="false" customHeight="true" outlineLevel="0" collapsed="false">
      <c r="A77" s="47" t="s">
        <v>8</v>
      </c>
      <c r="B77" s="154" t="str">
        <f aca="false">IFERROR(INDEX(Projects!$C$9:$C$16,MATCH($A77,Projects!$A$9:$A$16,0)),"")</f>
        <v>Residential</v>
      </c>
      <c r="C77" s="155" t="n">
        <f aca="false">IF(Dashboard!$C$6="Corporate",1,IF(Dashboard!$C$6="Project",IF($A77=Dashboard!$M$6,1,0),IF($B77=Dashboard!$H$6,1,0)))</f>
        <v>1</v>
      </c>
      <c r="D77" s="168"/>
      <c r="E77" s="37" t="s">
        <v>629</v>
      </c>
      <c r="F77" s="99" t="n">
        <f aca="false">'PT_RES-01'!$E$54</f>
        <v>1895797</v>
      </c>
      <c r="G77" s="99" t="n">
        <v>0</v>
      </c>
      <c r="H77" s="99" t="n">
        <f aca="false">'PT_RES-01'!$G$54</f>
        <v>294242</v>
      </c>
      <c r="I77" s="99" t="n">
        <f aca="false">'PT_RES-01'!$H$54</f>
        <v>806145</v>
      </c>
      <c r="J77" s="49" t="n">
        <f aca="false">($F77+$G77)*1.012</f>
        <v>1918546.564</v>
      </c>
      <c r="K77" s="100" t="n">
        <f aca="false">IF(($F77+$G77)=0,0,(($F77+$G77)-$J77)/($F77+$G77))</f>
        <v>-0.012</v>
      </c>
      <c r="L77" s="52" t="str">
        <f aca="false">IF($K77&gt;=0,"Green",IF(ABS($K77)&lt;=0.05,"Amber","Red"))</f>
        <v>Amber</v>
      </c>
    </row>
    <row r="78" customFormat="false" ht="13.5" hidden="false" customHeight="true" outlineLevel="0" collapsed="false">
      <c r="A78" s="149" t="s">
        <v>8</v>
      </c>
      <c r="B78" s="150" t="str">
        <f aca="false">IFERROR(INDEX(Projects!$C$9:$C$16,MATCH($A78,Projects!$A$9:$A$16,0)),"")</f>
        <v>Residential</v>
      </c>
      <c r="C78" s="94" t="n">
        <f aca="false">IF(Dashboard!$C$6="Corporate",1,IF(Dashboard!$C$6="Project",IF($A78=Dashboard!$M$6,1,0),IF($B78=Dashboard!$H$6,1,0)))</f>
        <v>1</v>
      </c>
      <c r="D78" s="160"/>
      <c r="E78" s="30" t="s">
        <v>630</v>
      </c>
      <c r="F78" s="86" t="n">
        <f aca="false">'PT_RES-01'!$E$55</f>
        <v>2240488</v>
      </c>
      <c r="G78" s="92" t="n">
        <v>0</v>
      </c>
      <c r="H78" s="86" t="n">
        <f aca="false">'PT_RES-01'!$G$55</f>
        <v>307616</v>
      </c>
      <c r="I78" s="86" t="n">
        <f aca="false">'PT_RES-01'!$H$55</f>
        <v>806145</v>
      </c>
      <c r="J78" s="31" t="n">
        <f aca="false">($F78+$G78)*1.012</f>
        <v>2267373.856</v>
      </c>
      <c r="K78" s="87" t="n">
        <f aca="false">IF(($F78+$G78)=0,0,(($F78+$G78)-$J78)/($F78+$G78))</f>
        <v>-0.0120000000000001</v>
      </c>
      <c r="L78" s="46" t="str">
        <f aca="false">IF($K78&gt;=0,"Green",IF(ABS($K78)&lt;=0.05,"Amber","Red"))</f>
        <v>Amber</v>
      </c>
    </row>
    <row r="79" customFormat="false" ht="13.5" hidden="false" customHeight="true" outlineLevel="0" collapsed="false">
      <c r="A79" s="47" t="s">
        <v>8</v>
      </c>
      <c r="B79" s="154" t="str">
        <f aca="false">IFERROR(INDEX(Projects!$C$9:$C$16,MATCH($A79,Projects!$A$9:$A$16,0)),"")</f>
        <v>Residential</v>
      </c>
      <c r="C79" s="155" t="n">
        <f aca="false">IF(Dashboard!$C$6="Corporate",1,IF(Dashboard!$C$6="Project",IF($A79=Dashboard!$M$6,1,0),IF($B79=Dashboard!$H$6,1,0)))</f>
        <v>1</v>
      </c>
      <c r="D79" s="168"/>
      <c r="E79" s="37" t="s">
        <v>631</v>
      </c>
      <c r="F79" s="99" t="n">
        <f aca="false">'PT_RES-01'!$E$56</f>
        <v>2585178</v>
      </c>
      <c r="G79" s="99" t="n">
        <v>0</v>
      </c>
      <c r="H79" s="99" t="n">
        <f aca="false">'PT_RES-01'!$G$56</f>
        <v>0</v>
      </c>
      <c r="I79" s="99" t="n">
        <f aca="false">'PT_RES-01'!$H$56</f>
        <v>0</v>
      </c>
      <c r="J79" s="49" t="n">
        <f aca="false">($F79+$G79)*1.012</f>
        <v>2616200.136</v>
      </c>
      <c r="K79" s="100" t="n">
        <f aca="false">IF(($F79+$G79)=0,0,(($F79+$G79)-$J79)/($F79+$G79))</f>
        <v>-0.012</v>
      </c>
      <c r="L79" s="52" t="str">
        <f aca="false">IF($K79&gt;=0,"Green",IF(ABS($K79)&lt;=0.05,"Amber","Red"))</f>
        <v>Amber</v>
      </c>
    </row>
    <row r="80" customFormat="false" ht="13.5" hidden="false" customHeight="true" outlineLevel="0" collapsed="false">
      <c r="A80" s="149" t="s">
        <v>8</v>
      </c>
      <c r="B80" s="150" t="str">
        <f aca="false">IFERROR(INDEX(Projects!$C$9:$C$16,MATCH($A80,Projects!$A$9:$A$16,0)),"")</f>
        <v>Residential</v>
      </c>
      <c r="C80" s="94" t="n">
        <f aca="false">IF(Dashboard!$C$6="Corporate",1,IF(Dashboard!$C$6="Project",IF($A80=Dashboard!$M$6,1,0),IF($B80=Dashboard!$H$6,1,0)))</f>
        <v>1</v>
      </c>
      <c r="D80" s="160"/>
      <c r="E80" s="30" t="s">
        <v>632</v>
      </c>
      <c r="F80" s="86" t="n">
        <f aca="false">'PT_RES-01'!$E$57</f>
        <v>0</v>
      </c>
      <c r="G80" s="158" t="n">
        <f aca="false">SUMIFS(Variation_Orders!$K$9:$K$32,Variation_Orders!$A$9:$A$32,$A80,Variation_Orders!$T$9:$T$32,"Approved")</f>
        <v>1595173</v>
      </c>
      <c r="H80" s="86" t="n">
        <f aca="false">'PT_RES-01'!$G$57</f>
        <v>258291</v>
      </c>
      <c r="I80" s="86" t="n">
        <f aca="false">'PT_RES-01'!$H$57</f>
        <v>877345</v>
      </c>
      <c r="J80" s="31" t="n">
        <f aca="false">($F80+$G80)*1.012</f>
        <v>1614315.076</v>
      </c>
      <c r="K80" s="87" t="n">
        <f aca="false">IF(($F80+$G80)=0,0,(($F80+$G80)-$J80)/($F80+$G80))</f>
        <v>-0.0120000000000001</v>
      </c>
      <c r="L80" s="46" t="str">
        <f aca="false">IF($K80&gt;=0,"Green",IF(ABS($K80)&lt;=0.05,"Amber","Red"))</f>
        <v>Amber</v>
      </c>
    </row>
    <row r="81" customFormat="false" ht="13.5" hidden="false" customHeight="true" outlineLevel="0" collapsed="false">
      <c r="A81" s="47" t="s">
        <v>293</v>
      </c>
      <c r="B81" s="154" t="str">
        <f aca="false">IFERROR(INDEX(Projects!$C$9:$C$16,MATCH($A81,Projects!$A$9:$A$16,0)),"")</f>
        <v>Residential</v>
      </c>
      <c r="C81" s="155" t="n">
        <f aca="false">IF(Dashboard!$C$6="Corporate",1,IF(Dashboard!$C$6="Project",IF($A81=Dashboard!$M$6,1,0),IF($B81=Dashboard!$H$6,1,0)))</f>
        <v>1</v>
      </c>
      <c r="D81" s="168"/>
      <c r="E81" s="37" t="s">
        <v>622</v>
      </c>
      <c r="F81" s="99" t="n">
        <f aca="false">'PT_RES-02'!$E$47</f>
        <v>3028480</v>
      </c>
      <c r="G81" s="99" t="n">
        <v>0</v>
      </c>
      <c r="H81" s="99" t="n">
        <f aca="false">'PT_RES-02'!$G$47</f>
        <v>354382</v>
      </c>
      <c r="I81" s="99" t="n">
        <f aca="false">'PT_RES-02'!$H$47</f>
        <v>1517755</v>
      </c>
      <c r="J81" s="49" t="n">
        <f aca="false">($F81+$G81)*1.012</f>
        <v>3064821.76</v>
      </c>
      <c r="K81" s="100" t="n">
        <f aca="false">IF(($F81+$G81)=0,0,(($F81+$G81)-$J81)/($F81+$G81))</f>
        <v>-0.0120000000000001</v>
      </c>
      <c r="L81" s="52" t="str">
        <f aca="false">IF($K81&gt;=0,"Green",IF(ABS($K81)&lt;=0.05,"Amber","Red"))</f>
        <v>Amber</v>
      </c>
    </row>
    <row r="82" customFormat="false" ht="13.5" hidden="false" customHeight="true" outlineLevel="0" collapsed="false">
      <c r="A82" s="149" t="s">
        <v>293</v>
      </c>
      <c r="B82" s="150" t="str">
        <f aca="false">IFERROR(INDEX(Projects!$C$9:$C$16,MATCH($A82,Projects!$A$9:$A$16,0)),"")</f>
        <v>Residential</v>
      </c>
      <c r="C82" s="94" t="n">
        <f aca="false">IF(Dashboard!$C$6="Corporate",1,IF(Dashboard!$C$6="Project",IF($A82=Dashboard!$M$6,1,0),IF($B82=Dashboard!$H$6,1,0)))</f>
        <v>1</v>
      </c>
      <c r="D82" s="160"/>
      <c r="E82" s="30" t="s">
        <v>623</v>
      </c>
      <c r="F82" s="86" t="n">
        <f aca="false">'PT_RES-02'!$E$48</f>
        <v>2682368</v>
      </c>
      <c r="G82" s="92" t="n">
        <v>0</v>
      </c>
      <c r="H82" s="86" t="n">
        <f aca="false">'PT_RES-02'!$G$48</f>
        <v>301224</v>
      </c>
      <c r="I82" s="86" t="n">
        <f aca="false">'PT_RES-02'!$H$48</f>
        <v>1214204</v>
      </c>
      <c r="J82" s="31" t="n">
        <f aca="false">($F82+$G82)*1.012</f>
        <v>2714556.416</v>
      </c>
      <c r="K82" s="87" t="n">
        <f aca="false">IF(($F82+$G82)=0,0,(($F82+$G82)-$J82)/($F82+$G82))</f>
        <v>-0.0120000000000001</v>
      </c>
      <c r="L82" s="46" t="str">
        <f aca="false">IF($K82&gt;=0,"Green",IF(ABS($K82)&lt;=0.05,"Amber","Red"))</f>
        <v>Amber</v>
      </c>
    </row>
    <row r="83" customFormat="false" ht="13.5" hidden="false" customHeight="true" outlineLevel="0" collapsed="false">
      <c r="A83" s="47" t="s">
        <v>293</v>
      </c>
      <c r="B83" s="154" t="str">
        <f aca="false">IFERROR(INDEX(Projects!$C$9:$C$16,MATCH($A83,Projects!$A$9:$A$16,0)),"")</f>
        <v>Residential</v>
      </c>
      <c r="C83" s="155" t="n">
        <f aca="false">IF(Dashboard!$C$6="Corporate",1,IF(Dashboard!$C$6="Project",IF($A83=Dashboard!$M$6,1,0),IF($B83=Dashboard!$H$6,1,0)))</f>
        <v>1</v>
      </c>
      <c r="D83" s="168"/>
      <c r="E83" s="37" t="s">
        <v>624</v>
      </c>
      <c r="F83" s="99" t="n">
        <f aca="false">'PT_RES-02'!$E$49</f>
        <v>2163200</v>
      </c>
      <c r="G83" s="99" t="n">
        <v>0</v>
      </c>
      <c r="H83" s="99" t="n">
        <f aca="false">'PT_RES-02'!$G$49</f>
        <v>77964</v>
      </c>
      <c r="I83" s="99" t="n">
        <f aca="false">'PT_RES-02'!$H$49</f>
        <v>910653</v>
      </c>
      <c r="J83" s="49" t="n">
        <f aca="false">($F83+$G83)*1.012</f>
        <v>2189158.4</v>
      </c>
      <c r="K83" s="100" t="n">
        <f aca="false">IF(($F83+$G83)=0,0,(($F83+$G83)-$J83)/($F83+$G83))</f>
        <v>-0.012</v>
      </c>
      <c r="L83" s="52" t="str">
        <f aca="false">IF($K83&gt;=0,"Green",IF(ABS($K83)&lt;=0.05,"Amber","Red"))</f>
        <v>Amber</v>
      </c>
    </row>
    <row r="84" customFormat="false" ht="13.5" hidden="false" customHeight="true" outlineLevel="0" collapsed="false">
      <c r="A84" s="149" t="s">
        <v>293</v>
      </c>
      <c r="B84" s="150" t="str">
        <f aca="false">IFERROR(INDEX(Projects!$C$9:$C$16,MATCH($A84,Projects!$A$9:$A$16,0)),"")</f>
        <v>Residential</v>
      </c>
      <c r="C84" s="94" t="n">
        <f aca="false">IF(Dashboard!$C$6="Corporate",1,IF(Dashboard!$C$6="Project",IF($A84=Dashboard!$M$6,1,0),IF($B84=Dashboard!$H$6,1,0)))</f>
        <v>1</v>
      </c>
      <c r="D84" s="160"/>
      <c r="E84" s="30" t="s">
        <v>625</v>
      </c>
      <c r="F84" s="86" t="n">
        <f aca="false">'PT_RES-02'!$E$50</f>
        <v>3244800</v>
      </c>
      <c r="G84" s="92" t="n">
        <v>0</v>
      </c>
      <c r="H84" s="86" t="n">
        <f aca="false">'PT_RES-02'!$G$50</f>
        <v>219716</v>
      </c>
      <c r="I84" s="86" t="n">
        <f aca="false">'PT_RES-02'!$H$50</f>
        <v>1113020</v>
      </c>
      <c r="J84" s="31" t="n">
        <f aca="false">($F84+$G84)*1.012</f>
        <v>3283737.6</v>
      </c>
      <c r="K84" s="87" t="n">
        <f aca="false">IF(($F84+$G84)=0,0,(($F84+$G84)-$J84)/($F84+$G84))</f>
        <v>-0.012</v>
      </c>
      <c r="L84" s="46" t="str">
        <f aca="false">IF($K84&gt;=0,"Green",IF(ABS($K84)&lt;=0.05,"Amber","Red"))</f>
        <v>Amber</v>
      </c>
    </row>
    <row r="85" customFormat="false" ht="13.5" hidden="false" customHeight="true" outlineLevel="0" collapsed="false">
      <c r="A85" s="47" t="s">
        <v>293</v>
      </c>
      <c r="B85" s="154" t="str">
        <f aca="false">IFERROR(INDEX(Projects!$C$9:$C$16,MATCH($A85,Projects!$A$9:$A$16,0)),"")</f>
        <v>Residential</v>
      </c>
      <c r="C85" s="155" t="n">
        <f aca="false">IF(Dashboard!$C$6="Corporate",1,IF(Dashboard!$C$6="Project",IF($A85=Dashboard!$M$6,1,0),IF($B85=Dashboard!$H$6,1,0)))</f>
        <v>1</v>
      </c>
      <c r="D85" s="168"/>
      <c r="E85" s="37" t="s">
        <v>626</v>
      </c>
      <c r="F85" s="99" t="n">
        <f aca="false">'PT_RES-02'!$E$51</f>
        <v>18170880</v>
      </c>
      <c r="G85" s="99" t="n">
        <v>0</v>
      </c>
      <c r="H85" s="99" t="n">
        <f aca="false">'PT_RES-02'!$G$51</f>
        <v>1842783</v>
      </c>
      <c r="I85" s="99" t="n">
        <f aca="false">'PT_RES-02'!$H$51</f>
        <v>9511267</v>
      </c>
      <c r="J85" s="49" t="n">
        <f aca="false">($F85+$G85)*1.012</f>
        <v>18388930.56</v>
      </c>
      <c r="K85" s="100" t="n">
        <f aca="false">IF(($F85+$G85)=0,0,(($F85+$G85)-$J85)/($F85+$G85))</f>
        <v>-0.0119999999999999</v>
      </c>
      <c r="L85" s="52" t="str">
        <f aca="false">IF($K85&gt;=0,"Green",IF(ABS($K85)&lt;=0.05,"Amber","Red"))</f>
        <v>Amber</v>
      </c>
    </row>
    <row r="86" customFormat="false" ht="13.5" hidden="false" customHeight="true" outlineLevel="0" collapsed="false">
      <c r="A86" s="149" t="s">
        <v>293</v>
      </c>
      <c r="B86" s="150" t="str">
        <f aca="false">IFERROR(INDEX(Projects!$C$9:$C$16,MATCH($A86,Projects!$A$9:$A$16,0)),"")</f>
        <v>Residential</v>
      </c>
      <c r="C86" s="94" t="n">
        <f aca="false">IF(Dashboard!$C$6="Corporate",1,IF(Dashboard!$C$6="Project",IF($A86=Dashboard!$M$6,1,0),IF($B86=Dashboard!$H$6,1,0)))</f>
        <v>1</v>
      </c>
      <c r="D86" s="160"/>
      <c r="E86" s="30" t="s">
        <v>627</v>
      </c>
      <c r="F86" s="86" t="n">
        <f aca="false">'PT_RES-02'!$E$52</f>
        <v>8652800</v>
      </c>
      <c r="G86" s="92" t="n">
        <v>0</v>
      </c>
      <c r="H86" s="86" t="n">
        <f aca="false">'PT_RES-02'!$G$52</f>
        <v>531572</v>
      </c>
      <c r="I86" s="86" t="n">
        <f aca="false">'PT_RES-02'!$H$52</f>
        <v>4350898</v>
      </c>
      <c r="J86" s="31" t="n">
        <f aca="false">($F86+$G86)*1.012</f>
        <v>8756633.6</v>
      </c>
      <c r="K86" s="87" t="n">
        <f aca="false">IF(($F86+$G86)=0,0,(($F86+$G86)-$J86)/($F86+$G86))</f>
        <v>-0.012</v>
      </c>
      <c r="L86" s="46" t="str">
        <f aca="false">IF($K86&gt;=0,"Green",IF(ABS($K86)&lt;=0.05,"Amber","Red"))</f>
        <v>Amber</v>
      </c>
    </row>
    <row r="87" customFormat="false" ht="13.5" hidden="false" customHeight="true" outlineLevel="0" collapsed="false">
      <c r="A87" s="47" t="s">
        <v>293</v>
      </c>
      <c r="B87" s="154" t="str">
        <f aca="false">IFERROR(INDEX(Projects!$C$9:$C$16,MATCH($A87,Projects!$A$9:$A$16,0)),"")</f>
        <v>Residential</v>
      </c>
      <c r="C87" s="155" t="n">
        <f aca="false">IF(Dashboard!$C$6="Corporate",1,IF(Dashboard!$C$6="Project",IF($A87=Dashboard!$M$6,1,0),IF($B87=Dashboard!$H$6,1,0)))</f>
        <v>1</v>
      </c>
      <c r="D87" s="168"/>
      <c r="E87" s="37" t="s">
        <v>628</v>
      </c>
      <c r="F87" s="99" t="n">
        <f aca="false">'PT_RES-02'!$E$53</f>
        <v>1946880</v>
      </c>
      <c r="G87" s="99" t="n">
        <v>0</v>
      </c>
      <c r="H87" s="99" t="n">
        <f aca="false">'PT_RES-02'!$G$53</f>
        <v>134665</v>
      </c>
      <c r="I87" s="99" t="n">
        <f aca="false">'PT_RES-02'!$H$53</f>
        <v>809469</v>
      </c>
      <c r="J87" s="49" t="n">
        <f aca="false">($F87+$G87)*1.012</f>
        <v>1970242.56</v>
      </c>
      <c r="K87" s="100" t="n">
        <f aca="false">IF(($F87+$G87)=0,0,(($F87+$G87)-$J87)/($F87+$G87))</f>
        <v>-0.012</v>
      </c>
      <c r="L87" s="52" t="str">
        <f aca="false">IF($K87&gt;=0,"Green",IF(ABS($K87)&lt;=0.05,"Amber","Red"))</f>
        <v>Amber</v>
      </c>
    </row>
    <row r="88" customFormat="false" ht="13.5" hidden="false" customHeight="true" outlineLevel="0" collapsed="false">
      <c r="A88" s="149" t="s">
        <v>293</v>
      </c>
      <c r="B88" s="150" t="str">
        <f aca="false">IFERROR(INDEX(Projects!$C$9:$C$16,MATCH($A88,Projects!$A$9:$A$16,0)),"")</f>
        <v>Residential</v>
      </c>
      <c r="C88" s="94" t="n">
        <f aca="false">IF(Dashboard!$C$6="Corporate",1,IF(Dashboard!$C$6="Project",IF($A88=Dashboard!$M$6,1,0),IF($B88=Dashboard!$H$6,1,0)))</f>
        <v>1</v>
      </c>
      <c r="D88" s="160"/>
      <c r="E88" s="30" t="s">
        <v>629</v>
      </c>
      <c r="F88" s="86" t="n">
        <f aca="false">'PT_RES-02'!$E$54</f>
        <v>951808</v>
      </c>
      <c r="G88" s="92" t="n">
        <v>0</v>
      </c>
      <c r="H88" s="86" t="n">
        <f aca="false">'PT_RES-02'!$G$54</f>
        <v>77964</v>
      </c>
      <c r="I88" s="86" t="n">
        <f aca="false">'PT_RES-02'!$H$54</f>
        <v>404735</v>
      </c>
      <c r="J88" s="31" t="n">
        <f aca="false">($F88+$G88)*1.012</f>
        <v>963229.696</v>
      </c>
      <c r="K88" s="87" t="n">
        <f aca="false">IF(($F88+$G88)=0,0,(($F88+$G88)-$J88)/($F88+$G88))</f>
        <v>-0.012</v>
      </c>
      <c r="L88" s="46" t="str">
        <f aca="false">IF($K88&gt;=0,"Green",IF(ABS($K88)&lt;=0.05,"Amber","Red"))</f>
        <v>Amber</v>
      </c>
    </row>
    <row r="89" customFormat="false" ht="13.5" hidden="false" customHeight="true" outlineLevel="0" collapsed="false">
      <c r="A89" s="47" t="s">
        <v>293</v>
      </c>
      <c r="B89" s="154" t="str">
        <f aca="false">IFERROR(INDEX(Projects!$C$9:$C$16,MATCH($A89,Projects!$A$9:$A$16,0)),"")</f>
        <v>Residential</v>
      </c>
      <c r="C89" s="155" t="n">
        <f aca="false">IF(Dashboard!$C$6="Corporate",1,IF(Dashboard!$C$6="Project",IF($A89=Dashboard!$M$6,1,0),IF($B89=Dashboard!$H$6,1,0)))</f>
        <v>1</v>
      </c>
      <c r="D89" s="168"/>
      <c r="E89" s="37" t="s">
        <v>630</v>
      </c>
      <c r="F89" s="99" t="n">
        <f aca="false">'PT_RES-02'!$E$55</f>
        <v>1124864</v>
      </c>
      <c r="G89" s="99" t="n">
        <v>0</v>
      </c>
      <c r="H89" s="99" t="n">
        <f aca="false">'PT_RES-02'!$G$55</f>
        <v>81508</v>
      </c>
      <c r="I89" s="99" t="n">
        <f aca="false">'PT_RES-02'!$H$55</f>
        <v>404735</v>
      </c>
      <c r="J89" s="49" t="n">
        <f aca="false">($F89+$G89)*1.012</f>
        <v>1138362.368</v>
      </c>
      <c r="K89" s="100" t="n">
        <f aca="false">IF(($F89+$G89)=0,0,(($F89+$G89)-$J89)/($F89+$G89))</f>
        <v>-0.012</v>
      </c>
      <c r="L89" s="52" t="str">
        <f aca="false">IF($K89&gt;=0,"Green",IF(ABS($K89)&lt;=0.05,"Amber","Red"))</f>
        <v>Amber</v>
      </c>
    </row>
    <row r="90" customFormat="false" ht="13.5" hidden="false" customHeight="true" outlineLevel="0" collapsed="false">
      <c r="A90" s="149" t="s">
        <v>293</v>
      </c>
      <c r="B90" s="150" t="str">
        <f aca="false">IFERROR(INDEX(Projects!$C$9:$C$16,MATCH($A90,Projects!$A$9:$A$16,0)),"")</f>
        <v>Residential</v>
      </c>
      <c r="C90" s="94" t="n">
        <f aca="false">IF(Dashboard!$C$6="Corporate",1,IF(Dashboard!$C$6="Project",IF($A90=Dashboard!$M$6,1,0),IF($B90=Dashboard!$H$6,1,0)))</f>
        <v>1</v>
      </c>
      <c r="D90" s="160"/>
      <c r="E90" s="30" t="s">
        <v>631</v>
      </c>
      <c r="F90" s="86" t="n">
        <f aca="false">'PT_RES-02'!$E$56</f>
        <v>1297920</v>
      </c>
      <c r="G90" s="92" t="n">
        <v>0</v>
      </c>
      <c r="H90" s="86" t="n">
        <f aca="false">'PT_RES-02'!$G$56</f>
        <v>0</v>
      </c>
      <c r="I90" s="86" t="n">
        <f aca="false">'PT_RES-02'!$H$56</f>
        <v>0</v>
      </c>
      <c r="J90" s="31" t="n">
        <f aca="false">($F90+$G90)*1.012</f>
        <v>1313495.04</v>
      </c>
      <c r="K90" s="87" t="n">
        <f aca="false">IF(($F90+$G90)=0,0,(($F90+$G90)-$J90)/($F90+$G90))</f>
        <v>-0.012</v>
      </c>
      <c r="L90" s="46" t="str">
        <f aca="false">IF($K90&gt;=0,"Green",IF(ABS($K90)&lt;=0.05,"Amber","Red"))</f>
        <v>Amber</v>
      </c>
    </row>
    <row r="91" customFormat="false" ht="13.5" hidden="false" customHeight="true" outlineLevel="0" collapsed="false">
      <c r="A91" s="47" t="s">
        <v>293</v>
      </c>
      <c r="B91" s="154" t="str">
        <f aca="false">IFERROR(INDEX(Projects!$C$9:$C$16,MATCH($A91,Projects!$A$9:$A$16,0)),"")</f>
        <v>Residential</v>
      </c>
      <c r="C91" s="155" t="n">
        <f aca="false">IF(Dashboard!$C$6="Corporate",1,IF(Dashboard!$C$6="Project",IF($A91=Dashboard!$M$6,1,0),IF($B91=Dashboard!$H$6,1,0)))</f>
        <v>1</v>
      </c>
      <c r="D91" s="168"/>
      <c r="E91" s="37" t="s">
        <v>632</v>
      </c>
      <c r="F91" s="99" t="n">
        <f aca="false">'PT_RES-02'!$E$57</f>
        <v>0</v>
      </c>
      <c r="G91" s="159" t="n">
        <f aca="false">SUMIFS(Variation_Orders!$K$9:$K$32,Variation_Orders!$A$9:$A$32,$A91,Variation_Orders!$T$9:$T$32,"Approved")</f>
        <v>253645</v>
      </c>
      <c r="H91" s="99" t="n">
        <f aca="false">'PT_RES-02'!$G$57</f>
        <v>21669</v>
      </c>
      <c r="I91" s="99" t="n">
        <f aca="false">'PT_RES-02'!$H$57</f>
        <v>139505</v>
      </c>
      <c r="J91" s="49" t="n">
        <f aca="false">($F91+$G91)*1.012</f>
        <v>256688.74</v>
      </c>
      <c r="K91" s="100" t="n">
        <f aca="false">IF(($F91+$G91)=0,0,(($F91+$G91)-$J91)/($F91+$G91))</f>
        <v>-0.012</v>
      </c>
      <c r="L91" s="52" t="str">
        <f aca="false">IF($K91&gt;=0,"Green",IF(ABS($K91)&lt;=0.05,"Amber","Red"))</f>
        <v>Amber</v>
      </c>
    </row>
    <row r="92" customFormat="false" ht="13.5" hidden="false" customHeight="true" outlineLevel="0" collapsed="false">
      <c r="A92" s="149" t="s">
        <v>296</v>
      </c>
      <c r="B92" s="150" t="str">
        <f aca="false">IFERROR(INDEX(Projects!$C$9:$C$16,MATCH($A92,Projects!$A$9:$A$16,0)),"")</f>
        <v>Commercial</v>
      </c>
      <c r="C92" s="94" t="n">
        <f aca="false">IF(Dashboard!$C$6="Corporate",1,IF(Dashboard!$C$6="Project",IF($A92=Dashboard!$M$6,1,0),IF($B92=Dashboard!$H$6,1,0)))</f>
        <v>1</v>
      </c>
      <c r="D92" s="160"/>
      <c r="E92" s="30" t="s">
        <v>622</v>
      </c>
      <c r="F92" s="86" t="n">
        <f aca="false">'PT_COM-01'!$E$47</f>
        <v>13107920</v>
      </c>
      <c r="G92" s="92" t="n">
        <v>0</v>
      </c>
      <c r="H92" s="86" t="n">
        <f aca="false">'PT_COM-01'!$G$47</f>
        <v>2958577</v>
      </c>
      <c r="I92" s="86" t="n">
        <f aca="false">'PT_COM-01'!$H$47</f>
        <v>6569175</v>
      </c>
      <c r="J92" s="31" t="n">
        <f aca="false">($F92+$G92)*1.012</f>
        <v>13265215.04</v>
      </c>
      <c r="K92" s="87" t="n">
        <f aca="false">IF(($F92+$G92)=0,0,(($F92+$G92)-$J92)/($F92+$G92))</f>
        <v>-0.0120000000000001</v>
      </c>
      <c r="L92" s="46" t="str">
        <f aca="false">IF($K92&gt;=0,"Green",IF(ABS($K92)&lt;=0.05,"Amber","Red"))</f>
        <v>Amber</v>
      </c>
    </row>
    <row r="93" customFormat="false" ht="13.5" hidden="false" customHeight="true" outlineLevel="0" collapsed="false">
      <c r="A93" s="47" t="s">
        <v>296</v>
      </c>
      <c r="B93" s="154" t="str">
        <f aca="false">IFERROR(INDEX(Projects!$C$9:$C$16,MATCH($A93,Projects!$A$9:$A$16,0)),"")</f>
        <v>Commercial</v>
      </c>
      <c r="C93" s="155" t="n">
        <f aca="false">IF(Dashboard!$C$6="Corporate",1,IF(Dashboard!$C$6="Project",IF($A93=Dashboard!$M$6,1,0),IF($B93=Dashboard!$H$6,1,0)))</f>
        <v>1</v>
      </c>
      <c r="D93" s="168"/>
      <c r="E93" s="37" t="s">
        <v>623</v>
      </c>
      <c r="F93" s="99" t="n">
        <f aca="false">'PT_COM-01'!$E$48</f>
        <v>11609872</v>
      </c>
      <c r="G93" s="99" t="n">
        <v>0</v>
      </c>
      <c r="H93" s="99" t="n">
        <f aca="false">'PT_COM-01'!$G$48</f>
        <v>2514792</v>
      </c>
      <c r="I93" s="99" t="n">
        <f aca="false">'PT_COM-01'!$H$48</f>
        <v>5255340</v>
      </c>
      <c r="J93" s="49" t="n">
        <f aca="false">($F93+$G93)*1.012</f>
        <v>11749190.464</v>
      </c>
      <c r="K93" s="100" t="n">
        <f aca="false">IF(($F93+$G93)=0,0,(($F93+$G93)-$J93)/($F93+$G93))</f>
        <v>-0.012</v>
      </c>
      <c r="L93" s="52" t="str">
        <f aca="false">IF($K93&gt;=0,"Green",IF(ABS($K93)&lt;=0.05,"Amber","Red"))</f>
        <v>Amber</v>
      </c>
    </row>
    <row r="94" customFormat="false" ht="13.5" hidden="false" customHeight="true" outlineLevel="0" collapsed="false">
      <c r="A94" s="149" t="s">
        <v>296</v>
      </c>
      <c r="B94" s="150" t="str">
        <f aca="false">IFERROR(INDEX(Projects!$C$9:$C$16,MATCH($A94,Projects!$A$9:$A$16,0)),"")</f>
        <v>Commercial</v>
      </c>
      <c r="C94" s="94" t="n">
        <f aca="false">IF(Dashboard!$C$6="Corporate",1,IF(Dashboard!$C$6="Project",IF($A94=Dashboard!$M$6,1,0),IF($B94=Dashboard!$H$6,1,0)))</f>
        <v>1</v>
      </c>
      <c r="D94" s="160"/>
      <c r="E94" s="30" t="s">
        <v>624</v>
      </c>
      <c r="F94" s="86" t="n">
        <f aca="false">'PT_COM-01'!$E$49</f>
        <v>9362800</v>
      </c>
      <c r="G94" s="92" t="n">
        <v>0</v>
      </c>
      <c r="H94" s="86" t="n">
        <f aca="false">'PT_COM-01'!$G$49</f>
        <v>650887</v>
      </c>
      <c r="I94" s="86" t="n">
        <f aca="false">'PT_COM-01'!$H$49</f>
        <v>3941505</v>
      </c>
      <c r="J94" s="31" t="n">
        <f aca="false">($F94+$G94)*1.012</f>
        <v>9475153.6</v>
      </c>
      <c r="K94" s="87" t="n">
        <f aca="false">IF(($F94+$G94)=0,0,(($F94+$G94)-$J94)/($F94+$G94))</f>
        <v>-0.012</v>
      </c>
      <c r="L94" s="46" t="str">
        <f aca="false">IF($K94&gt;=0,"Green",IF(ABS($K94)&lt;=0.05,"Amber","Red"))</f>
        <v>Amber</v>
      </c>
    </row>
    <row r="95" customFormat="false" ht="13.5" hidden="false" customHeight="true" outlineLevel="0" collapsed="false">
      <c r="A95" s="47" t="s">
        <v>296</v>
      </c>
      <c r="B95" s="154" t="str">
        <f aca="false">IFERROR(INDEX(Projects!$C$9:$C$16,MATCH($A95,Projects!$A$9:$A$16,0)),"")</f>
        <v>Commercial</v>
      </c>
      <c r="C95" s="155" t="n">
        <f aca="false">IF(Dashboard!$C$6="Corporate",1,IF(Dashboard!$C$6="Project",IF($A95=Dashboard!$M$6,1,0),IF($B95=Dashboard!$H$6,1,0)))</f>
        <v>1</v>
      </c>
      <c r="D95" s="168"/>
      <c r="E95" s="37" t="s">
        <v>625</v>
      </c>
      <c r="F95" s="99" t="n">
        <f aca="false">'PT_COM-01'!$E$50</f>
        <v>14044200</v>
      </c>
      <c r="G95" s="99" t="n">
        <v>0</v>
      </c>
      <c r="H95" s="99" t="n">
        <f aca="false">'PT_COM-01'!$G$50</f>
        <v>1834319</v>
      </c>
      <c r="I95" s="99" t="n">
        <f aca="false">'PT_COM-01'!$H$50</f>
        <v>4817395</v>
      </c>
      <c r="J95" s="49" t="n">
        <f aca="false">($F95+$G95)*1.012</f>
        <v>14212730.4</v>
      </c>
      <c r="K95" s="100" t="n">
        <f aca="false">IF(($F95+$G95)=0,0,(($F95+$G95)-$J95)/($F95+$G95))</f>
        <v>-0.012</v>
      </c>
      <c r="L95" s="52" t="str">
        <f aca="false">IF($K95&gt;=0,"Green",IF(ABS($K95)&lt;=0.05,"Amber","Red"))</f>
        <v>Amber</v>
      </c>
    </row>
    <row r="96" customFormat="false" ht="13.5" hidden="false" customHeight="true" outlineLevel="0" collapsed="false">
      <c r="A96" s="149" t="s">
        <v>296</v>
      </c>
      <c r="B96" s="150" t="str">
        <f aca="false">IFERROR(INDEX(Projects!$C$9:$C$16,MATCH($A96,Projects!$A$9:$A$16,0)),"")</f>
        <v>Commercial</v>
      </c>
      <c r="C96" s="94" t="n">
        <f aca="false">IF(Dashboard!$C$6="Corporate",1,IF(Dashboard!$C$6="Project",IF($A96=Dashboard!$M$6,1,0),IF($B96=Dashboard!$H$6,1,0)))</f>
        <v>1</v>
      </c>
      <c r="D96" s="160"/>
      <c r="E96" s="30" t="s">
        <v>626</v>
      </c>
      <c r="F96" s="86" t="n">
        <f aca="false">'PT_COM-01'!$E$51</f>
        <v>78647520</v>
      </c>
      <c r="G96" s="92" t="n">
        <v>0</v>
      </c>
      <c r="H96" s="86" t="n">
        <f aca="false">'PT_COM-01'!$G$51</f>
        <v>15384608</v>
      </c>
      <c r="I96" s="86" t="n">
        <f aca="false">'PT_COM-01'!$H$51</f>
        <v>41166825</v>
      </c>
      <c r="J96" s="31" t="n">
        <f aca="false">($F96+$G96)*1.012</f>
        <v>79591290.24</v>
      </c>
      <c r="K96" s="87" t="n">
        <f aca="false">IF(($F96+$G96)=0,0,(($F96+$G96)-$J96)/($F96+$G96))</f>
        <v>-0.0119999999999999</v>
      </c>
      <c r="L96" s="46" t="str">
        <f aca="false">IF($K96&gt;=0,"Green",IF(ABS($K96)&lt;=0.05,"Amber","Red"))</f>
        <v>Amber</v>
      </c>
    </row>
    <row r="97" customFormat="false" ht="13.5" hidden="false" customHeight="true" outlineLevel="0" collapsed="false">
      <c r="A97" s="47" t="s">
        <v>296</v>
      </c>
      <c r="B97" s="154" t="str">
        <f aca="false">IFERROR(INDEX(Projects!$C$9:$C$16,MATCH($A97,Projects!$A$9:$A$16,0)),"")</f>
        <v>Commercial</v>
      </c>
      <c r="C97" s="155" t="n">
        <f aca="false">IF(Dashboard!$C$6="Corporate",1,IF(Dashboard!$C$6="Project",IF($A97=Dashboard!$M$6,1,0),IF($B97=Dashboard!$H$6,1,0)))</f>
        <v>1</v>
      </c>
      <c r="D97" s="168"/>
      <c r="E97" s="37" t="s">
        <v>627</v>
      </c>
      <c r="F97" s="99" t="n">
        <f aca="false">'PT_COM-01'!$E$52</f>
        <v>37451200</v>
      </c>
      <c r="G97" s="99" t="n">
        <v>0</v>
      </c>
      <c r="H97" s="99" t="n">
        <f aca="false">'PT_COM-01'!$G$52</f>
        <v>4437868</v>
      </c>
      <c r="I97" s="99" t="n">
        <f aca="false">'PT_COM-01'!$H$52</f>
        <v>18831634</v>
      </c>
      <c r="J97" s="49" t="n">
        <f aca="false">($F97+$G97)*1.012</f>
        <v>37900614.4</v>
      </c>
      <c r="K97" s="100" t="n">
        <f aca="false">IF(($F97+$G97)=0,0,(($F97+$G97)-$J97)/($F97+$G97))</f>
        <v>-0.012</v>
      </c>
      <c r="L97" s="52" t="str">
        <f aca="false">IF($K97&gt;=0,"Green",IF(ABS($K97)&lt;=0.05,"Amber","Red"))</f>
        <v>Amber</v>
      </c>
    </row>
    <row r="98" customFormat="false" ht="13.5" hidden="false" customHeight="true" outlineLevel="0" collapsed="false">
      <c r="A98" s="149" t="s">
        <v>296</v>
      </c>
      <c r="B98" s="150" t="str">
        <f aca="false">IFERROR(INDEX(Projects!$C$9:$C$16,MATCH($A98,Projects!$A$9:$A$16,0)),"")</f>
        <v>Commercial</v>
      </c>
      <c r="C98" s="94" t="n">
        <f aca="false">IF(Dashboard!$C$6="Corporate",1,IF(Dashboard!$C$6="Project",IF($A98=Dashboard!$M$6,1,0),IF($B98=Dashboard!$H$6,1,0)))</f>
        <v>1</v>
      </c>
      <c r="D98" s="160"/>
      <c r="E98" s="30" t="s">
        <v>628</v>
      </c>
      <c r="F98" s="86" t="n">
        <f aca="false">'PT_COM-01'!$E$53</f>
        <v>8426520</v>
      </c>
      <c r="G98" s="92" t="n">
        <v>0</v>
      </c>
      <c r="H98" s="86" t="n">
        <f aca="false">'PT_COM-01'!$G$53</f>
        <v>1124260</v>
      </c>
      <c r="I98" s="86" t="n">
        <f aca="false">'PT_COM-01'!$H$53</f>
        <v>3503560</v>
      </c>
      <c r="J98" s="31" t="n">
        <f aca="false">($F98+$G98)*1.012</f>
        <v>8527638.24</v>
      </c>
      <c r="K98" s="87" t="n">
        <f aca="false">IF(($F98+$G98)=0,0,(($F98+$G98)-$J98)/($F98+$G98))</f>
        <v>-0.012</v>
      </c>
      <c r="L98" s="46" t="str">
        <f aca="false">IF($K98&gt;=0,"Green",IF(ABS($K98)&lt;=0.05,"Amber","Red"))</f>
        <v>Amber</v>
      </c>
    </row>
    <row r="99" customFormat="false" ht="13.5" hidden="false" customHeight="true" outlineLevel="0" collapsed="false">
      <c r="A99" s="47" t="s">
        <v>296</v>
      </c>
      <c r="B99" s="154" t="str">
        <f aca="false">IFERROR(INDEX(Projects!$C$9:$C$16,MATCH($A99,Projects!$A$9:$A$16,0)),"")</f>
        <v>Commercial</v>
      </c>
      <c r="C99" s="155" t="n">
        <f aca="false">IF(Dashboard!$C$6="Corporate",1,IF(Dashboard!$C$6="Project",IF($A99=Dashboard!$M$6,1,0),IF($B99=Dashboard!$H$6,1,0)))</f>
        <v>1</v>
      </c>
      <c r="D99" s="168"/>
      <c r="E99" s="37" t="s">
        <v>629</v>
      </c>
      <c r="F99" s="99" t="n">
        <f aca="false">'PT_COM-01'!$E$54</f>
        <v>4119632</v>
      </c>
      <c r="G99" s="99" t="n">
        <v>0</v>
      </c>
      <c r="H99" s="99" t="n">
        <f aca="false">'PT_COM-01'!$G$54</f>
        <v>650887</v>
      </c>
      <c r="I99" s="99" t="n">
        <f aca="false">'PT_COM-01'!$H$54</f>
        <v>1751780</v>
      </c>
      <c r="J99" s="49" t="n">
        <f aca="false">($F99+$G99)*1.012</f>
        <v>4169067.584</v>
      </c>
      <c r="K99" s="100" t="n">
        <f aca="false">IF(($F99+$G99)=0,0,(($F99+$G99)-$J99)/($F99+$G99))</f>
        <v>-0.0120000000000001</v>
      </c>
      <c r="L99" s="52" t="str">
        <f aca="false">IF($K99&gt;=0,"Green",IF(ABS($K99)&lt;=0.05,"Amber","Red"))</f>
        <v>Amber</v>
      </c>
    </row>
    <row r="100" customFormat="false" ht="13.5" hidden="false" customHeight="true" outlineLevel="0" collapsed="false">
      <c r="A100" s="149" t="s">
        <v>296</v>
      </c>
      <c r="B100" s="150" t="str">
        <f aca="false">IFERROR(INDEX(Projects!$C$9:$C$16,MATCH($A100,Projects!$A$9:$A$16,0)),"")</f>
        <v>Commercial</v>
      </c>
      <c r="C100" s="94" t="n">
        <f aca="false">IF(Dashboard!$C$6="Corporate",1,IF(Dashboard!$C$6="Project",IF($A100=Dashboard!$M$6,1,0),IF($B100=Dashboard!$H$6,1,0)))</f>
        <v>1</v>
      </c>
      <c r="D100" s="160"/>
      <c r="E100" s="30" t="s">
        <v>630</v>
      </c>
      <c r="F100" s="86" t="n">
        <f aca="false">'PT_COM-01'!$E$55</f>
        <v>4868656</v>
      </c>
      <c r="G100" s="92" t="n">
        <v>0</v>
      </c>
      <c r="H100" s="86" t="n">
        <f aca="false">'PT_COM-01'!$G$55</f>
        <v>680473</v>
      </c>
      <c r="I100" s="86" t="n">
        <f aca="false">'PT_COM-01'!$H$55</f>
        <v>1751780</v>
      </c>
      <c r="J100" s="31" t="n">
        <f aca="false">($F100+$G100)*1.012</f>
        <v>4927079.872</v>
      </c>
      <c r="K100" s="87" t="n">
        <f aca="false">IF(($F100+$G100)=0,0,(($F100+$G100)-$J100)/($F100+$G100))</f>
        <v>-0.0120000000000001</v>
      </c>
      <c r="L100" s="46" t="str">
        <f aca="false">IF($K100&gt;=0,"Green",IF(ABS($K100)&lt;=0.05,"Amber","Red"))</f>
        <v>Amber</v>
      </c>
    </row>
    <row r="101" customFormat="false" ht="13.5" hidden="false" customHeight="true" outlineLevel="0" collapsed="false">
      <c r="A101" s="47" t="s">
        <v>296</v>
      </c>
      <c r="B101" s="154" t="str">
        <f aca="false">IFERROR(INDEX(Projects!$C$9:$C$16,MATCH($A101,Projects!$A$9:$A$16,0)),"")</f>
        <v>Commercial</v>
      </c>
      <c r="C101" s="155" t="n">
        <f aca="false">IF(Dashboard!$C$6="Corporate",1,IF(Dashboard!$C$6="Project",IF($A101=Dashboard!$M$6,1,0),IF($B101=Dashboard!$H$6,1,0)))</f>
        <v>1</v>
      </c>
      <c r="D101" s="168"/>
      <c r="E101" s="37" t="s">
        <v>631</v>
      </c>
      <c r="F101" s="99" t="n">
        <f aca="false">'PT_COM-01'!$E$56</f>
        <v>5617680</v>
      </c>
      <c r="G101" s="99" t="n">
        <v>0</v>
      </c>
      <c r="H101" s="99" t="n">
        <f aca="false">'PT_COM-01'!$G$56</f>
        <v>0</v>
      </c>
      <c r="I101" s="99" t="n">
        <f aca="false">'PT_COM-01'!$H$56</f>
        <v>0</v>
      </c>
      <c r="J101" s="49" t="n">
        <f aca="false">($F101+$G101)*1.012</f>
        <v>5685092.16</v>
      </c>
      <c r="K101" s="100" t="n">
        <f aca="false">IF(($F101+$G101)=0,0,(($F101+$G101)-$J101)/($F101+$G101))</f>
        <v>-0.012</v>
      </c>
      <c r="L101" s="52" t="str">
        <f aca="false">IF($K101&gt;=0,"Green",IF(ABS($K101)&lt;=0.05,"Amber","Red"))</f>
        <v>Amber</v>
      </c>
    </row>
    <row r="102" customFormat="false" ht="13.5" hidden="false" customHeight="true" outlineLevel="0" collapsed="false">
      <c r="A102" s="149" t="s">
        <v>296</v>
      </c>
      <c r="B102" s="150" t="str">
        <f aca="false">IFERROR(INDEX(Projects!$C$9:$C$16,MATCH($A102,Projects!$A$9:$A$16,0)),"")</f>
        <v>Commercial</v>
      </c>
      <c r="C102" s="94" t="n">
        <f aca="false">IF(Dashboard!$C$6="Corporate",1,IF(Dashboard!$C$6="Project",IF($A102=Dashboard!$M$6,1,0),IF($B102=Dashboard!$H$6,1,0)))</f>
        <v>1</v>
      </c>
      <c r="D102" s="160"/>
      <c r="E102" s="30" t="s">
        <v>632</v>
      </c>
      <c r="F102" s="86" t="n">
        <f aca="false">'PT_COM-01'!$E$57</f>
        <v>0</v>
      </c>
      <c r="G102" s="158" t="n">
        <f aca="false">SUMIFS(Variation_Orders!$K$9:$K$32,Variation_Orders!$A$9:$A$32,$A102,Variation_Orders!$T$9:$T$32,"Approved")</f>
        <v>3427416</v>
      </c>
      <c r="H102" s="86" t="n">
        <f aca="false">'PT_COM-01'!$G$57</f>
        <v>564939</v>
      </c>
      <c r="I102" s="86" t="n">
        <f aca="false">'PT_COM-01'!$H$57</f>
        <v>1885079</v>
      </c>
      <c r="J102" s="31" t="n">
        <f aca="false">($F102+$G102)*1.012</f>
        <v>3468544.992</v>
      </c>
      <c r="K102" s="87" t="n">
        <f aca="false">IF(($F102+$G102)=0,0,(($F102+$G102)-$J102)/($F102+$G102))</f>
        <v>-0.012</v>
      </c>
      <c r="L102" s="46" t="str">
        <f aca="false">IF($K102&gt;=0,"Green",IF(ABS($K102)&lt;=0.05,"Amber","Red"))</f>
        <v>Amber</v>
      </c>
    </row>
    <row r="103" customFormat="false" ht="13.5" hidden="false" customHeight="true" outlineLevel="0" collapsed="false">
      <c r="A103" s="47" t="s">
        <v>298</v>
      </c>
      <c r="B103" s="154" t="str">
        <f aca="false">IFERROR(INDEX(Projects!$C$9:$C$16,MATCH($A103,Projects!$A$9:$A$16,0)),"")</f>
        <v>Commercial</v>
      </c>
      <c r="C103" s="155" t="n">
        <f aca="false">IF(Dashboard!$C$6="Corporate",1,IF(Dashboard!$C$6="Project",IF($A103=Dashboard!$M$6,1,0),IF($B103=Dashboard!$H$6,1,0)))</f>
        <v>1</v>
      </c>
      <c r="D103" s="168"/>
      <c r="E103" s="37" t="s">
        <v>622</v>
      </c>
      <c r="F103" s="99" t="n">
        <f aca="false">'PT_COM-02'!$E$47</f>
        <v>7644000</v>
      </c>
      <c r="G103" s="99" t="n">
        <v>0</v>
      </c>
      <c r="H103" s="99" t="n">
        <f aca="false">'PT_COM-02'!$G$47</f>
        <v>1919527</v>
      </c>
      <c r="I103" s="99" t="n">
        <f aca="false">'PT_COM-02'!$H$47</f>
        <v>3830872</v>
      </c>
      <c r="J103" s="49" t="n">
        <f aca="false">($F103+$G103)*1.012</f>
        <v>7735728</v>
      </c>
      <c r="K103" s="100" t="n">
        <f aca="false">IF(($F103+$G103)=0,0,(($F103+$G103)-$J103)/($F103+$G103))</f>
        <v>-0.012</v>
      </c>
      <c r="L103" s="52" t="str">
        <f aca="false">IF($K103&gt;=0,"Green",IF(ABS($K103)&lt;=0.05,"Amber","Red"))</f>
        <v>Amber</v>
      </c>
    </row>
    <row r="104" customFormat="false" ht="13.5" hidden="false" customHeight="true" outlineLevel="0" collapsed="false">
      <c r="A104" s="149" t="s">
        <v>298</v>
      </c>
      <c r="B104" s="150" t="str">
        <f aca="false">IFERROR(INDEX(Projects!$C$9:$C$16,MATCH($A104,Projects!$A$9:$A$16,0)),"")</f>
        <v>Commercial</v>
      </c>
      <c r="C104" s="94" t="n">
        <f aca="false">IF(Dashboard!$C$6="Corporate",1,IF(Dashboard!$C$6="Project",IF($A104=Dashboard!$M$6,1,0),IF($B104=Dashboard!$H$6,1,0)))</f>
        <v>1</v>
      </c>
      <c r="D104" s="160"/>
      <c r="E104" s="30" t="s">
        <v>623</v>
      </c>
      <c r="F104" s="86" t="n">
        <f aca="false">'PT_COM-02'!$E$48</f>
        <v>6770400</v>
      </c>
      <c r="G104" s="92" t="n">
        <v>0</v>
      </c>
      <c r="H104" s="86" t="n">
        <f aca="false">'PT_COM-02'!$G$48</f>
        <v>1631596</v>
      </c>
      <c r="I104" s="86" t="n">
        <f aca="false">'PT_COM-02'!$H$48</f>
        <v>3064698</v>
      </c>
      <c r="J104" s="31" t="n">
        <f aca="false">($F104+$G104)*1.012</f>
        <v>6851644.8</v>
      </c>
      <c r="K104" s="87" t="n">
        <f aca="false">IF(($F104+$G104)=0,0,(($F104+$G104)-$J104)/($F104+$G104))</f>
        <v>-0.012</v>
      </c>
      <c r="L104" s="46" t="str">
        <f aca="false">IF($K104&gt;=0,"Green",IF(ABS($K104)&lt;=0.05,"Amber","Red"))</f>
        <v>Amber</v>
      </c>
    </row>
    <row r="105" customFormat="false" ht="13.5" hidden="false" customHeight="true" outlineLevel="0" collapsed="false">
      <c r="A105" s="47" t="s">
        <v>298</v>
      </c>
      <c r="B105" s="154" t="str">
        <f aca="false">IFERROR(INDEX(Projects!$C$9:$C$16,MATCH($A105,Projects!$A$9:$A$16,0)),"")</f>
        <v>Commercial</v>
      </c>
      <c r="C105" s="155" t="n">
        <f aca="false">IF(Dashboard!$C$6="Corporate",1,IF(Dashboard!$C$6="Project",IF($A105=Dashboard!$M$6,1,0),IF($B105=Dashboard!$H$6,1,0)))</f>
        <v>1</v>
      </c>
      <c r="D105" s="168"/>
      <c r="E105" s="37" t="s">
        <v>624</v>
      </c>
      <c r="F105" s="99" t="n">
        <f aca="false">'PT_COM-02'!$E$49</f>
        <v>5460000</v>
      </c>
      <c r="G105" s="99" t="n">
        <v>0</v>
      </c>
      <c r="H105" s="99" t="n">
        <f aca="false">'PT_COM-02'!$G$49</f>
        <v>422295</v>
      </c>
      <c r="I105" s="99" t="n">
        <f aca="false">'PT_COM-02'!$H$49</f>
        <v>2298524</v>
      </c>
      <c r="J105" s="49" t="n">
        <f aca="false">($F105+$G105)*1.012</f>
        <v>5525520</v>
      </c>
      <c r="K105" s="100" t="n">
        <f aca="false">IF(($F105+$G105)=0,0,(($F105+$G105)-$J105)/($F105+$G105))</f>
        <v>-0.012</v>
      </c>
      <c r="L105" s="52" t="str">
        <f aca="false">IF($K105&gt;=0,"Green",IF(ABS($K105)&lt;=0.05,"Amber","Red"))</f>
        <v>Amber</v>
      </c>
    </row>
    <row r="106" customFormat="false" ht="13.5" hidden="false" customHeight="true" outlineLevel="0" collapsed="false">
      <c r="A106" s="149" t="s">
        <v>298</v>
      </c>
      <c r="B106" s="150" t="str">
        <f aca="false">IFERROR(INDEX(Projects!$C$9:$C$16,MATCH($A106,Projects!$A$9:$A$16,0)),"")</f>
        <v>Commercial</v>
      </c>
      <c r="C106" s="94" t="n">
        <f aca="false">IF(Dashboard!$C$6="Corporate",1,IF(Dashboard!$C$6="Project",IF($A106=Dashboard!$M$6,1,0),IF($B106=Dashboard!$H$6,1,0)))</f>
        <v>1</v>
      </c>
      <c r="D106" s="160"/>
      <c r="E106" s="30" t="s">
        <v>625</v>
      </c>
      <c r="F106" s="86" t="n">
        <f aca="false">'PT_COM-02'!$E$50</f>
        <v>8190000</v>
      </c>
      <c r="G106" s="92" t="n">
        <v>0</v>
      </c>
      <c r="H106" s="86" t="n">
        <f aca="false">'PT_COM-02'!$G$50</f>
        <v>1190105</v>
      </c>
      <c r="I106" s="86" t="n">
        <f aca="false">'PT_COM-02'!$H$50</f>
        <v>2809306</v>
      </c>
      <c r="J106" s="31" t="n">
        <f aca="false">($F106+$G106)*1.012</f>
        <v>8288280</v>
      </c>
      <c r="K106" s="87" t="n">
        <f aca="false">IF(($F106+$G106)=0,0,(($F106+$G106)-$J106)/($F106+$G106))</f>
        <v>-0.012</v>
      </c>
      <c r="L106" s="46" t="str">
        <f aca="false">IF($K106&gt;=0,"Green",IF(ABS($K106)&lt;=0.05,"Amber","Red"))</f>
        <v>Amber</v>
      </c>
    </row>
    <row r="107" customFormat="false" ht="13.5" hidden="false" customHeight="true" outlineLevel="0" collapsed="false">
      <c r="A107" s="47" t="s">
        <v>298</v>
      </c>
      <c r="B107" s="154" t="str">
        <f aca="false">IFERROR(INDEX(Projects!$C$9:$C$16,MATCH($A107,Projects!$A$9:$A$16,0)),"")</f>
        <v>Commercial</v>
      </c>
      <c r="C107" s="155" t="n">
        <f aca="false">IF(Dashboard!$C$6="Corporate",1,IF(Dashboard!$C$6="Project",IF($A107=Dashboard!$M$6,1,0),IF($B107=Dashboard!$H$6,1,0)))</f>
        <v>1</v>
      </c>
      <c r="D107" s="168"/>
      <c r="E107" s="37" t="s">
        <v>626</v>
      </c>
      <c r="F107" s="99" t="n">
        <f aca="false">'PT_COM-02'!$E$51</f>
        <v>45864000</v>
      </c>
      <c r="G107" s="99" t="n">
        <v>0</v>
      </c>
      <c r="H107" s="99" t="n">
        <f aca="false">'PT_COM-02'!$G$51</f>
        <v>9981529</v>
      </c>
      <c r="I107" s="99" t="n">
        <f aca="false">'PT_COM-02'!$H$51</f>
        <v>24006802</v>
      </c>
      <c r="J107" s="49" t="n">
        <f aca="false">($F107+$G107)*1.012</f>
        <v>46414368</v>
      </c>
      <c r="K107" s="100" t="n">
        <f aca="false">IF(($F107+$G107)=0,0,(($F107+$G107)-$J107)/($F107+$G107))</f>
        <v>-0.012</v>
      </c>
      <c r="L107" s="52" t="str">
        <f aca="false">IF($K107&gt;=0,"Green",IF(ABS($K107)&lt;=0.05,"Amber","Red"))</f>
        <v>Amber</v>
      </c>
    </row>
    <row r="108" customFormat="false" ht="13.5" hidden="false" customHeight="true" outlineLevel="0" collapsed="false">
      <c r="A108" s="149" t="s">
        <v>298</v>
      </c>
      <c r="B108" s="150" t="str">
        <f aca="false">IFERROR(INDEX(Projects!$C$9:$C$16,MATCH($A108,Projects!$A$9:$A$16,0)),"")</f>
        <v>Commercial</v>
      </c>
      <c r="C108" s="94" t="n">
        <f aca="false">IF(Dashboard!$C$6="Corporate",1,IF(Dashboard!$C$6="Project",IF($A108=Dashboard!$M$6,1,0),IF($B108=Dashboard!$H$6,1,0)))</f>
        <v>1</v>
      </c>
      <c r="D108" s="160"/>
      <c r="E108" s="30" t="s">
        <v>627</v>
      </c>
      <c r="F108" s="86" t="n">
        <f aca="false">'PT_COM-02'!$E$52</f>
        <v>21840000</v>
      </c>
      <c r="G108" s="92" t="n">
        <v>0</v>
      </c>
      <c r="H108" s="86" t="n">
        <f aca="false">'PT_COM-02'!$G$52</f>
        <v>2879287</v>
      </c>
      <c r="I108" s="86" t="n">
        <f aca="false">'PT_COM-02'!$H$52</f>
        <v>10981834</v>
      </c>
      <c r="J108" s="31" t="n">
        <f aca="false">($F108+$G108)*1.012</f>
        <v>22102080</v>
      </c>
      <c r="K108" s="87" t="n">
        <f aca="false">IF(($F108+$G108)=0,0,(($F108+$G108)-$J108)/($F108+$G108))</f>
        <v>-0.012</v>
      </c>
      <c r="L108" s="46" t="str">
        <f aca="false">IF($K108&gt;=0,"Green",IF(ABS($K108)&lt;=0.05,"Amber","Red"))</f>
        <v>Amber</v>
      </c>
    </row>
    <row r="109" customFormat="false" ht="13.5" hidden="false" customHeight="true" outlineLevel="0" collapsed="false">
      <c r="A109" s="47" t="s">
        <v>298</v>
      </c>
      <c r="B109" s="154" t="str">
        <f aca="false">IFERROR(INDEX(Projects!$C$9:$C$16,MATCH($A109,Projects!$A$9:$A$16,0)),"")</f>
        <v>Commercial</v>
      </c>
      <c r="C109" s="155" t="n">
        <f aca="false">IF(Dashboard!$C$6="Corporate",1,IF(Dashboard!$C$6="Project",IF($A109=Dashboard!$M$6,1,0),IF($B109=Dashboard!$H$6,1,0)))</f>
        <v>1</v>
      </c>
      <c r="D109" s="168"/>
      <c r="E109" s="37" t="s">
        <v>628</v>
      </c>
      <c r="F109" s="99" t="n">
        <f aca="false">'PT_COM-02'!$E$53</f>
        <v>4914000</v>
      </c>
      <c r="G109" s="99" t="n">
        <v>0</v>
      </c>
      <c r="H109" s="99" t="n">
        <f aca="false">'PT_COM-02'!$G$53</f>
        <v>729419</v>
      </c>
      <c r="I109" s="99" t="n">
        <f aca="false">'PT_COM-02'!$H$53</f>
        <v>2043132</v>
      </c>
      <c r="J109" s="49" t="n">
        <f aca="false">($F109+$G109)*1.012</f>
        <v>4972968</v>
      </c>
      <c r="K109" s="100" t="n">
        <f aca="false">IF(($F109+$G109)=0,0,(($F109+$G109)-$J109)/($F109+$G109))</f>
        <v>-0.012</v>
      </c>
      <c r="L109" s="52" t="str">
        <f aca="false">IF($K109&gt;=0,"Green",IF(ABS($K109)&lt;=0.05,"Amber","Red"))</f>
        <v>Amber</v>
      </c>
    </row>
    <row r="110" customFormat="false" ht="13.5" hidden="false" customHeight="true" outlineLevel="0" collapsed="false">
      <c r="A110" s="149" t="s">
        <v>298</v>
      </c>
      <c r="B110" s="150" t="str">
        <f aca="false">IFERROR(INDEX(Projects!$C$9:$C$16,MATCH($A110,Projects!$A$9:$A$16,0)),"")</f>
        <v>Commercial</v>
      </c>
      <c r="C110" s="94" t="n">
        <f aca="false">IF(Dashboard!$C$6="Corporate",1,IF(Dashboard!$C$6="Project",IF($A110=Dashboard!$M$6,1,0),IF($B110=Dashboard!$H$6,1,0)))</f>
        <v>1</v>
      </c>
      <c r="D110" s="160"/>
      <c r="E110" s="30" t="s">
        <v>629</v>
      </c>
      <c r="F110" s="86" t="n">
        <f aca="false">'PT_COM-02'!$E$54</f>
        <v>2402400</v>
      </c>
      <c r="G110" s="92" t="n">
        <v>0</v>
      </c>
      <c r="H110" s="86" t="n">
        <f aca="false">'PT_COM-02'!$G$54</f>
        <v>422295</v>
      </c>
      <c r="I110" s="86" t="n">
        <f aca="false">'PT_COM-02'!$H$54</f>
        <v>1021566</v>
      </c>
      <c r="J110" s="31" t="n">
        <f aca="false">($F110+$G110)*1.012</f>
        <v>2431228.8</v>
      </c>
      <c r="K110" s="87" t="n">
        <f aca="false">IF(($F110+$G110)=0,0,(($F110+$G110)-$J110)/($F110+$G110))</f>
        <v>-0.0119999999999999</v>
      </c>
      <c r="L110" s="46" t="str">
        <f aca="false">IF($K110&gt;=0,"Green",IF(ABS($K110)&lt;=0.05,"Amber","Red"))</f>
        <v>Amber</v>
      </c>
    </row>
    <row r="111" customFormat="false" ht="13.5" hidden="false" customHeight="true" outlineLevel="0" collapsed="false">
      <c r="A111" s="47" t="s">
        <v>298</v>
      </c>
      <c r="B111" s="154" t="str">
        <f aca="false">IFERROR(INDEX(Projects!$C$9:$C$16,MATCH($A111,Projects!$A$9:$A$16,0)),"")</f>
        <v>Commercial</v>
      </c>
      <c r="C111" s="155" t="n">
        <f aca="false">IF(Dashboard!$C$6="Corporate",1,IF(Dashboard!$C$6="Project",IF($A111=Dashboard!$M$6,1,0),IF($B111=Dashboard!$H$6,1,0)))</f>
        <v>1</v>
      </c>
      <c r="D111" s="168"/>
      <c r="E111" s="37" t="s">
        <v>630</v>
      </c>
      <c r="F111" s="99" t="n">
        <f aca="false">'PT_COM-02'!$E$55</f>
        <v>2839200</v>
      </c>
      <c r="G111" s="99" t="n">
        <v>0</v>
      </c>
      <c r="H111" s="99" t="n">
        <f aca="false">'PT_COM-02'!$G$55</f>
        <v>441491</v>
      </c>
      <c r="I111" s="99" t="n">
        <f aca="false">'PT_COM-02'!$H$55</f>
        <v>1021566</v>
      </c>
      <c r="J111" s="49" t="n">
        <f aca="false">($F111+$G111)*1.012</f>
        <v>2873270.4</v>
      </c>
      <c r="K111" s="100" t="n">
        <f aca="false">IF(($F111+$G111)=0,0,(($F111+$G111)-$J111)/($F111+$G111))</f>
        <v>-0.012</v>
      </c>
      <c r="L111" s="52" t="str">
        <f aca="false">IF($K111&gt;=0,"Green",IF(ABS($K111)&lt;=0.05,"Amber","Red"))</f>
        <v>Amber</v>
      </c>
    </row>
    <row r="112" customFormat="false" ht="13.5" hidden="false" customHeight="true" outlineLevel="0" collapsed="false">
      <c r="A112" s="149" t="s">
        <v>298</v>
      </c>
      <c r="B112" s="150" t="str">
        <f aca="false">IFERROR(INDEX(Projects!$C$9:$C$16,MATCH($A112,Projects!$A$9:$A$16,0)),"")</f>
        <v>Commercial</v>
      </c>
      <c r="C112" s="94" t="n">
        <f aca="false">IF(Dashboard!$C$6="Corporate",1,IF(Dashboard!$C$6="Project",IF($A112=Dashboard!$M$6,1,0),IF($B112=Dashboard!$H$6,1,0)))</f>
        <v>1</v>
      </c>
      <c r="D112" s="160"/>
      <c r="E112" s="30" t="s">
        <v>631</v>
      </c>
      <c r="F112" s="86" t="n">
        <f aca="false">'PT_COM-02'!$E$56</f>
        <v>3276000</v>
      </c>
      <c r="G112" s="92" t="n">
        <v>0</v>
      </c>
      <c r="H112" s="86" t="n">
        <f aca="false">'PT_COM-02'!$G$56</f>
        <v>0</v>
      </c>
      <c r="I112" s="86" t="n">
        <f aca="false">'PT_COM-02'!$H$56</f>
        <v>0</v>
      </c>
      <c r="J112" s="31" t="n">
        <f aca="false">($F112+$G112)*1.012</f>
        <v>3315312</v>
      </c>
      <c r="K112" s="87" t="n">
        <f aca="false">IF(($F112+$G112)=0,0,(($F112+$G112)-$J112)/($F112+$G112))</f>
        <v>-0.012</v>
      </c>
      <c r="L112" s="46" t="str">
        <f aca="false">IF($K112&gt;=0,"Green",IF(ABS($K112)&lt;=0.05,"Amber","Red"))</f>
        <v>Amber</v>
      </c>
    </row>
    <row r="113" customFormat="false" ht="13.5" hidden="false" customHeight="true" outlineLevel="0" collapsed="false">
      <c r="A113" s="47" t="s">
        <v>298</v>
      </c>
      <c r="B113" s="154" t="str">
        <f aca="false">IFERROR(INDEX(Projects!$C$9:$C$16,MATCH($A113,Projects!$A$9:$A$16,0)),"")</f>
        <v>Commercial</v>
      </c>
      <c r="C113" s="155" t="n">
        <f aca="false">IF(Dashboard!$C$6="Corporate",1,IF(Dashboard!$C$6="Project",IF($A113=Dashboard!$M$6,1,0),IF($B113=Dashboard!$H$6,1,0)))</f>
        <v>1</v>
      </c>
      <c r="D113" s="168"/>
      <c r="E113" s="37" t="s">
        <v>632</v>
      </c>
      <c r="F113" s="99" t="n">
        <f aca="false">'PT_COM-02'!$E$57</f>
        <v>0</v>
      </c>
      <c r="G113" s="159" t="n">
        <f aca="false">SUMIFS(Variation_Orders!$K$9:$K$32,Variation_Orders!$A$9:$A$32,$A113,Variation_Orders!$T$9:$T$32,"Approved")</f>
        <v>618259</v>
      </c>
      <c r="H113" s="99" t="n">
        <f aca="false">'PT_COM-02'!$G$57</f>
        <v>113349</v>
      </c>
      <c r="I113" s="99" t="n">
        <f aca="false">'PT_COM-02'!$H$57</f>
        <v>340042</v>
      </c>
      <c r="J113" s="49" t="n">
        <f aca="false">($F113+$G113)*1.012</f>
        <v>625678.108</v>
      </c>
      <c r="K113" s="100" t="n">
        <f aca="false">IF(($F113+$G113)=0,0,(($F113+$G113)-$J113)/($F113+$G113))</f>
        <v>-0.012</v>
      </c>
      <c r="L113" s="52" t="str">
        <f aca="false">IF($K113&gt;=0,"Green",IF(ABS($K113)&lt;=0.05,"Amber","Red"))</f>
        <v>Amber</v>
      </c>
    </row>
    <row r="114" customFormat="false" ht="13.5" hidden="false" customHeight="true" outlineLevel="0" collapsed="false">
      <c r="A114" s="149" t="s">
        <v>300</v>
      </c>
      <c r="B114" s="150" t="str">
        <f aca="false">IFERROR(INDEX(Projects!$C$9:$C$16,MATCH($A114,Projects!$A$9:$A$16,0)),"")</f>
        <v>Mixed Use</v>
      </c>
      <c r="C114" s="94" t="n">
        <f aca="false">IF(Dashboard!$C$6="Corporate",1,IF(Dashboard!$C$6="Project",IF($A114=Dashboard!$M$6,1,0),IF($B114=Dashboard!$H$6,1,0)))</f>
        <v>1</v>
      </c>
      <c r="D114" s="160"/>
      <c r="E114" s="30" t="s">
        <v>622</v>
      </c>
      <c r="F114" s="86" t="n">
        <f aca="false">'PT_MXU-01'!$E$47</f>
        <v>11541285</v>
      </c>
      <c r="G114" s="92" t="n">
        <v>0</v>
      </c>
      <c r="H114" s="86" t="n">
        <f aca="false">'PT_MXU-01'!$G$47</f>
        <v>1275459</v>
      </c>
      <c r="I114" s="86" t="n">
        <f aca="false">'PT_MXU-01'!$H$47</f>
        <v>5784039</v>
      </c>
      <c r="J114" s="31" t="n">
        <f aca="false">($F114+$G114)*1.012</f>
        <v>11679780.42</v>
      </c>
      <c r="K114" s="87" t="n">
        <f aca="false">IF(($F114+$G114)=0,0,(($F114+$G114)-$J114)/($F114+$G114))</f>
        <v>-0.012</v>
      </c>
      <c r="L114" s="46" t="str">
        <f aca="false">IF($K114&gt;=0,"Green",IF(ABS($K114)&lt;=0.05,"Amber","Red"))</f>
        <v>Amber</v>
      </c>
    </row>
    <row r="115" customFormat="false" ht="13.5" hidden="false" customHeight="true" outlineLevel="0" collapsed="false">
      <c r="A115" s="47" t="s">
        <v>300</v>
      </c>
      <c r="B115" s="154" t="str">
        <f aca="false">IFERROR(INDEX(Projects!$C$9:$C$16,MATCH($A115,Projects!$A$9:$A$16,0)),"")</f>
        <v>Mixed Use</v>
      </c>
      <c r="C115" s="155" t="n">
        <f aca="false">IF(Dashboard!$C$6="Corporate",1,IF(Dashboard!$C$6="Project",IF($A115=Dashboard!$M$6,1,0),IF($B115=Dashboard!$H$6,1,0)))</f>
        <v>1</v>
      </c>
      <c r="D115" s="168"/>
      <c r="E115" s="37" t="s">
        <v>623</v>
      </c>
      <c r="F115" s="99" t="n">
        <f aca="false">'PT_MXU-01'!$E$48</f>
        <v>10222281</v>
      </c>
      <c r="G115" s="99" t="n">
        <v>0</v>
      </c>
      <c r="H115" s="99" t="n">
        <f aca="false">'PT_MXU-01'!$G$48</f>
        <v>1084140</v>
      </c>
      <c r="I115" s="99" t="n">
        <f aca="false">'PT_MXU-01'!$H$48</f>
        <v>4627231</v>
      </c>
      <c r="J115" s="49" t="n">
        <f aca="false">($F115+$G115)*1.012</f>
        <v>10344948.372</v>
      </c>
      <c r="K115" s="100" t="n">
        <f aca="false">IF(($F115+$G115)=0,0,(($F115+$G115)-$J115)/($F115+$G115))</f>
        <v>-0.012</v>
      </c>
      <c r="L115" s="52" t="str">
        <f aca="false">IF($K115&gt;=0,"Green",IF(ABS($K115)&lt;=0.05,"Amber","Red"))</f>
        <v>Amber</v>
      </c>
    </row>
    <row r="116" customFormat="false" ht="13.5" hidden="false" customHeight="true" outlineLevel="0" collapsed="false">
      <c r="A116" s="149" t="s">
        <v>300</v>
      </c>
      <c r="B116" s="150" t="str">
        <f aca="false">IFERROR(INDEX(Projects!$C$9:$C$16,MATCH($A116,Projects!$A$9:$A$16,0)),"")</f>
        <v>Mixed Use</v>
      </c>
      <c r="C116" s="94" t="n">
        <f aca="false">IF(Dashboard!$C$6="Corporate",1,IF(Dashboard!$C$6="Project",IF($A116=Dashboard!$M$6,1,0),IF($B116=Dashboard!$H$6,1,0)))</f>
        <v>1</v>
      </c>
      <c r="D116" s="160"/>
      <c r="E116" s="30" t="s">
        <v>624</v>
      </c>
      <c r="F116" s="86" t="n">
        <f aca="false">'PT_MXU-01'!$E$49</f>
        <v>8243775</v>
      </c>
      <c r="G116" s="92" t="n">
        <v>0</v>
      </c>
      <c r="H116" s="86" t="n">
        <f aca="false">'PT_MXU-01'!$G$49</f>
        <v>280601</v>
      </c>
      <c r="I116" s="86" t="n">
        <f aca="false">'PT_MXU-01'!$H$49</f>
        <v>3470423</v>
      </c>
      <c r="J116" s="31" t="n">
        <f aca="false">($F116+$G116)*1.012</f>
        <v>8342700.3</v>
      </c>
      <c r="K116" s="87" t="n">
        <f aca="false">IF(($F116+$G116)=0,0,(($F116+$G116)-$J116)/($F116+$G116))</f>
        <v>-0.012</v>
      </c>
      <c r="L116" s="46" t="str">
        <f aca="false">IF($K116&gt;=0,"Green",IF(ABS($K116)&lt;=0.05,"Amber","Red"))</f>
        <v>Amber</v>
      </c>
    </row>
    <row r="117" customFormat="false" ht="13.5" hidden="false" customHeight="true" outlineLevel="0" collapsed="false">
      <c r="A117" s="47" t="s">
        <v>300</v>
      </c>
      <c r="B117" s="154" t="str">
        <f aca="false">IFERROR(INDEX(Projects!$C$9:$C$16,MATCH($A117,Projects!$A$9:$A$16,0)),"")</f>
        <v>Mixed Use</v>
      </c>
      <c r="C117" s="155" t="n">
        <f aca="false">IF(Dashboard!$C$6="Corporate",1,IF(Dashboard!$C$6="Project",IF($A117=Dashboard!$M$6,1,0),IF($B117=Dashboard!$H$6,1,0)))</f>
        <v>1</v>
      </c>
      <c r="D117" s="168"/>
      <c r="E117" s="37" t="s">
        <v>625</v>
      </c>
      <c r="F117" s="99" t="n">
        <f aca="false">'PT_MXU-01'!$E$50</f>
        <v>12365662</v>
      </c>
      <c r="G117" s="99" t="n">
        <v>0</v>
      </c>
      <c r="H117" s="99" t="n">
        <f aca="false">'PT_MXU-01'!$G$50</f>
        <v>790784</v>
      </c>
      <c r="I117" s="99" t="n">
        <f aca="false">'PT_MXU-01'!$H$50</f>
        <v>4241628</v>
      </c>
      <c r="J117" s="49" t="n">
        <f aca="false">($F117+$G117)*1.012</f>
        <v>12514049.944</v>
      </c>
      <c r="K117" s="100" t="n">
        <f aca="false">IF(($F117+$G117)=0,0,(($F117+$G117)-$J117)/($F117+$G117))</f>
        <v>-0.012</v>
      </c>
      <c r="L117" s="52" t="str">
        <f aca="false">IF($K117&gt;=0,"Green",IF(ABS($K117)&lt;=0.05,"Amber","Red"))</f>
        <v>Amber</v>
      </c>
    </row>
    <row r="118" customFormat="false" ht="13.5" hidden="false" customHeight="true" outlineLevel="0" collapsed="false">
      <c r="A118" s="149" t="s">
        <v>300</v>
      </c>
      <c r="B118" s="150" t="str">
        <f aca="false">IFERROR(INDEX(Projects!$C$9:$C$16,MATCH($A118,Projects!$A$9:$A$16,0)),"")</f>
        <v>Mixed Use</v>
      </c>
      <c r="C118" s="94" t="n">
        <f aca="false">IF(Dashboard!$C$6="Corporate",1,IF(Dashboard!$C$6="Project",IF($A118=Dashboard!$M$6,1,0),IF($B118=Dashboard!$H$6,1,0)))</f>
        <v>1</v>
      </c>
      <c r="D118" s="160"/>
      <c r="E118" s="30" t="s">
        <v>626</v>
      </c>
      <c r="F118" s="86" t="n">
        <f aca="false">'PT_MXU-01'!$E$51</f>
        <v>69247710</v>
      </c>
      <c r="G118" s="92" t="n">
        <v>0</v>
      </c>
      <c r="H118" s="86" t="n">
        <f aca="false">'PT_MXU-01'!$G$51</f>
        <v>6632384</v>
      </c>
      <c r="I118" s="86" t="n">
        <f aca="false">'PT_MXU-01'!$H$51</f>
        <v>36246642</v>
      </c>
      <c r="J118" s="31" t="n">
        <f aca="false">($F118+$G118)*1.012</f>
        <v>70078682.52</v>
      </c>
      <c r="K118" s="87" t="n">
        <f aca="false">IF(($F118+$G118)=0,0,(($F118+$G118)-$J118)/($F118+$G118))</f>
        <v>-0.0119999999999999</v>
      </c>
      <c r="L118" s="46" t="str">
        <f aca="false">IF($K118&gt;=0,"Green",IF(ABS($K118)&lt;=0.05,"Amber","Red"))</f>
        <v>Amber</v>
      </c>
    </row>
    <row r="119" customFormat="false" ht="13.5" hidden="false" customHeight="true" outlineLevel="0" collapsed="false">
      <c r="A119" s="47" t="s">
        <v>300</v>
      </c>
      <c r="B119" s="154" t="str">
        <f aca="false">IFERROR(INDEX(Projects!$C$9:$C$16,MATCH($A119,Projects!$A$9:$A$16,0)),"")</f>
        <v>Mixed Use</v>
      </c>
      <c r="C119" s="155" t="n">
        <f aca="false">IF(Dashboard!$C$6="Corporate",1,IF(Dashboard!$C$6="Project",IF($A119=Dashboard!$M$6,1,0),IF($B119=Dashboard!$H$6,1,0)))</f>
        <v>1</v>
      </c>
      <c r="D119" s="168"/>
      <c r="E119" s="37" t="s">
        <v>627</v>
      </c>
      <c r="F119" s="99" t="n">
        <f aca="false">'PT_MXU-01'!$E$52</f>
        <v>32975100</v>
      </c>
      <c r="G119" s="99" t="n">
        <v>0</v>
      </c>
      <c r="H119" s="99" t="n">
        <f aca="false">'PT_MXU-01'!$G$52</f>
        <v>1913188</v>
      </c>
      <c r="I119" s="99" t="n">
        <f aca="false">'PT_MXU-01'!$H$52</f>
        <v>16580911</v>
      </c>
      <c r="J119" s="49" t="n">
        <f aca="false">($F119+$G119)*1.012</f>
        <v>33370801.2</v>
      </c>
      <c r="K119" s="100" t="n">
        <f aca="false">IF(($F119+$G119)=0,0,(($F119+$G119)-$J119)/($F119+$G119))</f>
        <v>-0.012</v>
      </c>
      <c r="L119" s="52" t="str">
        <f aca="false">IF($K119&gt;=0,"Green",IF(ABS($K119)&lt;=0.05,"Amber","Red"))</f>
        <v>Amber</v>
      </c>
    </row>
    <row r="120" customFormat="false" ht="13.5" hidden="false" customHeight="true" outlineLevel="0" collapsed="false">
      <c r="A120" s="149" t="s">
        <v>300</v>
      </c>
      <c r="B120" s="150" t="str">
        <f aca="false">IFERROR(INDEX(Projects!$C$9:$C$16,MATCH($A120,Projects!$A$9:$A$16,0)),"")</f>
        <v>Mixed Use</v>
      </c>
      <c r="C120" s="94" t="n">
        <f aca="false">IF(Dashboard!$C$6="Corporate",1,IF(Dashboard!$C$6="Project",IF($A120=Dashboard!$M$6,1,0),IF($B120=Dashboard!$H$6,1,0)))</f>
        <v>1</v>
      </c>
      <c r="D120" s="160"/>
      <c r="E120" s="30" t="s">
        <v>628</v>
      </c>
      <c r="F120" s="86" t="n">
        <f aca="false">'PT_MXU-01'!$E$53</f>
        <v>7419398</v>
      </c>
      <c r="G120" s="92" t="n">
        <v>0</v>
      </c>
      <c r="H120" s="86" t="n">
        <f aca="false">'PT_MXU-01'!$G$53</f>
        <v>484674</v>
      </c>
      <c r="I120" s="86" t="n">
        <f aca="false">'PT_MXU-01'!$H$53</f>
        <v>3084821</v>
      </c>
      <c r="J120" s="31" t="n">
        <f aca="false">($F120+$G120)*1.012</f>
        <v>7508430.776</v>
      </c>
      <c r="K120" s="87" t="n">
        <f aca="false">IF(($F120+$G120)=0,0,(($F120+$G120)-$J120)/($F120+$G120))</f>
        <v>-0.0120000000000001</v>
      </c>
      <c r="L120" s="46" t="str">
        <f aca="false">IF($K120&gt;=0,"Green",IF(ABS($K120)&lt;=0.05,"Amber","Red"))</f>
        <v>Amber</v>
      </c>
    </row>
    <row r="121" customFormat="false" ht="13.5" hidden="false" customHeight="true" outlineLevel="0" collapsed="false">
      <c r="A121" s="47" t="s">
        <v>300</v>
      </c>
      <c r="B121" s="154" t="str">
        <f aca="false">IFERROR(INDEX(Projects!$C$9:$C$16,MATCH($A121,Projects!$A$9:$A$16,0)),"")</f>
        <v>Mixed Use</v>
      </c>
      <c r="C121" s="155" t="n">
        <f aca="false">IF(Dashboard!$C$6="Corporate",1,IF(Dashboard!$C$6="Project",IF($A121=Dashboard!$M$6,1,0),IF($B121=Dashboard!$H$6,1,0)))</f>
        <v>1</v>
      </c>
      <c r="D121" s="168"/>
      <c r="E121" s="37" t="s">
        <v>629</v>
      </c>
      <c r="F121" s="99" t="n">
        <f aca="false">'PT_MXU-01'!$E$54</f>
        <v>3627261</v>
      </c>
      <c r="G121" s="99" t="n">
        <v>0</v>
      </c>
      <c r="H121" s="99" t="n">
        <f aca="false">'PT_MXU-01'!$G$54</f>
        <v>280601</v>
      </c>
      <c r="I121" s="99" t="n">
        <f aca="false">'PT_MXU-01'!$H$54</f>
        <v>1542410</v>
      </c>
      <c r="J121" s="49" t="n">
        <f aca="false">($F121+$G121)*1.012</f>
        <v>3670788.132</v>
      </c>
      <c r="K121" s="100" t="n">
        <f aca="false">IF(($F121+$G121)=0,0,(($F121+$G121)-$J121)/($F121+$G121))</f>
        <v>-0.0120000000000001</v>
      </c>
      <c r="L121" s="52" t="str">
        <f aca="false">IF($K121&gt;=0,"Green",IF(ABS($K121)&lt;=0.05,"Amber","Red"))</f>
        <v>Amber</v>
      </c>
    </row>
    <row r="122" customFormat="false" ht="13.5" hidden="false" customHeight="true" outlineLevel="0" collapsed="false">
      <c r="A122" s="149" t="s">
        <v>300</v>
      </c>
      <c r="B122" s="150" t="str">
        <f aca="false">IFERROR(INDEX(Projects!$C$9:$C$16,MATCH($A122,Projects!$A$9:$A$16,0)),"")</f>
        <v>Mixed Use</v>
      </c>
      <c r="C122" s="94" t="n">
        <f aca="false">IF(Dashboard!$C$6="Corporate",1,IF(Dashboard!$C$6="Project",IF($A122=Dashboard!$M$6,1,0),IF($B122=Dashboard!$H$6,1,0)))</f>
        <v>1</v>
      </c>
      <c r="D122" s="160"/>
      <c r="E122" s="30" t="s">
        <v>630</v>
      </c>
      <c r="F122" s="86" t="n">
        <f aca="false">'PT_MXU-01'!$E$55</f>
        <v>4286763</v>
      </c>
      <c r="G122" s="92" t="n">
        <v>0</v>
      </c>
      <c r="H122" s="86" t="n">
        <f aca="false">'PT_MXU-01'!$G$55</f>
        <v>293355</v>
      </c>
      <c r="I122" s="86" t="n">
        <f aca="false">'PT_MXU-01'!$H$55</f>
        <v>1542410</v>
      </c>
      <c r="J122" s="31" t="n">
        <f aca="false">($F122+$G122)*1.012</f>
        <v>4338204.156</v>
      </c>
      <c r="K122" s="87" t="n">
        <f aca="false">IF(($F122+$G122)=0,0,(($F122+$G122)-$J122)/($F122+$G122))</f>
        <v>-0.0120000000000001</v>
      </c>
      <c r="L122" s="46" t="str">
        <f aca="false">IF($K122&gt;=0,"Green",IF(ABS($K122)&lt;=0.05,"Amber","Red"))</f>
        <v>Amber</v>
      </c>
    </row>
    <row r="123" customFormat="false" ht="13.5" hidden="false" customHeight="true" outlineLevel="0" collapsed="false">
      <c r="A123" s="47" t="s">
        <v>300</v>
      </c>
      <c r="B123" s="154" t="str">
        <f aca="false">IFERROR(INDEX(Projects!$C$9:$C$16,MATCH($A123,Projects!$A$9:$A$16,0)),"")</f>
        <v>Mixed Use</v>
      </c>
      <c r="C123" s="155" t="n">
        <f aca="false">IF(Dashboard!$C$6="Corporate",1,IF(Dashboard!$C$6="Project",IF($A123=Dashboard!$M$6,1,0),IF($B123=Dashboard!$H$6,1,0)))</f>
        <v>1</v>
      </c>
      <c r="D123" s="168"/>
      <c r="E123" s="37" t="s">
        <v>631</v>
      </c>
      <c r="F123" s="99" t="n">
        <f aca="false">'PT_MXU-01'!$E$56</f>
        <v>4946265</v>
      </c>
      <c r="G123" s="99" t="n">
        <v>0</v>
      </c>
      <c r="H123" s="99" t="n">
        <f aca="false">'PT_MXU-01'!$G$56</f>
        <v>0</v>
      </c>
      <c r="I123" s="99" t="n">
        <f aca="false">'PT_MXU-01'!$H$56</f>
        <v>0</v>
      </c>
      <c r="J123" s="49" t="n">
        <f aca="false">($F123+$G123)*1.012</f>
        <v>5005620.18</v>
      </c>
      <c r="K123" s="100" t="n">
        <f aca="false">IF(($F123+$G123)=0,0,(($F123+$G123)-$J123)/($F123+$G123))</f>
        <v>-0.0119999999999999</v>
      </c>
      <c r="L123" s="52" t="str">
        <f aca="false">IF($K123&gt;=0,"Green",IF(ABS($K123)&lt;=0.05,"Amber","Red"))</f>
        <v>Amber</v>
      </c>
    </row>
    <row r="124" customFormat="false" ht="13.5" hidden="false" customHeight="true" outlineLevel="0" collapsed="false">
      <c r="A124" s="149" t="s">
        <v>300</v>
      </c>
      <c r="B124" s="150" t="str">
        <f aca="false">IFERROR(INDEX(Projects!$C$9:$C$16,MATCH($A124,Projects!$A$9:$A$16,0)),"")</f>
        <v>Mixed Use</v>
      </c>
      <c r="C124" s="94" t="n">
        <f aca="false">IF(Dashboard!$C$6="Corporate",1,IF(Dashboard!$C$6="Project",IF($A124=Dashboard!$M$6,1,0),IF($B124=Dashboard!$H$6,1,0)))</f>
        <v>1</v>
      </c>
      <c r="D124" s="160"/>
      <c r="E124" s="30" t="s">
        <v>632</v>
      </c>
      <c r="F124" s="86" t="n">
        <f aca="false">'PT_MXU-01'!$E$57</f>
        <v>0</v>
      </c>
      <c r="G124" s="158" t="n">
        <f aca="false">SUMIFS(Variation_Orders!$K$9:$K$32,Variation_Orders!$A$9:$A$32,$A124,Variation_Orders!$T$9:$T$32,"Approved")</f>
        <v>3034827</v>
      </c>
      <c r="H124" s="86" t="n">
        <f aca="false">'PT_MXU-01'!$G$57</f>
        <v>244924</v>
      </c>
      <c r="I124" s="86" t="n">
        <f aca="false">'PT_MXU-01'!$H$57</f>
        <v>1669155</v>
      </c>
      <c r="J124" s="31" t="n">
        <f aca="false">($F124+$G124)*1.012</f>
        <v>3071244.924</v>
      </c>
      <c r="K124" s="87" t="n">
        <f aca="false">IF(($F124+$G124)=0,0,(($F124+$G124)-$J124)/($F124+$G124))</f>
        <v>-0.012</v>
      </c>
      <c r="L124" s="46" t="str">
        <f aca="false">IF($K124&gt;=0,"Green",IF(ABS($K124)&lt;=0.05,"Amber","Red"))</f>
        <v>Amber</v>
      </c>
    </row>
    <row r="125" customFormat="false" ht="13.5" hidden="false" customHeight="true" outlineLevel="0" collapsed="false">
      <c r="A125" s="47" t="s">
        <v>301</v>
      </c>
      <c r="B125" s="154" t="str">
        <f aca="false">IFERROR(INDEX(Projects!$C$9:$C$16,MATCH($A125,Projects!$A$9:$A$16,0)),"")</f>
        <v>Mixed Use</v>
      </c>
      <c r="C125" s="155" t="n">
        <f aca="false">IF(Dashboard!$C$6="Corporate",1,IF(Dashboard!$C$6="Project",IF($A125=Dashboard!$M$6,1,0),IF($B125=Dashboard!$H$6,1,0)))</f>
        <v>1</v>
      </c>
      <c r="D125" s="168"/>
      <c r="E125" s="37" t="s">
        <v>622</v>
      </c>
      <c r="F125" s="99" t="n">
        <f aca="false">'PT_MXU-02'!$E$47</f>
        <v>5828130</v>
      </c>
      <c r="G125" s="99" t="n">
        <v>0</v>
      </c>
      <c r="H125" s="99" t="n">
        <f aca="false">'PT_MXU-02'!$G$47</f>
        <v>1174283</v>
      </c>
      <c r="I125" s="99" t="n">
        <f aca="false">'PT_MXU-02'!$H$47</f>
        <v>2920830</v>
      </c>
      <c r="J125" s="49" t="n">
        <f aca="false">($F125+$G125)*1.012</f>
        <v>5898067.56</v>
      </c>
      <c r="K125" s="100" t="n">
        <f aca="false">IF(($F125+$G125)=0,0,(($F125+$G125)-$J125)/($F125+$G125))</f>
        <v>-0.0120000000000001</v>
      </c>
      <c r="L125" s="52" t="str">
        <f aca="false">IF($K125&gt;=0,"Green",IF(ABS($K125)&lt;=0.05,"Amber","Red"))</f>
        <v>Amber</v>
      </c>
    </row>
    <row r="126" customFormat="false" ht="13.5" hidden="false" customHeight="true" outlineLevel="0" collapsed="false">
      <c r="A126" s="149" t="s">
        <v>301</v>
      </c>
      <c r="B126" s="150" t="str">
        <f aca="false">IFERROR(INDEX(Projects!$C$9:$C$16,MATCH($A126,Projects!$A$9:$A$16,0)),"")</f>
        <v>Mixed Use</v>
      </c>
      <c r="C126" s="94" t="n">
        <f aca="false">IF(Dashboard!$C$6="Corporate",1,IF(Dashboard!$C$6="Project",IF($A126=Dashboard!$M$6,1,0),IF($B126=Dashboard!$H$6,1,0)))</f>
        <v>1</v>
      </c>
      <c r="D126" s="160"/>
      <c r="E126" s="30" t="s">
        <v>623</v>
      </c>
      <c r="F126" s="86" t="n">
        <f aca="false">'PT_MXU-02'!$E$48</f>
        <v>5162058</v>
      </c>
      <c r="G126" s="92" t="n">
        <v>0</v>
      </c>
      <c r="H126" s="86" t="n">
        <f aca="false">'PT_MXU-02'!$G$48</f>
        <v>998141</v>
      </c>
      <c r="I126" s="86" t="n">
        <f aca="false">'PT_MXU-02'!$H$48</f>
        <v>2336664</v>
      </c>
      <c r="J126" s="31" t="n">
        <f aca="false">($F126+$G126)*1.012</f>
        <v>5224002.696</v>
      </c>
      <c r="K126" s="87" t="n">
        <f aca="false">IF(($F126+$G126)=0,0,(($F126+$G126)-$J126)/($F126+$G126))</f>
        <v>-0.0120000000000001</v>
      </c>
      <c r="L126" s="46" t="str">
        <f aca="false">IF($K126&gt;=0,"Green",IF(ABS($K126)&lt;=0.05,"Amber","Red"))</f>
        <v>Amber</v>
      </c>
    </row>
    <row r="127" customFormat="false" ht="13.5" hidden="false" customHeight="true" outlineLevel="0" collapsed="false">
      <c r="A127" s="47" t="s">
        <v>301</v>
      </c>
      <c r="B127" s="154" t="str">
        <f aca="false">IFERROR(INDEX(Projects!$C$9:$C$16,MATCH($A127,Projects!$A$9:$A$16,0)),"")</f>
        <v>Mixed Use</v>
      </c>
      <c r="C127" s="155" t="n">
        <f aca="false">IF(Dashboard!$C$6="Corporate",1,IF(Dashboard!$C$6="Project",IF($A127=Dashboard!$M$6,1,0),IF($B127=Dashboard!$H$6,1,0)))</f>
        <v>1</v>
      </c>
      <c r="D127" s="168"/>
      <c r="E127" s="37" t="s">
        <v>624</v>
      </c>
      <c r="F127" s="99" t="n">
        <f aca="false">'PT_MXU-02'!$E$49</f>
        <v>4162950</v>
      </c>
      <c r="G127" s="99" t="n">
        <v>0</v>
      </c>
      <c r="H127" s="99" t="n">
        <f aca="false">'PT_MXU-02'!$G$49</f>
        <v>258342</v>
      </c>
      <c r="I127" s="99" t="n">
        <f aca="false">'PT_MXU-02'!$H$49</f>
        <v>1752498</v>
      </c>
      <c r="J127" s="49" t="n">
        <f aca="false">($F127+$G127)*1.012</f>
        <v>4212905.4</v>
      </c>
      <c r="K127" s="100" t="n">
        <f aca="false">IF(($F127+$G127)=0,0,(($F127+$G127)-$J127)/($F127+$G127))</f>
        <v>-0.0120000000000001</v>
      </c>
      <c r="L127" s="52" t="str">
        <f aca="false">IF($K127&gt;=0,"Green",IF(ABS($K127)&lt;=0.05,"Amber","Red"))</f>
        <v>Amber</v>
      </c>
    </row>
    <row r="128" customFormat="false" ht="13.5" hidden="false" customHeight="true" outlineLevel="0" collapsed="false">
      <c r="A128" s="149" t="s">
        <v>301</v>
      </c>
      <c r="B128" s="150" t="str">
        <f aca="false">IFERROR(INDEX(Projects!$C$9:$C$16,MATCH($A128,Projects!$A$9:$A$16,0)),"")</f>
        <v>Mixed Use</v>
      </c>
      <c r="C128" s="94" t="n">
        <f aca="false">IF(Dashboard!$C$6="Corporate",1,IF(Dashboard!$C$6="Project",IF($A128=Dashboard!$M$6,1,0),IF($B128=Dashboard!$H$6,1,0)))</f>
        <v>1</v>
      </c>
      <c r="D128" s="160"/>
      <c r="E128" s="30" t="s">
        <v>625</v>
      </c>
      <c r="F128" s="86" t="n">
        <f aca="false">'PT_MXU-02'!$E$50</f>
        <v>6244425</v>
      </c>
      <c r="G128" s="92" t="n">
        <v>0</v>
      </c>
      <c r="H128" s="86" t="n">
        <f aca="false">'PT_MXU-02'!$G$50</f>
        <v>728056</v>
      </c>
      <c r="I128" s="86" t="n">
        <f aca="false">'PT_MXU-02'!$H$50</f>
        <v>2141942</v>
      </c>
      <c r="J128" s="31" t="n">
        <f aca="false">($F128+$G128)*1.012</f>
        <v>6319358.1</v>
      </c>
      <c r="K128" s="87" t="n">
        <f aca="false">IF(($F128+$G128)=0,0,(($F128+$G128)-$J128)/($F128+$G128))</f>
        <v>-0.0119999999999999</v>
      </c>
      <c r="L128" s="46" t="str">
        <f aca="false">IF($K128&gt;=0,"Green",IF(ABS($K128)&lt;=0.05,"Amber","Red"))</f>
        <v>Amber</v>
      </c>
    </row>
    <row r="129" customFormat="false" ht="13.5" hidden="false" customHeight="true" outlineLevel="0" collapsed="false">
      <c r="A129" s="47" t="s">
        <v>301</v>
      </c>
      <c r="B129" s="154" t="str">
        <f aca="false">IFERROR(INDEX(Projects!$C$9:$C$16,MATCH($A129,Projects!$A$9:$A$16,0)),"")</f>
        <v>Mixed Use</v>
      </c>
      <c r="C129" s="155" t="n">
        <f aca="false">IF(Dashboard!$C$6="Corporate",1,IF(Dashboard!$C$6="Project",IF($A129=Dashboard!$M$6,1,0),IF($B129=Dashboard!$H$6,1,0)))</f>
        <v>1</v>
      </c>
      <c r="D129" s="168"/>
      <c r="E129" s="37" t="s">
        <v>626</v>
      </c>
      <c r="F129" s="99" t="n">
        <f aca="false">'PT_MXU-02'!$E$51</f>
        <v>34968780</v>
      </c>
      <c r="G129" s="99" t="n">
        <v>0</v>
      </c>
      <c r="H129" s="99" t="n">
        <f aca="false">'PT_MXU-02'!$G$51</f>
        <v>6106273</v>
      </c>
      <c r="I129" s="99" t="n">
        <f aca="false">'PT_MXU-02'!$H$51</f>
        <v>18303865</v>
      </c>
      <c r="J129" s="49" t="n">
        <f aca="false">($F129+$G129)*1.012</f>
        <v>35388405.36</v>
      </c>
      <c r="K129" s="100" t="n">
        <f aca="false">IF(($F129+$G129)=0,0,(($F129+$G129)-$J129)/($F129+$G129))</f>
        <v>-0.012</v>
      </c>
      <c r="L129" s="52" t="str">
        <f aca="false">IF($K129&gt;=0,"Green",IF(ABS($K129)&lt;=0.05,"Amber","Red"))</f>
        <v>Amber</v>
      </c>
    </row>
    <row r="130" customFormat="false" ht="13.5" hidden="false" customHeight="true" outlineLevel="0" collapsed="false">
      <c r="A130" s="149" t="s">
        <v>301</v>
      </c>
      <c r="B130" s="150" t="str">
        <f aca="false">IFERROR(INDEX(Projects!$C$9:$C$16,MATCH($A130,Projects!$A$9:$A$16,0)),"")</f>
        <v>Mixed Use</v>
      </c>
      <c r="C130" s="94" t="n">
        <f aca="false">IF(Dashboard!$C$6="Corporate",1,IF(Dashboard!$C$6="Project",IF($A130=Dashboard!$M$6,1,0),IF($B130=Dashboard!$H$6,1,0)))</f>
        <v>1</v>
      </c>
      <c r="D130" s="160"/>
      <c r="E130" s="30" t="s">
        <v>627</v>
      </c>
      <c r="F130" s="86" t="n">
        <f aca="false">'PT_MXU-02'!$E$52</f>
        <v>16651800</v>
      </c>
      <c r="G130" s="92" t="n">
        <v>0</v>
      </c>
      <c r="H130" s="86" t="n">
        <f aca="false">'PT_MXU-02'!$G$52</f>
        <v>1761425</v>
      </c>
      <c r="I130" s="86" t="n">
        <f aca="false">'PT_MXU-02'!$H$52</f>
        <v>8373045</v>
      </c>
      <c r="J130" s="31" t="n">
        <f aca="false">($F130+$G130)*1.012</f>
        <v>16851621.6</v>
      </c>
      <c r="K130" s="87" t="n">
        <f aca="false">IF(($F130+$G130)=0,0,(($F130+$G130)-$J130)/($F130+$G130))</f>
        <v>-0.0120000000000001</v>
      </c>
      <c r="L130" s="46" t="str">
        <f aca="false">IF($K130&gt;=0,"Green",IF(ABS($K130)&lt;=0.05,"Amber","Red"))</f>
        <v>Amber</v>
      </c>
    </row>
    <row r="131" customFormat="false" ht="13.5" hidden="false" customHeight="true" outlineLevel="0" collapsed="false">
      <c r="A131" s="47" t="s">
        <v>301</v>
      </c>
      <c r="B131" s="154" t="str">
        <f aca="false">IFERROR(INDEX(Projects!$C$9:$C$16,MATCH($A131,Projects!$A$9:$A$16,0)),"")</f>
        <v>Mixed Use</v>
      </c>
      <c r="C131" s="155" t="n">
        <f aca="false">IF(Dashboard!$C$6="Corporate",1,IF(Dashboard!$C$6="Project",IF($A131=Dashboard!$M$6,1,0),IF($B131=Dashboard!$H$6,1,0)))</f>
        <v>1</v>
      </c>
      <c r="D131" s="168"/>
      <c r="E131" s="37" t="s">
        <v>628</v>
      </c>
      <c r="F131" s="99" t="n">
        <f aca="false">'PT_MXU-02'!$E$53</f>
        <v>3746655</v>
      </c>
      <c r="G131" s="99" t="n">
        <v>0</v>
      </c>
      <c r="H131" s="99" t="n">
        <f aca="false">'PT_MXU-02'!$G$53</f>
        <v>446228</v>
      </c>
      <c r="I131" s="99" t="n">
        <f aca="false">'PT_MXU-02'!$H$53</f>
        <v>1557776</v>
      </c>
      <c r="J131" s="49" t="n">
        <f aca="false">($F131+$G131)*1.012</f>
        <v>3791614.86</v>
      </c>
      <c r="K131" s="100" t="n">
        <f aca="false">IF(($F131+$G131)=0,0,(($F131+$G131)-$J131)/($F131+$G131))</f>
        <v>-0.012</v>
      </c>
      <c r="L131" s="52" t="str">
        <f aca="false">IF($K131&gt;=0,"Green",IF(ABS($K131)&lt;=0.05,"Amber","Red"))</f>
        <v>Amber</v>
      </c>
    </row>
    <row r="132" customFormat="false" ht="13.5" hidden="false" customHeight="true" outlineLevel="0" collapsed="false">
      <c r="A132" s="149" t="s">
        <v>301</v>
      </c>
      <c r="B132" s="150" t="str">
        <f aca="false">IFERROR(INDEX(Projects!$C$9:$C$16,MATCH($A132,Projects!$A$9:$A$16,0)),"")</f>
        <v>Mixed Use</v>
      </c>
      <c r="C132" s="94" t="n">
        <f aca="false">IF(Dashboard!$C$6="Corporate",1,IF(Dashboard!$C$6="Project",IF($A132=Dashboard!$M$6,1,0),IF($B132=Dashboard!$H$6,1,0)))</f>
        <v>1</v>
      </c>
      <c r="D132" s="160"/>
      <c r="E132" s="30" t="s">
        <v>629</v>
      </c>
      <c r="F132" s="86" t="n">
        <f aca="false">'PT_MXU-02'!$E$54</f>
        <v>1831698</v>
      </c>
      <c r="G132" s="92" t="n">
        <v>0</v>
      </c>
      <c r="H132" s="86" t="n">
        <f aca="false">'PT_MXU-02'!$G$54</f>
        <v>258342</v>
      </c>
      <c r="I132" s="86" t="n">
        <f aca="false">'PT_MXU-02'!$H$54</f>
        <v>778888</v>
      </c>
      <c r="J132" s="31" t="n">
        <f aca="false">($F132+$G132)*1.012</f>
        <v>1853678.376</v>
      </c>
      <c r="K132" s="87" t="n">
        <f aca="false">IF(($F132+$G132)=0,0,(($F132+$G132)-$J132)/($F132+$G132))</f>
        <v>-0.012</v>
      </c>
      <c r="L132" s="46" t="str">
        <f aca="false">IF($K132&gt;=0,"Green",IF(ABS($K132)&lt;=0.05,"Amber","Red"))</f>
        <v>Amber</v>
      </c>
    </row>
    <row r="133" customFormat="false" ht="13.5" hidden="false" customHeight="true" outlineLevel="0" collapsed="false">
      <c r="A133" s="47" t="s">
        <v>301</v>
      </c>
      <c r="B133" s="154" t="str">
        <f aca="false">IFERROR(INDEX(Projects!$C$9:$C$16,MATCH($A133,Projects!$A$9:$A$16,0)),"")</f>
        <v>Mixed Use</v>
      </c>
      <c r="C133" s="155" t="n">
        <f aca="false">IF(Dashboard!$C$6="Corporate",1,IF(Dashboard!$C$6="Project",IF($A133=Dashboard!$M$6,1,0),IF($B133=Dashboard!$H$6,1,0)))</f>
        <v>1</v>
      </c>
      <c r="D133" s="168"/>
      <c r="E133" s="37" t="s">
        <v>630</v>
      </c>
      <c r="F133" s="99" t="n">
        <f aca="false">'PT_MXU-02'!$E$55</f>
        <v>2164734</v>
      </c>
      <c r="G133" s="99" t="n">
        <v>0</v>
      </c>
      <c r="H133" s="99" t="n">
        <f aca="false">'PT_MXU-02'!$G$55</f>
        <v>270085</v>
      </c>
      <c r="I133" s="99" t="n">
        <f aca="false">'PT_MXU-02'!$H$55</f>
        <v>778888</v>
      </c>
      <c r="J133" s="49" t="n">
        <f aca="false">($F133+$G133)*1.012</f>
        <v>2190710.808</v>
      </c>
      <c r="K133" s="100" t="n">
        <f aca="false">IF(($F133+$G133)=0,0,(($F133+$G133)-$J133)/($F133+$G133))</f>
        <v>-0.0120000000000001</v>
      </c>
      <c r="L133" s="52" t="str">
        <f aca="false">IF($K133&gt;=0,"Green",IF(ABS($K133)&lt;=0.05,"Amber","Red"))</f>
        <v>Amber</v>
      </c>
    </row>
    <row r="134" customFormat="false" ht="13.5" hidden="false" customHeight="true" outlineLevel="0" collapsed="false">
      <c r="A134" s="149" t="s">
        <v>301</v>
      </c>
      <c r="B134" s="150" t="str">
        <f aca="false">IFERROR(INDEX(Projects!$C$9:$C$16,MATCH($A134,Projects!$A$9:$A$16,0)),"")</f>
        <v>Mixed Use</v>
      </c>
      <c r="C134" s="94" t="n">
        <f aca="false">IF(Dashboard!$C$6="Corporate",1,IF(Dashboard!$C$6="Project",IF($A134=Dashboard!$M$6,1,0),IF($B134=Dashboard!$H$6,1,0)))</f>
        <v>1</v>
      </c>
      <c r="D134" s="160"/>
      <c r="E134" s="30" t="s">
        <v>631</v>
      </c>
      <c r="F134" s="86" t="n">
        <f aca="false">'PT_MXU-02'!$E$56</f>
        <v>2497770</v>
      </c>
      <c r="G134" s="92" t="n">
        <v>0</v>
      </c>
      <c r="H134" s="86" t="n">
        <f aca="false">'PT_MXU-02'!$G$56</f>
        <v>0</v>
      </c>
      <c r="I134" s="86" t="n">
        <f aca="false">'PT_MXU-02'!$H$56</f>
        <v>0</v>
      </c>
      <c r="J134" s="31" t="n">
        <f aca="false">($F134+$G134)*1.012</f>
        <v>2527743.24</v>
      </c>
      <c r="K134" s="87" t="n">
        <f aca="false">IF(($F134+$G134)=0,0,(($F134+$G134)-$J134)/($F134+$G134))</f>
        <v>-0.0120000000000001</v>
      </c>
      <c r="L134" s="46" t="str">
        <f aca="false">IF($K134&gt;=0,"Green",IF(ABS($K134)&lt;=0.05,"Amber","Red"))</f>
        <v>Amber</v>
      </c>
    </row>
    <row r="135" customFormat="false" ht="13.5" hidden="false" customHeight="true" outlineLevel="0" collapsed="false">
      <c r="A135" s="47" t="s">
        <v>301</v>
      </c>
      <c r="B135" s="154" t="str">
        <f aca="false">IFERROR(INDEX(Projects!$C$9:$C$16,MATCH($A135,Projects!$A$9:$A$16,0)),"")</f>
        <v>Mixed Use</v>
      </c>
      <c r="C135" s="155" t="n">
        <f aca="false">IF(Dashboard!$C$6="Corporate",1,IF(Dashboard!$C$6="Project",IF($A135=Dashboard!$M$6,1,0),IF($B135=Dashboard!$H$6,1,0)))</f>
        <v>1</v>
      </c>
      <c r="D135" s="168"/>
      <c r="E135" s="37" t="s">
        <v>632</v>
      </c>
      <c r="F135" s="99" t="n">
        <f aca="false">'PT_MXU-02'!$E$57</f>
        <v>0</v>
      </c>
      <c r="G135" s="159" t="n">
        <f aca="false">SUMIFS(Variation_Orders!$K$9:$K$32,Variation_Orders!$A$9:$A$32,$A135,Variation_Orders!$T$9:$T$32,"Approved")</f>
        <v>474098</v>
      </c>
      <c r="H135" s="99" t="n">
        <f aca="false">'PT_MXU-02'!$G$57</f>
        <v>69741</v>
      </c>
      <c r="I135" s="99" t="n">
        <f aca="false">'PT_MXU-02'!$H$57</f>
        <v>260754</v>
      </c>
      <c r="J135" s="49" t="n">
        <f aca="false">($F135+$G135)*1.012</f>
        <v>479787.176</v>
      </c>
      <c r="K135" s="100" t="n">
        <f aca="false">IF(($F135+$G135)=0,0,(($F135+$G135)-$J135)/($F135+$G135))</f>
        <v>-0.012</v>
      </c>
      <c r="L135" s="52" t="str">
        <f aca="false">IF($K135&gt;=0,"Green",IF(ABS($K135)&lt;=0.05,"Amber","Red"))</f>
        <v>Amber</v>
      </c>
    </row>
    <row r="136" customFormat="false" ht="13.5" hidden="false" customHeight="true" outlineLevel="0" collapsed="false">
      <c r="A136" s="149" t="s">
        <v>303</v>
      </c>
      <c r="B136" s="150" t="str">
        <f aca="false">IFERROR(INDEX(Projects!$C$9:$C$16,MATCH($A136,Projects!$A$9:$A$16,0)),"")</f>
        <v>Land Development</v>
      </c>
      <c r="C136" s="94" t="n">
        <f aca="false">IF(Dashboard!$C$6="Corporate",1,IF(Dashboard!$C$6="Project",IF($A136=Dashboard!$M$6,1,0),IF($B136=Dashboard!$H$6,1,0)))</f>
        <v>1</v>
      </c>
      <c r="D136" s="160"/>
      <c r="E136" s="30" t="s">
        <v>622</v>
      </c>
      <c r="F136" s="86" t="n">
        <f aca="false">'PT_LND-01'!$E$47</f>
        <v>8634430</v>
      </c>
      <c r="G136" s="92" t="n">
        <v>0</v>
      </c>
      <c r="H136" s="86" t="n">
        <f aca="false">'PT_LND-01'!$G$47</f>
        <v>1964686</v>
      </c>
      <c r="I136" s="86" t="n">
        <f aca="false">'PT_LND-01'!$H$47</f>
        <v>4327237</v>
      </c>
      <c r="J136" s="31" t="n">
        <f aca="false">($F136+$G136)*1.012</f>
        <v>8738043.16</v>
      </c>
      <c r="K136" s="87" t="n">
        <f aca="false">IF(($F136+$G136)=0,0,(($F136+$G136)-$J136)/($F136+$G136))</f>
        <v>-0.012</v>
      </c>
      <c r="L136" s="46" t="str">
        <f aca="false">IF($K136&gt;=0,"Green",IF(ABS($K136)&lt;=0.05,"Amber","Red"))</f>
        <v>Amber</v>
      </c>
    </row>
    <row r="137" customFormat="false" ht="13.5" hidden="false" customHeight="true" outlineLevel="0" collapsed="false">
      <c r="A137" s="47" t="s">
        <v>303</v>
      </c>
      <c r="B137" s="154" t="str">
        <f aca="false">IFERROR(INDEX(Projects!$C$9:$C$16,MATCH($A137,Projects!$A$9:$A$16,0)),"")</f>
        <v>Land Development</v>
      </c>
      <c r="C137" s="155" t="n">
        <f aca="false">IF(Dashboard!$C$6="Corporate",1,IF(Dashboard!$C$6="Project",IF($A137=Dashboard!$M$6,1,0),IF($B137=Dashboard!$H$6,1,0)))</f>
        <v>1</v>
      </c>
      <c r="D137" s="168"/>
      <c r="E137" s="37" t="s">
        <v>623</v>
      </c>
      <c r="F137" s="99" t="n">
        <f aca="false">'PT_LND-01'!$E$48</f>
        <v>7647638</v>
      </c>
      <c r="G137" s="99" t="n">
        <v>0</v>
      </c>
      <c r="H137" s="99" t="n">
        <f aca="false">'PT_LND-01'!$G$48</f>
        <v>1669983</v>
      </c>
      <c r="I137" s="99" t="n">
        <f aca="false">'PT_LND-01'!$H$48</f>
        <v>3461790</v>
      </c>
      <c r="J137" s="49" t="n">
        <f aca="false">($F137+$G137)*1.012</f>
        <v>7739409.656</v>
      </c>
      <c r="K137" s="100" t="n">
        <f aca="false">IF(($F137+$G137)=0,0,(($F137+$G137)-$J137)/($F137+$G137))</f>
        <v>-0.0120000000000001</v>
      </c>
      <c r="L137" s="52" t="str">
        <f aca="false">IF($K137&gt;=0,"Green",IF(ABS($K137)&lt;=0.05,"Amber","Red"))</f>
        <v>Amber</v>
      </c>
    </row>
    <row r="138" customFormat="false" ht="13.5" hidden="false" customHeight="true" outlineLevel="0" collapsed="false">
      <c r="A138" s="149" t="s">
        <v>303</v>
      </c>
      <c r="B138" s="150" t="str">
        <f aca="false">IFERROR(INDEX(Projects!$C$9:$C$16,MATCH($A138,Projects!$A$9:$A$16,0)),"")</f>
        <v>Land Development</v>
      </c>
      <c r="C138" s="94" t="n">
        <f aca="false">IF(Dashboard!$C$6="Corporate",1,IF(Dashboard!$C$6="Project",IF($A138=Dashboard!$M$6,1,0),IF($B138=Dashboard!$H$6,1,0)))</f>
        <v>1</v>
      </c>
      <c r="D138" s="160"/>
      <c r="E138" s="30" t="s">
        <v>624</v>
      </c>
      <c r="F138" s="86" t="n">
        <f aca="false">'PT_LND-01'!$E$49</f>
        <v>6167450</v>
      </c>
      <c r="G138" s="92" t="n">
        <v>0</v>
      </c>
      <c r="H138" s="86" t="n">
        <f aca="false">'PT_LND-01'!$G$49</f>
        <v>432231</v>
      </c>
      <c r="I138" s="86" t="n">
        <f aca="false">'PT_LND-01'!$H$49</f>
        <v>2596342</v>
      </c>
      <c r="J138" s="31" t="n">
        <f aca="false">($F138+$G138)*1.012</f>
        <v>6241459.4</v>
      </c>
      <c r="K138" s="87" t="n">
        <f aca="false">IF(($F138+$G138)=0,0,(($F138+$G138)-$J138)/($F138+$G138))</f>
        <v>-0.0120000000000001</v>
      </c>
      <c r="L138" s="46" t="str">
        <f aca="false">IF($K138&gt;=0,"Green",IF(ABS($K138)&lt;=0.05,"Amber","Red"))</f>
        <v>Amber</v>
      </c>
    </row>
    <row r="139" customFormat="false" ht="13.5" hidden="false" customHeight="true" outlineLevel="0" collapsed="false">
      <c r="A139" s="47" t="s">
        <v>303</v>
      </c>
      <c r="B139" s="154" t="str">
        <f aca="false">IFERROR(INDEX(Projects!$C$9:$C$16,MATCH($A139,Projects!$A$9:$A$16,0)),"")</f>
        <v>Land Development</v>
      </c>
      <c r="C139" s="155" t="n">
        <f aca="false">IF(Dashboard!$C$6="Corporate",1,IF(Dashboard!$C$6="Project",IF($A139=Dashboard!$M$6,1,0),IF($B139=Dashboard!$H$6,1,0)))</f>
        <v>1</v>
      </c>
      <c r="D139" s="168"/>
      <c r="E139" s="37" t="s">
        <v>625</v>
      </c>
      <c r="F139" s="99" t="n">
        <f aca="false">'PT_LND-01'!$E$50</f>
        <v>9251175</v>
      </c>
      <c r="G139" s="99" t="n">
        <v>0</v>
      </c>
      <c r="H139" s="99" t="n">
        <f aca="false">'PT_LND-01'!$G$50</f>
        <v>1218105</v>
      </c>
      <c r="I139" s="99" t="n">
        <f aca="false">'PT_LND-01'!$H$50</f>
        <v>3173307</v>
      </c>
      <c r="J139" s="49" t="n">
        <f aca="false">($F139+$G139)*1.012</f>
        <v>9362189.1</v>
      </c>
      <c r="K139" s="100" t="n">
        <f aca="false">IF(($F139+$G139)=0,0,(($F139+$G139)-$J139)/($F139+$G139))</f>
        <v>-0.012</v>
      </c>
      <c r="L139" s="52" t="str">
        <f aca="false">IF($K139&gt;=0,"Green",IF(ABS($K139)&lt;=0.05,"Amber","Red"))</f>
        <v>Amber</v>
      </c>
    </row>
    <row r="140" customFormat="false" ht="13.5" hidden="false" customHeight="true" outlineLevel="0" collapsed="false">
      <c r="A140" s="149" t="s">
        <v>303</v>
      </c>
      <c r="B140" s="150" t="str">
        <f aca="false">IFERROR(INDEX(Projects!$C$9:$C$16,MATCH($A140,Projects!$A$9:$A$16,0)),"")</f>
        <v>Land Development</v>
      </c>
      <c r="C140" s="94" t="n">
        <f aca="false">IF(Dashboard!$C$6="Corporate",1,IF(Dashboard!$C$6="Project",IF($A140=Dashboard!$M$6,1,0),IF($B140=Dashboard!$H$6,1,0)))</f>
        <v>1</v>
      </c>
      <c r="D140" s="160"/>
      <c r="E140" s="30" t="s">
        <v>626</v>
      </c>
      <c r="F140" s="86" t="n">
        <f aca="false">'PT_LND-01'!$E$51</f>
        <v>51806580</v>
      </c>
      <c r="G140" s="92" t="n">
        <v>0</v>
      </c>
      <c r="H140" s="86" t="n">
        <f aca="false">'PT_LND-01'!$G$51</f>
        <v>10216368</v>
      </c>
      <c r="I140" s="86" t="n">
        <f aca="false">'PT_LND-01'!$H$51</f>
        <v>27117353</v>
      </c>
      <c r="J140" s="31" t="n">
        <f aca="false">($F140+$G140)*1.012</f>
        <v>52428258.96</v>
      </c>
      <c r="K140" s="87" t="n">
        <f aca="false">IF(($F140+$G140)=0,0,(($F140+$G140)-$J140)/($F140+$G140))</f>
        <v>-0.012</v>
      </c>
      <c r="L140" s="46" t="str">
        <f aca="false">IF($K140&gt;=0,"Green",IF(ABS($K140)&lt;=0.05,"Amber","Red"))</f>
        <v>Amber</v>
      </c>
    </row>
    <row r="141" customFormat="false" ht="13.5" hidden="false" customHeight="true" outlineLevel="0" collapsed="false">
      <c r="A141" s="47" t="s">
        <v>303</v>
      </c>
      <c r="B141" s="154" t="str">
        <f aca="false">IFERROR(INDEX(Projects!$C$9:$C$16,MATCH($A141,Projects!$A$9:$A$16,0)),"")</f>
        <v>Land Development</v>
      </c>
      <c r="C141" s="155" t="n">
        <f aca="false">IF(Dashboard!$C$6="Corporate",1,IF(Dashboard!$C$6="Project",IF($A141=Dashboard!$M$6,1,0),IF($B141=Dashboard!$H$6,1,0)))</f>
        <v>1</v>
      </c>
      <c r="D141" s="168"/>
      <c r="E141" s="37" t="s">
        <v>627</v>
      </c>
      <c r="F141" s="99" t="n">
        <f aca="false">'PT_LND-01'!$E$52</f>
        <v>24669800</v>
      </c>
      <c r="G141" s="99" t="n">
        <v>0</v>
      </c>
      <c r="H141" s="99" t="n">
        <f aca="false">'PT_LND-01'!$G$52</f>
        <v>2947029</v>
      </c>
      <c r="I141" s="99" t="n">
        <f aca="false">'PT_LND-01'!$H$52</f>
        <v>12404747</v>
      </c>
      <c r="J141" s="49" t="n">
        <f aca="false">($F141+$G141)*1.012</f>
        <v>24965837.6</v>
      </c>
      <c r="K141" s="100" t="n">
        <f aca="false">IF(($F141+$G141)=0,0,(($F141+$G141)-$J141)/($F141+$G141))</f>
        <v>-0.0120000000000001</v>
      </c>
      <c r="L141" s="52" t="str">
        <f aca="false">IF($K141&gt;=0,"Green",IF(ABS($K141)&lt;=0.05,"Amber","Red"))</f>
        <v>Amber</v>
      </c>
    </row>
    <row r="142" customFormat="false" ht="13.5" hidden="false" customHeight="true" outlineLevel="0" collapsed="false">
      <c r="A142" s="149" t="s">
        <v>303</v>
      </c>
      <c r="B142" s="150" t="str">
        <f aca="false">IFERROR(INDEX(Projects!$C$9:$C$16,MATCH($A142,Projects!$A$9:$A$16,0)),"")</f>
        <v>Land Development</v>
      </c>
      <c r="C142" s="94" t="n">
        <f aca="false">IF(Dashboard!$C$6="Corporate",1,IF(Dashboard!$C$6="Project",IF($A142=Dashboard!$M$6,1,0),IF($B142=Dashboard!$H$6,1,0)))</f>
        <v>1</v>
      </c>
      <c r="D142" s="160"/>
      <c r="E142" s="30" t="s">
        <v>628</v>
      </c>
      <c r="F142" s="86" t="n">
        <f aca="false">'PT_LND-01'!$E$53</f>
        <v>5550705</v>
      </c>
      <c r="G142" s="92" t="n">
        <v>0</v>
      </c>
      <c r="H142" s="86" t="n">
        <f aca="false">'PT_LND-01'!$G$53</f>
        <v>746581</v>
      </c>
      <c r="I142" s="86" t="n">
        <f aca="false">'PT_LND-01'!$H$53</f>
        <v>2307860</v>
      </c>
      <c r="J142" s="31" t="n">
        <f aca="false">($F142+$G142)*1.012</f>
        <v>5617313.46</v>
      </c>
      <c r="K142" s="87" t="n">
        <f aca="false">IF(($F142+$G142)=0,0,(($F142+$G142)-$J142)/($F142+$G142))</f>
        <v>-0.012</v>
      </c>
      <c r="L142" s="46" t="str">
        <f aca="false">IF($K142&gt;=0,"Green",IF(ABS($K142)&lt;=0.05,"Amber","Red"))</f>
        <v>Amber</v>
      </c>
    </row>
    <row r="143" customFormat="false" ht="13.5" hidden="false" customHeight="true" outlineLevel="0" collapsed="false">
      <c r="A143" s="47" t="s">
        <v>303</v>
      </c>
      <c r="B143" s="154" t="str">
        <f aca="false">IFERROR(INDEX(Projects!$C$9:$C$16,MATCH($A143,Projects!$A$9:$A$16,0)),"")</f>
        <v>Land Development</v>
      </c>
      <c r="C143" s="155" t="n">
        <f aca="false">IF(Dashboard!$C$6="Corporate",1,IF(Dashboard!$C$6="Project",IF($A143=Dashboard!$M$6,1,0),IF($B143=Dashboard!$H$6,1,0)))</f>
        <v>1</v>
      </c>
      <c r="D143" s="168"/>
      <c r="E143" s="37" t="s">
        <v>629</v>
      </c>
      <c r="F143" s="99" t="n">
        <f aca="false">'PT_LND-01'!$E$54</f>
        <v>2713678</v>
      </c>
      <c r="G143" s="99" t="n">
        <v>0</v>
      </c>
      <c r="H143" s="99" t="n">
        <f aca="false">'PT_LND-01'!$G$54</f>
        <v>432231</v>
      </c>
      <c r="I143" s="99" t="n">
        <f aca="false">'PT_LND-01'!$H$54</f>
        <v>1153930</v>
      </c>
      <c r="J143" s="49" t="n">
        <f aca="false">($F143+$G143)*1.012</f>
        <v>2746242.136</v>
      </c>
      <c r="K143" s="100" t="n">
        <f aca="false">IF(($F143+$G143)=0,0,(($F143+$G143)-$J143)/($F143+$G143))</f>
        <v>-0.012</v>
      </c>
      <c r="L143" s="52" t="str">
        <f aca="false">IF($K143&gt;=0,"Green",IF(ABS($K143)&lt;=0.05,"Amber","Red"))</f>
        <v>Amber</v>
      </c>
    </row>
    <row r="144" customFormat="false" ht="13.5" hidden="false" customHeight="true" outlineLevel="0" collapsed="false">
      <c r="A144" s="149" t="s">
        <v>303</v>
      </c>
      <c r="B144" s="150" t="str">
        <f aca="false">IFERROR(INDEX(Projects!$C$9:$C$16,MATCH($A144,Projects!$A$9:$A$16,0)),"")</f>
        <v>Land Development</v>
      </c>
      <c r="C144" s="94" t="n">
        <f aca="false">IF(Dashboard!$C$6="Corporate",1,IF(Dashboard!$C$6="Project",IF($A144=Dashboard!$M$6,1,0),IF($B144=Dashboard!$H$6,1,0)))</f>
        <v>1</v>
      </c>
      <c r="D144" s="160"/>
      <c r="E144" s="30" t="s">
        <v>630</v>
      </c>
      <c r="F144" s="86" t="n">
        <f aca="false">'PT_LND-01'!$E$55</f>
        <v>3207074</v>
      </c>
      <c r="G144" s="92" t="n">
        <v>0</v>
      </c>
      <c r="H144" s="86" t="n">
        <f aca="false">'PT_LND-01'!$G$55</f>
        <v>451878</v>
      </c>
      <c r="I144" s="86" t="n">
        <f aca="false">'PT_LND-01'!$H$55</f>
        <v>1153930</v>
      </c>
      <c r="J144" s="31" t="n">
        <f aca="false">($F144+$G144)*1.012</f>
        <v>3245558.888</v>
      </c>
      <c r="K144" s="87" t="n">
        <f aca="false">IF(($F144+$G144)=0,0,(($F144+$G144)-$J144)/($F144+$G144))</f>
        <v>-0.0119999999999999</v>
      </c>
      <c r="L144" s="46" t="str">
        <f aca="false">IF($K144&gt;=0,"Green",IF(ABS($K144)&lt;=0.05,"Amber","Red"))</f>
        <v>Amber</v>
      </c>
    </row>
    <row r="145" customFormat="false" ht="13.5" hidden="false" customHeight="true" outlineLevel="0" collapsed="false">
      <c r="A145" s="47" t="s">
        <v>303</v>
      </c>
      <c r="B145" s="154" t="str">
        <f aca="false">IFERROR(INDEX(Projects!$C$9:$C$16,MATCH($A145,Projects!$A$9:$A$16,0)),"")</f>
        <v>Land Development</v>
      </c>
      <c r="C145" s="155" t="n">
        <f aca="false">IF(Dashboard!$C$6="Corporate",1,IF(Dashboard!$C$6="Project",IF($A145=Dashboard!$M$6,1,0),IF($B145=Dashboard!$H$6,1,0)))</f>
        <v>1</v>
      </c>
      <c r="D145" s="168"/>
      <c r="E145" s="37" t="s">
        <v>631</v>
      </c>
      <c r="F145" s="99" t="n">
        <f aca="false">'PT_LND-01'!$E$56</f>
        <v>3700470</v>
      </c>
      <c r="G145" s="99" t="n">
        <v>0</v>
      </c>
      <c r="H145" s="99" t="n">
        <f aca="false">'PT_LND-01'!$G$56</f>
        <v>0</v>
      </c>
      <c r="I145" s="99" t="n">
        <f aca="false">'PT_LND-01'!$H$56</f>
        <v>0</v>
      </c>
      <c r="J145" s="49" t="n">
        <f aca="false">($F145+$G145)*1.012</f>
        <v>3744875.64</v>
      </c>
      <c r="K145" s="100" t="n">
        <f aca="false">IF(($F145+$G145)=0,0,(($F145+$G145)-$J145)/($F145+$G145))</f>
        <v>-0.012</v>
      </c>
      <c r="L145" s="52" t="str">
        <f aca="false">IF($K145&gt;=0,"Green",IF(ABS($K145)&lt;=0.05,"Amber","Red"))</f>
        <v>Amber</v>
      </c>
    </row>
    <row r="146" customFormat="false" ht="13.5" hidden="false" customHeight="true" outlineLevel="0" collapsed="false">
      <c r="A146" s="149" t="s">
        <v>303</v>
      </c>
      <c r="B146" s="150" t="str">
        <f aca="false">IFERROR(INDEX(Projects!$C$9:$C$16,MATCH($A146,Projects!$A$9:$A$16,0)),"")</f>
        <v>Land Development</v>
      </c>
      <c r="C146" s="94" t="n">
        <f aca="false">IF(Dashboard!$C$6="Corporate",1,IF(Dashboard!$C$6="Project",IF($A146=Dashboard!$M$6,1,0),IF($B146=Dashboard!$H$6,1,0)))</f>
        <v>1</v>
      </c>
      <c r="D146" s="160"/>
      <c r="E146" s="30" t="s">
        <v>632</v>
      </c>
      <c r="F146" s="86" t="n">
        <f aca="false">'PT_LND-01'!$E$57</f>
        <v>0</v>
      </c>
      <c r="G146" s="158" t="n">
        <f aca="false">SUMIFS(Variation_Orders!$K$9:$K$32,Variation_Orders!$A$9:$A$32,$A146,Variation_Orders!$T$9:$T$32,"Approved")</f>
        <v>2322954</v>
      </c>
      <c r="H146" s="86" t="n">
        <f aca="false">'PT_LND-01'!$G$57</f>
        <v>386002</v>
      </c>
      <c r="I146" s="86" t="n">
        <f aca="false">'PT_LND-01'!$H$57</f>
        <v>1277625</v>
      </c>
      <c r="J146" s="31" t="n">
        <f aca="false">($F146+$G146)*1.012</f>
        <v>2350829.448</v>
      </c>
      <c r="K146" s="87" t="n">
        <f aca="false">IF(($F146+$G146)=0,0,(($F146+$G146)-$J146)/($F146+$G146))</f>
        <v>-0.0119999999999999</v>
      </c>
      <c r="L146" s="46" t="str">
        <f aca="false">IF($K146&gt;=0,"Green",IF(ABS($K146)&lt;=0.05,"Amber","Red"))</f>
        <v>Amber</v>
      </c>
    </row>
    <row r="147" customFormat="false" ht="13.5" hidden="false" customHeight="true" outlineLevel="0" collapsed="false">
      <c r="A147" s="47" t="s">
        <v>304</v>
      </c>
      <c r="B147" s="154" t="str">
        <f aca="false">IFERROR(INDEX(Projects!$C$9:$C$16,MATCH($A147,Projects!$A$9:$A$16,0)),"")</f>
        <v>Land Development</v>
      </c>
      <c r="C147" s="155" t="n">
        <f aca="false">IF(Dashboard!$C$6="Corporate",1,IF(Dashboard!$C$6="Project",IF($A147=Dashboard!$M$6,1,0),IF($B147=Dashboard!$H$6,1,0)))</f>
        <v>1</v>
      </c>
      <c r="D147" s="168"/>
      <c r="E147" s="37" t="s">
        <v>622</v>
      </c>
      <c r="F147" s="99" t="n">
        <f aca="false">'PT_LND-02'!$E$47</f>
        <v>4096733</v>
      </c>
      <c r="G147" s="99" t="n">
        <v>0</v>
      </c>
      <c r="H147" s="99" t="n">
        <f aca="false">'PT_LND-02'!$G$47</f>
        <v>865745</v>
      </c>
      <c r="I147" s="99" t="n">
        <f aca="false">'PT_LND-02'!$H$47</f>
        <v>2053121</v>
      </c>
      <c r="J147" s="49" t="n">
        <f aca="false">($F147+$G147)*1.012</f>
        <v>4145893.796</v>
      </c>
      <c r="K147" s="100" t="n">
        <f aca="false">IF(($F147+$G147)=0,0,(($F147+$G147)-$J147)/($F147+$G147))</f>
        <v>-0.012</v>
      </c>
      <c r="L147" s="52" t="str">
        <f aca="false">IF($K147&gt;=0,"Green",IF(ABS($K147)&lt;=0.05,"Amber","Red"))</f>
        <v>Amber</v>
      </c>
    </row>
    <row r="148" customFormat="false" ht="13.5" hidden="false" customHeight="true" outlineLevel="0" collapsed="false">
      <c r="A148" s="149" t="s">
        <v>304</v>
      </c>
      <c r="B148" s="150" t="str">
        <f aca="false">IFERROR(INDEX(Projects!$C$9:$C$16,MATCH($A148,Projects!$A$9:$A$16,0)),"")</f>
        <v>Land Development</v>
      </c>
      <c r="C148" s="94" t="n">
        <f aca="false">IF(Dashboard!$C$6="Corporate",1,IF(Dashboard!$C$6="Project",IF($A148=Dashboard!$M$6,1,0),IF($B148=Dashboard!$H$6,1,0)))</f>
        <v>1</v>
      </c>
      <c r="D148" s="160"/>
      <c r="E148" s="30" t="s">
        <v>623</v>
      </c>
      <c r="F148" s="86" t="n">
        <f aca="false">'PT_LND-02'!$E$48</f>
        <v>3628534</v>
      </c>
      <c r="G148" s="92" t="n">
        <v>0</v>
      </c>
      <c r="H148" s="86" t="n">
        <f aca="false">'PT_LND-02'!$G$48</f>
        <v>735883</v>
      </c>
      <c r="I148" s="86" t="n">
        <f aca="false">'PT_LND-02'!$H$48</f>
        <v>1642497</v>
      </c>
      <c r="J148" s="31" t="n">
        <f aca="false">($F148+$G148)*1.012</f>
        <v>3672076.408</v>
      </c>
      <c r="K148" s="87" t="n">
        <f aca="false">IF(($F148+$G148)=0,0,(($F148+$G148)-$J148)/($F148+$G148))</f>
        <v>-0.012</v>
      </c>
      <c r="L148" s="46" t="str">
        <f aca="false">IF($K148&gt;=0,"Green",IF(ABS($K148)&lt;=0.05,"Amber","Red"))</f>
        <v>Amber</v>
      </c>
    </row>
    <row r="149" customFormat="false" ht="13.5" hidden="false" customHeight="true" outlineLevel="0" collapsed="false">
      <c r="A149" s="47" t="s">
        <v>304</v>
      </c>
      <c r="B149" s="154" t="str">
        <f aca="false">IFERROR(INDEX(Projects!$C$9:$C$16,MATCH($A149,Projects!$A$9:$A$16,0)),"")</f>
        <v>Land Development</v>
      </c>
      <c r="C149" s="155" t="n">
        <f aca="false">IF(Dashboard!$C$6="Corporate",1,IF(Dashboard!$C$6="Project",IF($A149=Dashboard!$M$6,1,0),IF($B149=Dashboard!$H$6,1,0)))</f>
        <v>1</v>
      </c>
      <c r="D149" s="168"/>
      <c r="E149" s="37" t="s">
        <v>624</v>
      </c>
      <c r="F149" s="99" t="n">
        <f aca="false">'PT_LND-02'!$E$49</f>
        <v>2926238</v>
      </c>
      <c r="G149" s="99" t="n">
        <v>0</v>
      </c>
      <c r="H149" s="99" t="n">
        <f aca="false">'PT_LND-02'!$G$49</f>
        <v>190464</v>
      </c>
      <c r="I149" s="99" t="n">
        <f aca="false">'PT_LND-02'!$H$49</f>
        <v>1231873</v>
      </c>
      <c r="J149" s="49" t="n">
        <f aca="false">($F149+$G149)*1.012</f>
        <v>2961352.856</v>
      </c>
      <c r="K149" s="100" t="n">
        <f aca="false">IF(($F149+$G149)=0,0,(($F149+$G149)-$J149)/($F149+$G149))</f>
        <v>-0.012</v>
      </c>
      <c r="L149" s="52" t="str">
        <f aca="false">IF($K149&gt;=0,"Green",IF(ABS($K149)&lt;=0.05,"Amber","Red"))</f>
        <v>Amber</v>
      </c>
    </row>
    <row r="150" customFormat="false" ht="13.5" hidden="false" customHeight="true" outlineLevel="0" collapsed="false">
      <c r="A150" s="149" t="s">
        <v>304</v>
      </c>
      <c r="B150" s="150" t="str">
        <f aca="false">IFERROR(INDEX(Projects!$C$9:$C$16,MATCH($A150,Projects!$A$9:$A$16,0)),"")</f>
        <v>Land Development</v>
      </c>
      <c r="C150" s="94" t="n">
        <f aca="false">IF(Dashboard!$C$6="Corporate",1,IF(Dashboard!$C$6="Project",IF($A150=Dashboard!$M$6,1,0),IF($B150=Dashboard!$H$6,1,0)))</f>
        <v>1</v>
      </c>
      <c r="D150" s="160"/>
      <c r="E150" s="30" t="s">
        <v>625</v>
      </c>
      <c r="F150" s="86" t="n">
        <f aca="false">'PT_LND-02'!$E$50</f>
        <v>4389356</v>
      </c>
      <c r="G150" s="92" t="n">
        <v>0</v>
      </c>
      <c r="H150" s="86" t="n">
        <f aca="false">'PT_LND-02'!$G$50</f>
        <v>536762</v>
      </c>
      <c r="I150" s="86" t="n">
        <f aca="false">'PT_LND-02'!$H$50</f>
        <v>1505622</v>
      </c>
      <c r="J150" s="31" t="n">
        <f aca="false">($F150+$G150)*1.012</f>
        <v>4442028.272</v>
      </c>
      <c r="K150" s="87" t="n">
        <f aca="false">IF(($F150+$G150)=0,0,(($F150+$G150)-$J150)/($F150+$G150))</f>
        <v>-0.012</v>
      </c>
      <c r="L150" s="46" t="str">
        <f aca="false">IF($K150&gt;=0,"Green",IF(ABS($K150)&lt;=0.05,"Amber","Red"))</f>
        <v>Amber</v>
      </c>
    </row>
    <row r="151" customFormat="false" ht="13.5" hidden="false" customHeight="true" outlineLevel="0" collapsed="false">
      <c r="A151" s="47" t="s">
        <v>304</v>
      </c>
      <c r="B151" s="154" t="str">
        <f aca="false">IFERROR(INDEX(Projects!$C$9:$C$16,MATCH($A151,Projects!$A$9:$A$16,0)),"")</f>
        <v>Land Development</v>
      </c>
      <c r="C151" s="155" t="n">
        <f aca="false">IF(Dashboard!$C$6="Corporate",1,IF(Dashboard!$C$6="Project",IF($A151=Dashboard!$M$6,1,0),IF($B151=Dashboard!$H$6,1,0)))</f>
        <v>1</v>
      </c>
      <c r="D151" s="168"/>
      <c r="E151" s="37" t="s">
        <v>626</v>
      </c>
      <c r="F151" s="99" t="n">
        <f aca="false">'PT_LND-02'!$E$51</f>
        <v>24580395</v>
      </c>
      <c r="G151" s="99" t="n">
        <v>0</v>
      </c>
      <c r="H151" s="99" t="n">
        <f aca="false">'PT_LND-02'!$G$51</f>
        <v>4501875</v>
      </c>
      <c r="I151" s="99" t="n">
        <f aca="false">'PT_LND-02'!$H$51</f>
        <v>12866228</v>
      </c>
      <c r="J151" s="49" t="n">
        <f aca="false">($F151+$G151)*1.012</f>
        <v>24875359.74</v>
      </c>
      <c r="K151" s="100" t="n">
        <f aca="false">IF(($F151+$G151)=0,0,(($F151+$G151)-$J151)/($F151+$G151))</f>
        <v>-0.0120000000000001</v>
      </c>
      <c r="L151" s="52" t="str">
        <f aca="false">IF($K151&gt;=0,"Green",IF(ABS($K151)&lt;=0.05,"Amber","Red"))</f>
        <v>Amber</v>
      </c>
    </row>
    <row r="152" customFormat="false" ht="13.5" hidden="false" customHeight="true" outlineLevel="0" collapsed="false">
      <c r="A152" s="149" t="s">
        <v>304</v>
      </c>
      <c r="B152" s="150" t="str">
        <f aca="false">IFERROR(INDEX(Projects!$C$9:$C$16,MATCH($A152,Projects!$A$9:$A$16,0)),"")</f>
        <v>Land Development</v>
      </c>
      <c r="C152" s="94" t="n">
        <f aca="false">IF(Dashboard!$C$6="Corporate",1,IF(Dashboard!$C$6="Project",IF($A152=Dashboard!$M$6,1,0),IF($B152=Dashboard!$H$6,1,0)))</f>
        <v>1</v>
      </c>
      <c r="D152" s="160"/>
      <c r="E152" s="30" t="s">
        <v>627</v>
      </c>
      <c r="F152" s="86" t="n">
        <f aca="false">'PT_LND-02'!$E$52</f>
        <v>11704950</v>
      </c>
      <c r="G152" s="92" t="n">
        <v>0</v>
      </c>
      <c r="H152" s="86" t="n">
        <f aca="false">'PT_LND-02'!$G$52</f>
        <v>1298618</v>
      </c>
      <c r="I152" s="86" t="n">
        <f aca="false">'PT_LND-02'!$H$52</f>
        <v>5885615</v>
      </c>
      <c r="J152" s="31" t="n">
        <f aca="false">($F152+$G152)*1.012</f>
        <v>11845409.4</v>
      </c>
      <c r="K152" s="87" t="n">
        <f aca="false">IF(($F152+$G152)=0,0,(($F152+$G152)-$J152)/($F152+$G152))</f>
        <v>-0.012</v>
      </c>
      <c r="L152" s="46" t="str">
        <f aca="false">IF($K152&gt;=0,"Green",IF(ABS($K152)&lt;=0.05,"Amber","Red"))</f>
        <v>Amber</v>
      </c>
    </row>
    <row r="153" customFormat="false" ht="13.5" hidden="false" customHeight="true" outlineLevel="0" collapsed="false">
      <c r="A153" s="47" t="s">
        <v>304</v>
      </c>
      <c r="B153" s="154" t="str">
        <f aca="false">IFERROR(INDEX(Projects!$C$9:$C$16,MATCH($A153,Projects!$A$9:$A$16,0)),"")</f>
        <v>Land Development</v>
      </c>
      <c r="C153" s="155" t="n">
        <f aca="false">IF(Dashboard!$C$6="Corporate",1,IF(Dashboard!$C$6="Project",IF($A153=Dashboard!$M$6,1,0),IF($B153=Dashboard!$H$6,1,0)))</f>
        <v>1</v>
      </c>
      <c r="D153" s="168"/>
      <c r="E153" s="37" t="s">
        <v>628</v>
      </c>
      <c r="F153" s="99" t="n">
        <f aca="false">'PT_LND-02'!$E$53</f>
        <v>2633614</v>
      </c>
      <c r="G153" s="99" t="n">
        <v>0</v>
      </c>
      <c r="H153" s="99" t="n">
        <f aca="false">'PT_LND-02'!$G$53</f>
        <v>328983</v>
      </c>
      <c r="I153" s="99" t="n">
        <f aca="false">'PT_LND-02'!$H$53</f>
        <v>1094998</v>
      </c>
      <c r="J153" s="49" t="n">
        <f aca="false">($F153+$G153)*1.012</f>
        <v>2665217.368</v>
      </c>
      <c r="K153" s="100" t="n">
        <f aca="false">IF(($F153+$G153)=0,0,(($F153+$G153)-$J153)/($F153+$G153))</f>
        <v>-0.0120000000000001</v>
      </c>
      <c r="L153" s="52" t="str">
        <f aca="false">IF($K153&gt;=0,"Green",IF(ABS($K153)&lt;=0.05,"Amber","Red"))</f>
        <v>Amber</v>
      </c>
    </row>
    <row r="154" customFormat="false" ht="13.5" hidden="false" customHeight="true" outlineLevel="0" collapsed="false">
      <c r="A154" s="149" t="s">
        <v>304</v>
      </c>
      <c r="B154" s="150" t="str">
        <f aca="false">IFERROR(INDEX(Projects!$C$9:$C$16,MATCH($A154,Projects!$A$9:$A$16,0)),"")</f>
        <v>Land Development</v>
      </c>
      <c r="C154" s="94" t="n">
        <f aca="false">IF(Dashboard!$C$6="Corporate",1,IF(Dashboard!$C$6="Project",IF($A154=Dashboard!$M$6,1,0),IF($B154=Dashboard!$H$6,1,0)))</f>
        <v>1</v>
      </c>
      <c r="D154" s="160"/>
      <c r="E154" s="30" t="s">
        <v>629</v>
      </c>
      <c r="F154" s="86" t="n">
        <f aca="false">'PT_LND-02'!$E$54</f>
        <v>1287544</v>
      </c>
      <c r="G154" s="92" t="n">
        <v>0</v>
      </c>
      <c r="H154" s="86" t="n">
        <f aca="false">'PT_LND-02'!$G$54</f>
        <v>190464</v>
      </c>
      <c r="I154" s="86" t="n">
        <f aca="false">'PT_LND-02'!$H$54</f>
        <v>547499</v>
      </c>
      <c r="J154" s="31" t="n">
        <f aca="false">($F154+$G154)*1.012</f>
        <v>1302994.528</v>
      </c>
      <c r="K154" s="87" t="n">
        <f aca="false">IF(($F154+$G154)=0,0,(($F154+$G154)-$J154)/($F154+$G154))</f>
        <v>-0.0119999999999999</v>
      </c>
      <c r="L154" s="46" t="str">
        <f aca="false">IF($K154&gt;=0,"Green",IF(ABS($K154)&lt;=0.05,"Amber","Red"))</f>
        <v>Amber</v>
      </c>
    </row>
    <row r="155" customFormat="false" ht="13.5" hidden="false" customHeight="true" outlineLevel="0" collapsed="false">
      <c r="A155" s="47" t="s">
        <v>304</v>
      </c>
      <c r="B155" s="154" t="str">
        <f aca="false">IFERROR(INDEX(Projects!$C$9:$C$16,MATCH($A155,Projects!$A$9:$A$16,0)),"")</f>
        <v>Land Development</v>
      </c>
      <c r="C155" s="155" t="n">
        <f aca="false">IF(Dashboard!$C$6="Corporate",1,IF(Dashboard!$C$6="Project",IF($A155=Dashboard!$M$6,1,0),IF($B155=Dashboard!$H$6,1,0)))</f>
        <v>1</v>
      </c>
      <c r="D155" s="168"/>
      <c r="E155" s="37" t="s">
        <v>630</v>
      </c>
      <c r="F155" s="99" t="n">
        <f aca="false">'PT_LND-02'!$E$55</f>
        <v>1521644</v>
      </c>
      <c r="G155" s="99" t="n">
        <v>0</v>
      </c>
      <c r="H155" s="99" t="n">
        <f aca="false">'PT_LND-02'!$G$55</f>
        <v>199121</v>
      </c>
      <c r="I155" s="99" t="n">
        <f aca="false">'PT_LND-02'!$H$55</f>
        <v>547499</v>
      </c>
      <c r="J155" s="49" t="n">
        <f aca="false">($F155+$G155)*1.012</f>
        <v>1539903.728</v>
      </c>
      <c r="K155" s="100" t="n">
        <f aca="false">IF(($F155+$G155)=0,0,(($F155+$G155)-$J155)/($F155+$G155))</f>
        <v>-0.0120000000000001</v>
      </c>
      <c r="L155" s="52" t="str">
        <f aca="false">IF($K155&gt;=0,"Green",IF(ABS($K155)&lt;=0.05,"Amber","Red"))</f>
        <v>Amber</v>
      </c>
    </row>
    <row r="156" customFormat="false" ht="13.5" hidden="false" customHeight="true" outlineLevel="0" collapsed="false">
      <c r="A156" s="149" t="s">
        <v>304</v>
      </c>
      <c r="B156" s="150" t="str">
        <f aca="false">IFERROR(INDEX(Projects!$C$9:$C$16,MATCH($A156,Projects!$A$9:$A$16,0)),"")</f>
        <v>Land Development</v>
      </c>
      <c r="C156" s="94" t="n">
        <f aca="false">IF(Dashboard!$C$6="Corporate",1,IF(Dashboard!$C$6="Project",IF($A156=Dashboard!$M$6,1,0),IF($B156=Dashboard!$H$6,1,0)))</f>
        <v>1</v>
      </c>
      <c r="D156" s="160"/>
      <c r="E156" s="30" t="s">
        <v>631</v>
      </c>
      <c r="F156" s="86" t="n">
        <f aca="false">'PT_LND-02'!$E$56</f>
        <v>1755742</v>
      </c>
      <c r="G156" s="92" t="n">
        <v>0</v>
      </c>
      <c r="H156" s="86" t="n">
        <f aca="false">'PT_LND-02'!$G$56</f>
        <v>0</v>
      </c>
      <c r="I156" s="86" t="n">
        <f aca="false">'PT_LND-02'!$H$56</f>
        <v>0</v>
      </c>
      <c r="J156" s="31" t="n">
        <f aca="false">($F156+$G156)*1.012</f>
        <v>1776810.904</v>
      </c>
      <c r="K156" s="87" t="n">
        <f aca="false">IF(($F156+$G156)=0,0,(($F156+$G156)-$J156)/($F156+$G156))</f>
        <v>-0.0120000000000001</v>
      </c>
      <c r="L156" s="46" t="str">
        <f aca="false">IF($K156&gt;=0,"Green",IF(ABS($K156)&lt;=0.05,"Amber","Red"))</f>
        <v>Amber</v>
      </c>
    </row>
    <row r="157" customFormat="false" ht="13.5" hidden="false" customHeight="true" outlineLevel="0" collapsed="false">
      <c r="A157" s="47" t="s">
        <v>304</v>
      </c>
      <c r="B157" s="154" t="str">
        <f aca="false">IFERROR(INDEX(Projects!$C$9:$C$16,MATCH($A157,Projects!$A$9:$A$16,0)),"")</f>
        <v>Land Development</v>
      </c>
      <c r="C157" s="155" t="n">
        <f aca="false">IF(Dashboard!$C$6="Corporate",1,IF(Dashboard!$C$6="Project",IF($A157=Dashboard!$M$6,1,0),IF($B157=Dashboard!$H$6,1,0)))</f>
        <v>1</v>
      </c>
      <c r="D157" s="168"/>
      <c r="E157" s="37" t="s">
        <v>632</v>
      </c>
      <c r="F157" s="99" t="n">
        <f aca="false">'PT_LND-02'!$E$57</f>
        <v>0</v>
      </c>
      <c r="G157" s="159" t="n">
        <f aca="false">SUMIFS(Variation_Orders!$K$9:$K$32,Variation_Orders!$A$9:$A$32,$A157,Variation_Orders!$T$9:$T$32,"Approved")</f>
        <v>339101</v>
      </c>
      <c r="H157" s="99" t="n">
        <f aca="false">'PT_LND-02'!$G$57</f>
        <v>52319</v>
      </c>
      <c r="I157" s="99" t="n">
        <f aca="false">'PT_LND-02'!$H$57</f>
        <v>186506</v>
      </c>
      <c r="J157" s="49" t="n">
        <f aca="false">($F157+$G157)*1.012</f>
        <v>343170.212</v>
      </c>
      <c r="K157" s="100" t="n">
        <f aca="false">IF(($F157+$G157)=0,0,(($F157+$G157)-$J157)/($F157+$G157))</f>
        <v>-0.012</v>
      </c>
      <c r="L157" s="52" t="str">
        <f aca="false">IF($K157&gt;=0,"Green",IF(ABS($K157)&lt;=0.05,"Amber","Red"))</f>
        <v>Amber</v>
      </c>
    </row>
    <row r="158" customFormat="false" ht="15" hidden="false" customHeight="true" outlineLevel="0" collapsed="false">
      <c r="A158" s="27" t="s">
        <v>645</v>
      </c>
      <c r="B158" s="27"/>
      <c r="C158" s="27"/>
      <c r="D158" s="27"/>
      <c r="E158" s="27"/>
      <c r="F158" s="28" t="n">
        <f aca="false">SUM($F$70:$F$157)</f>
        <v>855900862</v>
      </c>
      <c r="G158" s="28" t="n">
        <f aca="false">SUM($G$70:$G$157)</f>
        <v>12065473</v>
      </c>
      <c r="H158" s="28" t="n">
        <f aca="false">SUM($H$70:$H$157)</f>
        <v>122819465</v>
      </c>
      <c r="I158" s="28" t="n">
        <f aca="false">SUM($I$70:$I$157)</f>
        <v>406983639</v>
      </c>
      <c r="J158" s="28" t="n">
        <f aca="false">SUM($J$70:$J$157)</f>
        <v>878381931.02</v>
      </c>
      <c r="K158" s="105"/>
      <c r="L158" s="105"/>
    </row>
    <row r="159" customFormat="false" ht="15" hidden="false" customHeight="true" outlineLevel="0" collapsed="false">
      <c r="A159" s="5"/>
      <c r="B159" s="5"/>
      <c r="C159" s="5"/>
      <c r="D159" s="5"/>
      <c r="E159" s="5"/>
      <c r="F159" s="5"/>
      <c r="G159" s="5"/>
      <c r="H159" s="5"/>
      <c r="I159" s="5"/>
      <c r="J159" s="5"/>
      <c r="K159" s="5"/>
      <c r="L159" s="5"/>
    </row>
    <row r="160" customFormat="false" ht="25.5" hidden="false" customHeight="true" outlineLevel="0" collapsed="false">
      <c r="A160" s="58" t="s">
        <v>646</v>
      </c>
      <c r="B160" s="58"/>
      <c r="C160" s="58"/>
      <c r="D160" s="58"/>
      <c r="E160" s="58"/>
      <c r="F160" s="58"/>
      <c r="G160" s="58"/>
      <c r="H160" s="58"/>
      <c r="I160" s="58"/>
      <c r="J160" s="58"/>
      <c r="K160" s="58"/>
      <c r="L160" s="58"/>
    </row>
  </sheetData>
  <autoFilter ref="A69:L157"/>
  <mergeCells count="107">
    <mergeCell ref="A1:L1"/>
    <mergeCell ref="A2:L2"/>
    <mergeCell ref="A3:L3"/>
    <mergeCell ref="A4:L4"/>
    <mergeCell ref="A6:L6"/>
    <mergeCell ref="A7:B7"/>
    <mergeCell ref="F7:G7"/>
    <mergeCell ref="J7:K7"/>
    <mergeCell ref="A8:B8"/>
    <mergeCell ref="F8:G8"/>
    <mergeCell ref="J8:K8"/>
    <mergeCell ref="A9:B9"/>
    <mergeCell ref="F9:G9"/>
    <mergeCell ref="J9:K9"/>
    <mergeCell ref="A10:B10"/>
    <mergeCell ref="F10:G10"/>
    <mergeCell ref="J10:K10"/>
    <mergeCell ref="A11:B11"/>
    <mergeCell ref="F11:G11"/>
    <mergeCell ref="J11:K11"/>
    <mergeCell ref="A13:L13"/>
    <mergeCell ref="A14:B14"/>
    <mergeCell ref="F14:G14"/>
    <mergeCell ref="J14:K14"/>
    <mergeCell ref="A15:B15"/>
    <mergeCell ref="F15:G15"/>
    <mergeCell ref="J15:K15"/>
    <mergeCell ref="A16:B16"/>
    <mergeCell ref="F16:G16"/>
    <mergeCell ref="J16:K16"/>
    <mergeCell ref="A17:B17"/>
    <mergeCell ref="F17:G17"/>
    <mergeCell ref="J17:K17"/>
    <mergeCell ref="A18:B18"/>
    <mergeCell ref="F18:G18"/>
    <mergeCell ref="J18:K18"/>
    <mergeCell ref="A20:L20"/>
    <mergeCell ref="A21:B21"/>
    <mergeCell ref="F21:G21"/>
    <mergeCell ref="J21:K21"/>
    <mergeCell ref="A22:B22"/>
    <mergeCell ref="F22:G22"/>
    <mergeCell ref="J22:K22"/>
    <mergeCell ref="A24:L24"/>
    <mergeCell ref="A25:L25"/>
    <mergeCell ref="B26:D26"/>
    <mergeCell ref="I26:L26"/>
    <mergeCell ref="B27:D27"/>
    <mergeCell ref="I27:L27"/>
    <mergeCell ref="B28:D28"/>
    <mergeCell ref="I28:L28"/>
    <mergeCell ref="B29:D29"/>
    <mergeCell ref="I29:L29"/>
    <mergeCell ref="B30:D30"/>
    <mergeCell ref="I30:L30"/>
    <mergeCell ref="A32:E32"/>
    <mergeCell ref="I32:L32"/>
    <mergeCell ref="A33:E33"/>
    <mergeCell ref="I33:L33"/>
    <mergeCell ref="A34:E34"/>
    <mergeCell ref="I34:L34"/>
    <mergeCell ref="A35:E35"/>
    <mergeCell ref="I35:L35"/>
    <mergeCell ref="A37:L37"/>
    <mergeCell ref="A38:L38"/>
    <mergeCell ref="A39:D39"/>
    <mergeCell ref="K39:L39"/>
    <mergeCell ref="A40:D40"/>
    <mergeCell ref="K40:L40"/>
    <mergeCell ref="A41:D41"/>
    <mergeCell ref="K41:L41"/>
    <mergeCell ref="A42:D42"/>
    <mergeCell ref="K42:L42"/>
    <mergeCell ref="A43:E43"/>
    <mergeCell ref="K43:L43"/>
    <mergeCell ref="A45:L45"/>
    <mergeCell ref="A46:L46"/>
    <mergeCell ref="A47:C47"/>
    <mergeCell ref="A48:C48"/>
    <mergeCell ref="A49:C49"/>
    <mergeCell ref="A50:C50"/>
    <mergeCell ref="A51:C51"/>
    <mergeCell ref="A52:C52"/>
    <mergeCell ref="A53:C53"/>
    <mergeCell ref="A54:C54"/>
    <mergeCell ref="A55:C55"/>
    <mergeCell ref="A56:C56"/>
    <mergeCell ref="A57:C57"/>
    <mergeCell ref="A58:C58"/>
    <mergeCell ref="A59:C59"/>
    <mergeCell ref="A61:L61"/>
    <mergeCell ref="A62:B62"/>
    <mergeCell ref="F62:G62"/>
    <mergeCell ref="J62:K62"/>
    <mergeCell ref="A63:B63"/>
    <mergeCell ref="F63:G63"/>
    <mergeCell ref="J63:K63"/>
    <mergeCell ref="A64:B64"/>
    <mergeCell ref="F64:G64"/>
    <mergeCell ref="J64:K64"/>
    <mergeCell ref="A65:B65"/>
    <mergeCell ref="F65:G65"/>
    <mergeCell ref="J65:K65"/>
    <mergeCell ref="A67:L67"/>
    <mergeCell ref="A68:L68"/>
    <mergeCell ref="A158:E158"/>
    <mergeCell ref="A160:L160"/>
  </mergeCells>
  <conditionalFormatting sqref="J40:J43">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L48:L59">
    <cfRule type="cellIs" priority="5" operator="equal" aboveAverage="0" equalAverage="0" bottom="0" percent="0" rank="0" text="" dxfId="0">
      <formula>"Green"</formula>
    </cfRule>
    <cfRule type="cellIs" priority="6" operator="equal" aboveAverage="0" equalAverage="0" bottom="0" percent="0" rank="0" text="" dxfId="1">
      <formula>"Amber"</formula>
    </cfRule>
    <cfRule type="cellIs" priority="7" operator="equal" aboveAverage="0" equalAverage="0" bottom="0" percent="0" rank="0" text="" dxfId="2">
      <formula>"Red"</formula>
    </cfRule>
  </conditionalFormatting>
  <conditionalFormatting sqref="J65:K65">
    <cfRule type="cellIs" priority="8" operator="equal" aboveAverage="0" equalAverage="0" bottom="0" percent="0" rank="0" text="" dxfId="0">
      <formula>"Green"</formula>
    </cfRule>
    <cfRule type="cellIs" priority="9" operator="equal" aboveAverage="0" equalAverage="0" bottom="0" percent="0" rank="0" text="" dxfId="1">
      <formula>"Amber"</formula>
    </cfRule>
    <cfRule type="cellIs" priority="10" operator="equal" aboveAverage="0" equalAverage="0" bottom="0" percent="0" rank="0" text="" dxfId="2">
      <formula>"Red"</formula>
    </cfRule>
  </conditionalFormatting>
  <conditionalFormatting sqref="L70:L157">
    <cfRule type="cellIs" priority="11" operator="equal" aboveAverage="0" equalAverage="0" bottom="0" percent="0" rank="0" text="" dxfId="0">
      <formula>"Green"</formula>
    </cfRule>
    <cfRule type="cellIs" priority="12" operator="equal" aboveAverage="0" equalAverage="0" bottom="0" percent="0" rank="0" text="" dxfId="1">
      <formula>"Amber"</formula>
    </cfRule>
    <cfRule type="cellIs" priority="13" operator="equal" aboveAverage="0" equalAverage="0" bottom="0" percent="0" rank="0" text="" dxfId="2">
      <formula>"Red"</formula>
    </cfRule>
  </conditionalFormatting>
  <conditionalFormatting sqref="C70:C157">
    <cfRule type="cellIs" priority="14" operator="equal" aboveAverage="0" equalAverage="0" bottom="0" percent="0" rank="0" text="" dxfId="0">
      <formula>"1"</formula>
    </cfRule>
  </conditionalFormatting>
  <dataValidations count="1">
    <dataValidation allowBlank="true" errorStyle="stop" operator="between" showDropDown="false" showErrorMessage="false" showInputMessage="false" sqref="A70:A157"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S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4" min="4" style="1" width="13"/>
    <col collapsed="false" customWidth="true" hidden="false" outlineLevel="0" max="5" min="5" style="1" width="10"/>
    <col collapsed="false" customWidth="true" hidden="false" outlineLevel="0" max="6" min="6" style="1" width="19"/>
    <col collapsed="false" customWidth="true" hidden="false" outlineLevel="0" max="7" min="7" style="1" width="15"/>
    <col collapsed="false" customWidth="true" hidden="false" outlineLevel="0" max="8" min="8" style="1" width="52"/>
    <col collapsed="false" customWidth="true" hidden="false" outlineLevel="0" max="9" min="9" style="1" width="14"/>
    <col collapsed="false" customWidth="true" hidden="false" outlineLevel="0" max="10" min="10" style="1" width="8"/>
    <col collapsed="false" customWidth="true" hidden="false" outlineLevel="0" max="12" min="11" style="1" width="13"/>
    <col collapsed="false" customWidth="true" hidden="false" outlineLevel="0" max="13" min="13" style="1" width="20"/>
    <col collapsed="false" customWidth="true" hidden="false" outlineLevel="0" max="14" min="14" style="1" width="17"/>
    <col collapsed="false" customWidth="true" hidden="false" outlineLevel="0" max="16" min="15" style="1" width="10"/>
    <col collapsed="false" customWidth="true" hidden="false" outlineLevel="0" max="17" min="17" style="1" width="8"/>
    <col collapsed="false" customWidth="true" hidden="false" outlineLevel="0" max="18" min="18" style="1" width="7"/>
    <col collapsed="false" customWidth="true" hidden="false" outlineLevel="0" max="19" min="19" style="1" width="24"/>
  </cols>
  <sheetData>
    <row r="1" customFormat="false" ht="7.5" hidden="false" customHeight="true" outlineLevel="0" collapsed="false">
      <c r="A1" s="2"/>
      <c r="B1" s="2"/>
      <c r="C1" s="2"/>
      <c r="D1" s="2"/>
      <c r="E1" s="2"/>
      <c r="F1" s="2"/>
      <c r="G1" s="2"/>
      <c r="H1" s="2"/>
      <c r="I1" s="2"/>
      <c r="J1" s="2"/>
      <c r="K1" s="2"/>
      <c r="L1" s="2"/>
      <c r="M1" s="2"/>
      <c r="N1" s="2"/>
      <c r="O1" s="2"/>
      <c r="P1" s="2"/>
      <c r="Q1" s="2"/>
      <c r="R1" s="2"/>
      <c r="S1" s="2"/>
    </row>
    <row r="2" customFormat="false" ht="30" hidden="false" customHeight="true" outlineLevel="0" collapsed="false">
      <c r="A2" s="59" t="s">
        <v>647</v>
      </c>
      <c r="B2" s="59"/>
      <c r="C2" s="59"/>
      <c r="D2" s="59"/>
      <c r="E2" s="59"/>
      <c r="F2" s="59"/>
      <c r="G2" s="59"/>
      <c r="H2" s="59"/>
      <c r="I2" s="59"/>
      <c r="J2" s="59"/>
      <c r="K2" s="59"/>
      <c r="L2" s="59"/>
      <c r="M2" s="59"/>
      <c r="N2" s="59"/>
      <c r="O2" s="59"/>
      <c r="P2" s="59"/>
      <c r="Q2" s="59"/>
      <c r="R2" s="59"/>
      <c r="S2" s="59"/>
    </row>
    <row r="3" customFormat="false" ht="16.5" hidden="false" customHeight="true" outlineLevel="0" collapsed="false">
      <c r="A3" s="60" t="s">
        <v>648</v>
      </c>
      <c r="B3" s="60"/>
      <c r="C3" s="60"/>
      <c r="D3" s="60"/>
      <c r="E3" s="60"/>
      <c r="F3" s="60"/>
      <c r="G3" s="60"/>
      <c r="H3" s="60"/>
      <c r="I3" s="60"/>
      <c r="J3" s="60"/>
      <c r="K3" s="60"/>
      <c r="L3" s="60"/>
      <c r="M3" s="60"/>
      <c r="N3" s="60"/>
      <c r="O3" s="60"/>
      <c r="P3" s="60"/>
      <c r="Q3" s="60"/>
      <c r="R3" s="60"/>
      <c r="S3" s="60"/>
    </row>
    <row r="4" customFormat="false" ht="15" hidden="false" customHeight="true" outlineLevel="0" collapsed="false">
      <c r="A4" s="61" t="s">
        <v>649</v>
      </c>
      <c r="B4" s="61"/>
      <c r="C4" s="61"/>
      <c r="D4" s="61"/>
      <c r="E4" s="61"/>
      <c r="F4" s="61"/>
      <c r="G4" s="61"/>
      <c r="H4" s="61"/>
      <c r="I4" s="61"/>
      <c r="J4" s="61"/>
      <c r="K4" s="61"/>
      <c r="L4" s="61"/>
      <c r="M4" s="61"/>
      <c r="N4" s="61"/>
      <c r="O4" s="61"/>
      <c r="P4" s="61"/>
      <c r="Q4" s="61"/>
      <c r="R4" s="61"/>
      <c r="S4" s="61"/>
    </row>
    <row r="5" customFormat="false" ht="15" hidden="false" customHeight="true" outlineLevel="0" collapsed="false">
      <c r="A5" s="5"/>
      <c r="B5" s="5"/>
      <c r="C5" s="5"/>
      <c r="D5" s="5"/>
      <c r="E5" s="5"/>
      <c r="F5" s="5"/>
      <c r="G5" s="5"/>
      <c r="H5" s="5"/>
      <c r="I5" s="5"/>
      <c r="J5" s="5"/>
      <c r="K5" s="5"/>
      <c r="L5" s="5"/>
      <c r="M5" s="5"/>
      <c r="N5" s="5"/>
      <c r="O5" s="5"/>
      <c r="P5" s="5"/>
      <c r="Q5" s="5"/>
      <c r="R5" s="5"/>
      <c r="S5" s="5"/>
    </row>
    <row r="6" customFormat="false" ht="19.5" hidden="false" customHeight="true" outlineLevel="0" collapsed="false">
      <c r="A6" s="13" t="s">
        <v>650</v>
      </c>
      <c r="B6" s="13"/>
      <c r="C6" s="13"/>
      <c r="D6" s="13"/>
      <c r="E6" s="13"/>
      <c r="F6" s="13"/>
      <c r="G6" s="13"/>
      <c r="H6" s="13"/>
      <c r="I6" s="13"/>
      <c r="J6" s="13"/>
      <c r="K6" s="13"/>
      <c r="L6" s="13"/>
      <c r="M6" s="13"/>
      <c r="N6" s="13"/>
      <c r="O6" s="13"/>
      <c r="P6" s="13"/>
      <c r="Q6" s="13"/>
      <c r="R6" s="13"/>
      <c r="S6" s="13"/>
    </row>
    <row r="7" customFormat="false" ht="13.5" hidden="false" customHeight="true" outlineLevel="0" collapsed="false">
      <c r="A7" s="80" t="s">
        <v>651</v>
      </c>
      <c r="B7" s="80"/>
      <c r="C7" s="80"/>
      <c r="D7" s="80"/>
      <c r="E7" s="80"/>
      <c r="F7" s="80"/>
      <c r="G7" s="80"/>
      <c r="H7" s="80"/>
      <c r="I7" s="80"/>
      <c r="J7" s="80"/>
      <c r="K7" s="80"/>
      <c r="L7" s="80"/>
      <c r="M7" s="80"/>
      <c r="N7" s="80"/>
      <c r="O7" s="80"/>
      <c r="P7" s="80"/>
      <c r="Q7" s="80"/>
      <c r="R7" s="80"/>
      <c r="S7" s="80"/>
    </row>
    <row r="8" customFormat="false" ht="39.75" hidden="false" customHeight="true" outlineLevel="0" collapsed="false">
      <c r="A8" s="23" t="s">
        <v>256</v>
      </c>
      <c r="B8" s="23" t="s">
        <v>5</v>
      </c>
      <c r="C8" s="23" t="s">
        <v>289</v>
      </c>
      <c r="D8" s="23" t="s">
        <v>652</v>
      </c>
      <c r="E8" s="23" t="s">
        <v>653</v>
      </c>
      <c r="F8" s="23" t="s">
        <v>654</v>
      </c>
      <c r="G8" s="23" t="s">
        <v>655</v>
      </c>
      <c r="H8" s="23" t="s">
        <v>656</v>
      </c>
      <c r="I8" s="23" t="s">
        <v>657</v>
      </c>
      <c r="J8" s="23" t="s">
        <v>658</v>
      </c>
      <c r="K8" s="23" t="s">
        <v>659</v>
      </c>
      <c r="L8" s="23" t="s">
        <v>660</v>
      </c>
      <c r="M8" s="23" t="s">
        <v>661</v>
      </c>
      <c r="N8" s="23" t="s">
        <v>78</v>
      </c>
      <c r="O8" s="23" t="s">
        <v>662</v>
      </c>
      <c r="P8" s="23" t="s">
        <v>663</v>
      </c>
      <c r="Q8" s="23" t="s">
        <v>664</v>
      </c>
      <c r="R8" s="23" t="s">
        <v>288</v>
      </c>
      <c r="S8" s="23" t="s">
        <v>665</v>
      </c>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42" t="s">
        <v>666</v>
      </c>
      <c r="E9" s="85" t="n">
        <v>46159</v>
      </c>
      <c r="F9" s="30" t="s">
        <v>667</v>
      </c>
      <c r="G9" s="30" t="s">
        <v>95</v>
      </c>
      <c r="H9" s="30" t="s">
        <v>668</v>
      </c>
      <c r="I9" s="86" t="n">
        <f aca="false">'PT_RES-01'!$F$68</f>
        <v>1136891</v>
      </c>
      <c r="J9" s="86" t="n">
        <f aca="false">'PT_RES-01'!$G$68</f>
        <v>0</v>
      </c>
      <c r="K9" s="45" t="s">
        <v>669</v>
      </c>
      <c r="L9" s="45" t="s">
        <v>670</v>
      </c>
      <c r="M9" s="30" t="s">
        <v>671</v>
      </c>
      <c r="N9" s="153" t="str">
        <f aca="false">'PT_RES-01'!$H$68</f>
        <v>Implemented</v>
      </c>
      <c r="O9" s="169" t="n">
        <v>46186</v>
      </c>
      <c r="P9" s="169" t="n">
        <v>46189</v>
      </c>
      <c r="Q9" s="31" t="n">
        <f aca="false">IF(OR($N9="Implemented",$N9="Closed",$N9="Rejected"),IF($O9="",0,$O9-$E9),Dashboard!$C$7-$E9)</f>
        <v>27</v>
      </c>
      <c r="R9" s="46" t="str">
        <f aca="false">IF(OR($N9="Implemented",$N9="Closed",$N9="Rejected"),"Green",IF($Q9&lt;=21,"Amber","Red"))</f>
        <v>Green</v>
      </c>
      <c r="S9" s="55" t="str">
        <f aca="false">IF(AND(OR($N9="Approved",$N9="Implemented"),$L9="N/A"),"Chargeable change with no variation — uncontrolled cost",IF($Q9&gt;30,"Assessment overdue — escalate","Within control tolerance"))</f>
        <v>Within control tolerance</v>
      </c>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47" t="s">
        <v>672</v>
      </c>
      <c r="E10" s="98" t="n">
        <v>46189</v>
      </c>
      <c r="F10" s="37" t="s">
        <v>673</v>
      </c>
      <c r="G10" s="37" t="s">
        <v>674</v>
      </c>
      <c r="H10" s="37" t="s">
        <v>675</v>
      </c>
      <c r="I10" s="99" t="n">
        <f aca="false">'PT_RES-01'!$F$69</f>
        <v>458282</v>
      </c>
      <c r="J10" s="99" t="n">
        <f aca="false">'PT_RES-01'!$G$69</f>
        <v>7</v>
      </c>
      <c r="K10" s="51" t="s">
        <v>676</v>
      </c>
      <c r="L10" s="51" t="s">
        <v>677</v>
      </c>
      <c r="M10" s="37" t="s">
        <v>678</v>
      </c>
      <c r="N10" s="103" t="str">
        <f aca="false">'PT_RES-01'!$H$69</f>
        <v>Implemented</v>
      </c>
      <c r="O10" s="96" t="n">
        <v>46216</v>
      </c>
      <c r="P10" s="96" t="n">
        <v>46219</v>
      </c>
      <c r="Q10" s="49" t="n">
        <f aca="false">IF(OR($N10="Implemented",$N10="Closed",$N10="Rejected"),IF($O10="",0,$O10-$E10),Dashboard!$C$7-$E10)</f>
        <v>27</v>
      </c>
      <c r="R10" s="52" t="str">
        <f aca="false">IF(OR($N10="Implemented",$N10="Closed",$N10="Rejected"),"Green",IF($Q10&lt;=21,"Amber","Red"))</f>
        <v>Green</v>
      </c>
      <c r="S10" s="134" t="str">
        <f aca="false">IF(AND(OR($N10="Approved",$N10="Implemented"),$L10="N/A"),"Chargeable change with no variation — uncontrolled cost",IF($Q10&gt;30,"Assessment overdue — escalate","Within control tolerance"))</f>
        <v>Within control tolerance</v>
      </c>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42" t="s">
        <v>679</v>
      </c>
      <c r="E11" s="85" t="n">
        <v>46220</v>
      </c>
      <c r="F11" s="30" t="s">
        <v>680</v>
      </c>
      <c r="G11" s="30" t="s">
        <v>356</v>
      </c>
      <c r="H11" s="30" t="s">
        <v>681</v>
      </c>
      <c r="I11" s="86" t="n">
        <f aca="false">'PT_RES-01'!$F$70</f>
        <v>1686829</v>
      </c>
      <c r="J11" s="86" t="n">
        <f aca="false">'PT_RES-01'!$G$70</f>
        <v>21</v>
      </c>
      <c r="K11" s="45" t="s">
        <v>682</v>
      </c>
      <c r="L11" s="45" t="s">
        <v>683</v>
      </c>
      <c r="M11" s="30" t="s">
        <v>671</v>
      </c>
      <c r="N11" s="153" t="str">
        <f aca="false">'PT_RES-01'!$H$70</f>
        <v>Under Assessment</v>
      </c>
      <c r="O11" s="169"/>
      <c r="P11" s="169" t="n">
        <v>46250</v>
      </c>
      <c r="Q11" s="31" t="n">
        <f aca="false">IF(OR($N11="Implemented",$N11="Closed",$N11="Rejected"),IF($O11="",0,$O11-$E11),Dashboard!$C$7-$E11)</f>
        <v>45</v>
      </c>
      <c r="R11" s="46" t="str">
        <f aca="false">IF(OR($N11="Implemented",$N11="Closed",$N11="Rejected"),"Green",IF($Q11&lt;=21,"Amber","Red"))</f>
        <v>Red</v>
      </c>
      <c r="S11" s="55" t="str">
        <f aca="false">IF(AND(OR($N11="Approved",$N11="Implemented"),$L11="N/A"),"Chargeable change with no variation — uncontrolled cost",IF($Q11&gt;30,"Assessment overdue — escalate","Within control tolerance"))</f>
        <v>Assessment overdue — escalate</v>
      </c>
    </row>
    <row r="12" customFormat="false" ht="13.5" hidden="false" customHeight="true" outlineLevel="0" collapsed="false">
      <c r="A12" s="47" t="s">
        <v>293</v>
      </c>
      <c r="B12" s="154" t="str">
        <f aca="false">IFERROR(INDEX(Projects!$C$9:$C$16,MATCH($A12,Projects!$A$9:$A$16,0)),"")</f>
        <v>Residential</v>
      </c>
      <c r="C12" s="155" t="n">
        <f aca="false">IF(Dashboard!$C$6="Corporate",1,IF(Dashboard!$C$6="Project",IF($A12=Dashboard!$M$6,1,0),IF($B12=Dashboard!$H$6,1,0)))</f>
        <v>1</v>
      </c>
      <c r="D12" s="47" t="s">
        <v>684</v>
      </c>
      <c r="E12" s="98" t="n">
        <v>46220</v>
      </c>
      <c r="F12" s="37" t="s">
        <v>667</v>
      </c>
      <c r="G12" s="37" t="s">
        <v>95</v>
      </c>
      <c r="H12" s="37" t="s">
        <v>668</v>
      </c>
      <c r="I12" s="99" t="n">
        <f aca="false">'PT_RES-02'!$F$68</f>
        <v>396493</v>
      </c>
      <c r="J12" s="99" t="n">
        <f aca="false">'PT_RES-02'!$G$68</f>
        <v>0</v>
      </c>
      <c r="K12" s="51" t="s">
        <v>685</v>
      </c>
      <c r="L12" s="51" t="s">
        <v>686</v>
      </c>
      <c r="M12" s="37" t="s">
        <v>678</v>
      </c>
      <c r="N12" s="103" t="str">
        <f aca="false">'PT_RES-02'!$H$68</f>
        <v>Implemented</v>
      </c>
      <c r="O12" s="96" t="n">
        <v>46247</v>
      </c>
      <c r="P12" s="96" t="n">
        <v>46250</v>
      </c>
      <c r="Q12" s="49" t="n">
        <f aca="false">IF(OR($N12="Implemented",$N12="Closed",$N12="Rejected"),IF($O12="",0,$O12-$E12),Dashboard!$C$7-$E12)</f>
        <v>27</v>
      </c>
      <c r="R12" s="52" t="str">
        <f aca="false">IF(OR($N12="Implemented",$N12="Closed",$N12="Rejected"),"Green",IF($Q12&lt;=21,"Amber","Red"))</f>
        <v>Green</v>
      </c>
      <c r="S12" s="134" t="str">
        <f aca="false">IF(AND(OR($N12="Approved",$N12="Implemented"),$L12="N/A"),"Chargeable change with no variation — uncontrolled cost",IF($Q12&gt;30,"Assessment overdue — escalate","Within control tolerance"))</f>
        <v>Within control tolerance</v>
      </c>
    </row>
    <row r="13" customFormat="false" ht="13.5" hidden="false" customHeight="true" outlineLevel="0" collapsed="false">
      <c r="A13" s="149" t="s">
        <v>293</v>
      </c>
      <c r="B13" s="150" t="str">
        <f aca="false">IFERROR(INDEX(Projects!$C$9:$C$16,MATCH($A13,Projects!$A$9:$A$16,0)),"")</f>
        <v>Residential</v>
      </c>
      <c r="C13" s="94" t="n">
        <f aca="false">IF(Dashboard!$C$6="Corporate",1,IF(Dashboard!$C$6="Project",IF($A13=Dashboard!$M$6,1,0),IF($B13=Dashboard!$H$6,1,0)))</f>
        <v>1</v>
      </c>
      <c r="D13" s="42" t="s">
        <v>687</v>
      </c>
      <c r="E13" s="85" t="n">
        <v>46251</v>
      </c>
      <c r="F13" s="30" t="s">
        <v>673</v>
      </c>
      <c r="G13" s="30" t="s">
        <v>674</v>
      </c>
      <c r="H13" s="30" t="s">
        <v>675</v>
      </c>
      <c r="I13" s="86" t="n">
        <f aca="false">'PT_RES-02'!$F$69</f>
        <v>-142848</v>
      </c>
      <c r="J13" s="86" t="n">
        <f aca="false">'PT_RES-02'!$G$69</f>
        <v>0</v>
      </c>
      <c r="K13" s="45" t="s">
        <v>688</v>
      </c>
      <c r="L13" s="45" t="s">
        <v>689</v>
      </c>
      <c r="M13" s="30" t="s">
        <v>678</v>
      </c>
      <c r="N13" s="153" t="str">
        <f aca="false">'PT_RES-02'!$H$69</f>
        <v>Implemented</v>
      </c>
      <c r="O13" s="169" t="n">
        <v>46278</v>
      </c>
      <c r="P13" s="169" t="n">
        <v>46281</v>
      </c>
      <c r="Q13" s="31" t="n">
        <f aca="false">IF(OR($N13="Implemented",$N13="Closed",$N13="Rejected"),IF($O13="",0,$O13-$E13),Dashboard!$C$7-$E13)</f>
        <v>27</v>
      </c>
      <c r="R13" s="46" t="str">
        <f aca="false">IF(OR($N13="Implemented",$N13="Closed",$N13="Rejected"),"Green",IF($Q13&lt;=21,"Amber","Red"))</f>
        <v>Green</v>
      </c>
      <c r="S13" s="55" t="str">
        <f aca="false">IF(AND(OR($N13="Approved",$N13="Implemented"),$L13="N/A"),"Chargeable change with no variation — uncontrolled cost",IF($Q13&gt;30,"Assessment overdue — escalate","Within control tolerance"))</f>
        <v>Within control tolerance</v>
      </c>
    </row>
    <row r="14" customFormat="false" ht="13.5" hidden="false" customHeight="true" outlineLevel="0" collapsed="false">
      <c r="A14" s="47" t="s">
        <v>293</v>
      </c>
      <c r="B14" s="154" t="str">
        <f aca="false">IFERROR(INDEX(Projects!$C$9:$C$16,MATCH($A14,Projects!$A$9:$A$16,0)),"")</f>
        <v>Residential</v>
      </c>
      <c r="C14" s="155" t="n">
        <f aca="false">IF(Dashboard!$C$6="Corporate",1,IF(Dashboard!$C$6="Project",IF($A14=Dashboard!$M$6,1,0),IF($B14=Dashboard!$H$6,1,0)))</f>
        <v>1</v>
      </c>
      <c r="D14" s="47" t="s">
        <v>690</v>
      </c>
      <c r="E14" s="98" t="n">
        <v>46281</v>
      </c>
      <c r="F14" s="37" t="s">
        <v>680</v>
      </c>
      <c r="G14" s="37" t="s">
        <v>356</v>
      </c>
      <c r="H14" s="37" t="s">
        <v>681</v>
      </c>
      <c r="I14" s="99" t="n">
        <f aca="false">'PT_RES-02'!$F$70</f>
        <v>603443</v>
      </c>
      <c r="J14" s="99" t="n">
        <f aca="false">'PT_RES-02'!$G$70</f>
        <v>0</v>
      </c>
      <c r="K14" s="51" t="s">
        <v>691</v>
      </c>
      <c r="L14" s="51" t="s">
        <v>692</v>
      </c>
      <c r="M14" s="37" t="s">
        <v>671</v>
      </c>
      <c r="N14" s="103" t="str">
        <f aca="false">'PT_RES-02'!$H$70</f>
        <v>Open</v>
      </c>
      <c r="O14" s="96"/>
      <c r="P14" s="96" t="n">
        <v>46311</v>
      </c>
      <c r="Q14" s="49" t="n">
        <f aca="false">IF(OR($N14="Implemented",$N14="Closed",$N14="Rejected"),IF($O14="",0,$O14-$E14),Dashboard!$C$7-$E14)</f>
        <v>-16</v>
      </c>
      <c r="R14" s="52" t="str">
        <f aca="false">IF(OR($N14="Implemented",$N14="Closed",$N14="Rejected"),"Green",IF($Q14&lt;=21,"Amber","Red"))</f>
        <v>Amber</v>
      </c>
      <c r="S14" s="134" t="str">
        <f aca="false">IF(AND(OR($N14="Approved",$N14="Implemented"),$L14="N/A"),"Chargeable change with no variation — uncontrolled cost",IF($Q14&gt;30,"Assessment overdue — escalate","Within control tolerance"))</f>
        <v>Within control tolerance</v>
      </c>
    </row>
    <row r="15" customFormat="false" ht="13.5" hidden="false" customHeight="true" outlineLevel="0" collapsed="false">
      <c r="A15" s="149" t="s">
        <v>296</v>
      </c>
      <c r="B15" s="150" t="str">
        <f aca="false">IFERROR(INDEX(Projects!$C$9:$C$16,MATCH($A15,Projects!$A$9:$A$16,0)),"")</f>
        <v>Commercial</v>
      </c>
      <c r="C15" s="94" t="n">
        <f aca="false">IF(Dashboard!$C$6="Corporate",1,IF(Dashboard!$C$6="Project",IF($A15=Dashboard!$M$6,1,0),IF($B15=Dashboard!$H$6,1,0)))</f>
        <v>1</v>
      </c>
      <c r="D15" s="42" t="s">
        <v>693</v>
      </c>
      <c r="E15" s="85" t="n">
        <v>46159</v>
      </c>
      <c r="F15" s="30" t="s">
        <v>667</v>
      </c>
      <c r="G15" s="30" t="s">
        <v>95</v>
      </c>
      <c r="H15" s="30" t="s">
        <v>668</v>
      </c>
      <c r="I15" s="86" t="n">
        <f aca="false">'PT_COM-01'!$F$68</f>
        <v>2442744</v>
      </c>
      <c r="J15" s="86" t="n">
        <f aca="false">'PT_COM-01'!$G$68</f>
        <v>0</v>
      </c>
      <c r="K15" s="45" t="s">
        <v>694</v>
      </c>
      <c r="L15" s="45" t="s">
        <v>695</v>
      </c>
      <c r="M15" s="30" t="s">
        <v>671</v>
      </c>
      <c r="N15" s="153" t="str">
        <f aca="false">'PT_COM-01'!$H$68</f>
        <v>Implemented</v>
      </c>
      <c r="O15" s="169" t="n">
        <v>46186</v>
      </c>
      <c r="P15" s="169" t="n">
        <v>46189</v>
      </c>
      <c r="Q15" s="31" t="n">
        <f aca="false">IF(OR($N15="Implemented",$N15="Closed",$N15="Rejected"),IF($O15="",0,$O15-$E15),Dashboard!$C$7-$E15)</f>
        <v>27</v>
      </c>
      <c r="R15" s="46" t="str">
        <f aca="false">IF(OR($N15="Implemented",$N15="Closed",$N15="Rejected"),"Green",IF($Q15&lt;=21,"Amber","Red"))</f>
        <v>Green</v>
      </c>
      <c r="S15" s="55" t="str">
        <f aca="false">IF(AND(OR($N15="Approved",$N15="Implemented"),$L15="N/A"),"Chargeable change with no variation — uncontrolled cost",IF($Q15&gt;30,"Assessment overdue — escalate","Within control tolerance"))</f>
        <v>Within control tolerance</v>
      </c>
    </row>
    <row r="16" customFormat="false" ht="13.5" hidden="false" customHeight="true" outlineLevel="0" collapsed="false">
      <c r="A16" s="47" t="s">
        <v>296</v>
      </c>
      <c r="B16" s="154" t="str">
        <f aca="false">IFERROR(INDEX(Projects!$C$9:$C$16,MATCH($A16,Projects!$A$9:$A$16,0)),"")</f>
        <v>Commercial</v>
      </c>
      <c r="C16" s="155" t="n">
        <f aca="false">IF(Dashboard!$C$6="Corporate",1,IF(Dashboard!$C$6="Project",IF($A16=Dashboard!$M$6,1,0),IF($B16=Dashboard!$H$6,1,0)))</f>
        <v>1</v>
      </c>
      <c r="D16" s="47" t="s">
        <v>696</v>
      </c>
      <c r="E16" s="98" t="n">
        <v>46189</v>
      </c>
      <c r="F16" s="37" t="s">
        <v>673</v>
      </c>
      <c r="G16" s="37" t="s">
        <v>674</v>
      </c>
      <c r="H16" s="37" t="s">
        <v>675</v>
      </c>
      <c r="I16" s="99" t="n">
        <f aca="false">'PT_COM-01'!$F$69</f>
        <v>984672</v>
      </c>
      <c r="J16" s="99" t="n">
        <f aca="false">'PT_COM-01'!$G$69</f>
        <v>7</v>
      </c>
      <c r="K16" s="51" t="s">
        <v>697</v>
      </c>
      <c r="L16" s="51" t="s">
        <v>698</v>
      </c>
      <c r="M16" s="37" t="s">
        <v>678</v>
      </c>
      <c r="N16" s="103" t="str">
        <f aca="false">'PT_COM-01'!$H$69</f>
        <v>Implemented</v>
      </c>
      <c r="O16" s="96" t="n">
        <v>46216</v>
      </c>
      <c r="P16" s="96" t="n">
        <v>46219</v>
      </c>
      <c r="Q16" s="49" t="n">
        <f aca="false">IF(OR($N16="Implemented",$N16="Closed",$N16="Rejected"),IF($O16="",0,$O16-$E16),Dashboard!$C$7-$E16)</f>
        <v>27</v>
      </c>
      <c r="R16" s="52" t="str">
        <f aca="false">IF(OR($N16="Implemented",$N16="Closed",$N16="Rejected"),"Green",IF($Q16&lt;=21,"Amber","Red"))</f>
        <v>Green</v>
      </c>
      <c r="S16" s="134" t="str">
        <f aca="false">IF(AND(OR($N16="Approved",$N16="Implemented"),$L16="N/A"),"Chargeable change with no variation — uncontrolled cost",IF($Q16&gt;30,"Assessment overdue — escalate","Within control tolerance"))</f>
        <v>Within control tolerance</v>
      </c>
    </row>
    <row r="17" customFormat="false" ht="13.5" hidden="false" customHeight="true" outlineLevel="0" collapsed="false">
      <c r="A17" s="149" t="s">
        <v>296</v>
      </c>
      <c r="B17" s="150" t="str">
        <f aca="false">IFERROR(INDEX(Projects!$C$9:$C$16,MATCH($A17,Projects!$A$9:$A$16,0)),"")</f>
        <v>Commercial</v>
      </c>
      <c r="C17" s="94" t="n">
        <f aca="false">IF(Dashboard!$C$6="Corporate",1,IF(Dashboard!$C$6="Project",IF($A17=Dashboard!$M$6,1,0),IF($B17=Dashboard!$H$6,1,0)))</f>
        <v>1</v>
      </c>
      <c r="D17" s="42" t="s">
        <v>699</v>
      </c>
      <c r="E17" s="85" t="n">
        <v>46220</v>
      </c>
      <c r="F17" s="30" t="s">
        <v>680</v>
      </c>
      <c r="G17" s="30" t="s">
        <v>356</v>
      </c>
      <c r="H17" s="30" t="s">
        <v>681</v>
      </c>
      <c r="I17" s="86" t="n">
        <f aca="false">'PT_COM-01'!$F$70</f>
        <v>3624350</v>
      </c>
      <c r="J17" s="86" t="n">
        <f aca="false">'PT_COM-01'!$G$70</f>
        <v>21</v>
      </c>
      <c r="K17" s="45" t="s">
        <v>700</v>
      </c>
      <c r="L17" s="45" t="s">
        <v>701</v>
      </c>
      <c r="M17" s="30" t="s">
        <v>671</v>
      </c>
      <c r="N17" s="153" t="str">
        <f aca="false">'PT_COM-01'!$H$70</f>
        <v>Under Assessment</v>
      </c>
      <c r="O17" s="169"/>
      <c r="P17" s="169" t="n">
        <v>46250</v>
      </c>
      <c r="Q17" s="31" t="n">
        <f aca="false">IF(OR($N17="Implemented",$N17="Closed",$N17="Rejected"),IF($O17="",0,$O17-$E17),Dashboard!$C$7-$E17)</f>
        <v>45</v>
      </c>
      <c r="R17" s="46" t="str">
        <f aca="false">IF(OR($N17="Implemented",$N17="Closed",$N17="Rejected"),"Green",IF($Q17&lt;=21,"Amber","Red"))</f>
        <v>Red</v>
      </c>
      <c r="S17" s="55" t="str">
        <f aca="false">IF(AND(OR($N17="Approved",$N17="Implemented"),$L17="N/A"),"Chargeable change with no variation — uncontrolled cost",IF($Q17&gt;30,"Assessment overdue — escalate","Within control tolerance"))</f>
        <v>Assessment overdue — escalate</v>
      </c>
    </row>
    <row r="18" customFormat="false" ht="13.5" hidden="false" customHeight="true" outlineLevel="0" collapsed="false">
      <c r="A18" s="47" t="s">
        <v>298</v>
      </c>
      <c r="B18" s="154" t="str">
        <f aca="false">IFERROR(INDEX(Projects!$C$9:$C$16,MATCH($A18,Projects!$A$9:$A$16,0)),"")</f>
        <v>Commercial</v>
      </c>
      <c r="C18" s="155" t="n">
        <f aca="false">IF(Dashboard!$C$6="Corporate",1,IF(Dashboard!$C$6="Project",IF($A18=Dashboard!$M$6,1,0),IF($B18=Dashboard!$H$6,1,0)))</f>
        <v>1</v>
      </c>
      <c r="D18" s="47" t="s">
        <v>702</v>
      </c>
      <c r="E18" s="98" t="n">
        <v>46189</v>
      </c>
      <c r="F18" s="37" t="s">
        <v>667</v>
      </c>
      <c r="G18" s="37" t="s">
        <v>95</v>
      </c>
      <c r="H18" s="37" t="s">
        <v>668</v>
      </c>
      <c r="I18" s="99" t="n">
        <f aca="false">'PT_COM-02'!$F$68</f>
        <v>966451</v>
      </c>
      <c r="J18" s="99" t="n">
        <f aca="false">'PT_COM-02'!$G$68</f>
        <v>0</v>
      </c>
      <c r="K18" s="51" t="s">
        <v>703</v>
      </c>
      <c r="L18" s="51" t="s">
        <v>704</v>
      </c>
      <c r="M18" s="37" t="s">
        <v>678</v>
      </c>
      <c r="N18" s="103" t="str">
        <f aca="false">'PT_COM-02'!$H$68</f>
        <v>Implemented</v>
      </c>
      <c r="O18" s="96" t="n">
        <v>46216</v>
      </c>
      <c r="P18" s="96" t="n">
        <v>46219</v>
      </c>
      <c r="Q18" s="49" t="n">
        <f aca="false">IF(OR($N18="Implemented",$N18="Closed",$N18="Rejected"),IF($O18="",0,$O18-$E18),Dashboard!$C$7-$E18)</f>
        <v>27</v>
      </c>
      <c r="R18" s="52" t="str">
        <f aca="false">IF(OR($N18="Implemented",$N18="Closed",$N18="Rejected"),"Green",IF($Q18&lt;=21,"Amber","Red"))</f>
        <v>Green</v>
      </c>
      <c r="S18" s="134" t="str">
        <f aca="false">IF(AND(OR($N18="Approved",$N18="Implemented"),$L18="N/A"),"Chargeable change with no variation — uncontrolled cost",IF($Q18&gt;30,"Assessment overdue — escalate","Within control tolerance"))</f>
        <v>Within control tolerance</v>
      </c>
    </row>
    <row r="19" customFormat="false" ht="13.5" hidden="false" customHeight="true" outlineLevel="0" collapsed="false">
      <c r="A19" s="149" t="s">
        <v>298</v>
      </c>
      <c r="B19" s="150" t="str">
        <f aca="false">IFERROR(INDEX(Projects!$C$9:$C$16,MATCH($A19,Projects!$A$9:$A$16,0)),"")</f>
        <v>Commercial</v>
      </c>
      <c r="C19" s="94" t="n">
        <f aca="false">IF(Dashboard!$C$6="Corporate",1,IF(Dashboard!$C$6="Project",IF($A19=Dashboard!$M$6,1,0),IF($B19=Dashboard!$H$6,1,0)))</f>
        <v>1</v>
      </c>
      <c r="D19" s="42" t="s">
        <v>705</v>
      </c>
      <c r="E19" s="85" t="n">
        <v>46220</v>
      </c>
      <c r="F19" s="30" t="s">
        <v>673</v>
      </c>
      <c r="G19" s="30" t="s">
        <v>674</v>
      </c>
      <c r="H19" s="30" t="s">
        <v>675</v>
      </c>
      <c r="I19" s="86" t="n">
        <f aca="false">'PT_COM-02'!$F$69</f>
        <v>-348192</v>
      </c>
      <c r="J19" s="86" t="n">
        <f aca="false">'PT_COM-02'!$G$69</f>
        <v>0</v>
      </c>
      <c r="K19" s="45" t="s">
        <v>706</v>
      </c>
      <c r="L19" s="45" t="s">
        <v>707</v>
      </c>
      <c r="M19" s="30" t="s">
        <v>678</v>
      </c>
      <c r="N19" s="153" t="str">
        <f aca="false">'PT_COM-02'!$H$69</f>
        <v>Implemented</v>
      </c>
      <c r="O19" s="169" t="n">
        <v>46247</v>
      </c>
      <c r="P19" s="169" t="n">
        <v>46250</v>
      </c>
      <c r="Q19" s="31" t="n">
        <f aca="false">IF(OR($N19="Implemented",$N19="Closed",$N19="Rejected"),IF($O19="",0,$O19-$E19),Dashboard!$C$7-$E19)</f>
        <v>27</v>
      </c>
      <c r="R19" s="46" t="str">
        <f aca="false">IF(OR($N19="Implemented",$N19="Closed",$N19="Rejected"),"Green",IF($Q19&lt;=21,"Amber","Red"))</f>
        <v>Green</v>
      </c>
      <c r="S19" s="55" t="str">
        <f aca="false">IF(AND(OR($N19="Approved",$N19="Implemented"),$L19="N/A"),"Chargeable change with no variation — uncontrolled cost",IF($Q19&gt;30,"Assessment overdue — escalate","Within control tolerance"))</f>
        <v>Within control tolerance</v>
      </c>
    </row>
    <row r="20" customFormat="false" ht="13.5" hidden="false" customHeight="true" outlineLevel="0" collapsed="false">
      <c r="A20" s="47" t="s">
        <v>298</v>
      </c>
      <c r="B20" s="154" t="str">
        <f aca="false">IFERROR(INDEX(Projects!$C$9:$C$16,MATCH($A20,Projects!$A$9:$A$16,0)),"")</f>
        <v>Commercial</v>
      </c>
      <c r="C20" s="155" t="n">
        <f aca="false">IF(Dashboard!$C$6="Corporate",1,IF(Dashboard!$C$6="Project",IF($A20=Dashboard!$M$6,1,0),IF($B20=Dashboard!$H$6,1,0)))</f>
        <v>1</v>
      </c>
      <c r="D20" s="47" t="s">
        <v>708</v>
      </c>
      <c r="E20" s="98" t="n">
        <v>46251</v>
      </c>
      <c r="F20" s="37" t="s">
        <v>680</v>
      </c>
      <c r="G20" s="37" t="s">
        <v>356</v>
      </c>
      <c r="H20" s="37" t="s">
        <v>681</v>
      </c>
      <c r="I20" s="99" t="n">
        <f aca="false">'PT_COM-02'!$F$70</f>
        <v>1470893</v>
      </c>
      <c r="J20" s="99" t="n">
        <f aca="false">'PT_COM-02'!$G$70</f>
        <v>0</v>
      </c>
      <c r="K20" s="51" t="s">
        <v>709</v>
      </c>
      <c r="L20" s="51" t="s">
        <v>710</v>
      </c>
      <c r="M20" s="37" t="s">
        <v>671</v>
      </c>
      <c r="N20" s="103" t="str">
        <f aca="false">'PT_COM-02'!$H$70</f>
        <v>Open</v>
      </c>
      <c r="O20" s="96"/>
      <c r="P20" s="96" t="n">
        <v>46281</v>
      </c>
      <c r="Q20" s="49" t="n">
        <f aca="false">IF(OR($N20="Implemented",$N20="Closed",$N20="Rejected"),IF($O20="",0,$O20-$E20),Dashboard!$C$7-$E20)</f>
        <v>14</v>
      </c>
      <c r="R20" s="52" t="str">
        <f aca="false">IF(OR($N20="Implemented",$N20="Closed",$N20="Rejected"),"Green",IF($Q20&lt;=21,"Amber","Red"))</f>
        <v>Amber</v>
      </c>
      <c r="S20" s="134" t="str">
        <f aca="false">IF(AND(OR($N20="Approved",$N20="Implemented"),$L20="N/A"),"Chargeable change with no variation — uncontrolled cost",IF($Q20&gt;30,"Assessment overdue — escalate","Within control tolerance"))</f>
        <v>Within control tolerance</v>
      </c>
    </row>
    <row r="21" customFormat="false" ht="13.5" hidden="false" customHeight="true" outlineLevel="0" collapsed="false">
      <c r="A21" s="149" t="s">
        <v>300</v>
      </c>
      <c r="B21" s="150" t="str">
        <f aca="false">IFERROR(INDEX(Projects!$C$9:$C$16,MATCH($A21,Projects!$A$9:$A$16,0)),"")</f>
        <v>Mixed Use</v>
      </c>
      <c r="C21" s="94" t="n">
        <f aca="false">IF(Dashboard!$C$6="Corporate",1,IF(Dashboard!$C$6="Project",IF($A21=Dashboard!$M$6,1,0),IF($B21=Dashboard!$H$6,1,0)))</f>
        <v>1</v>
      </c>
      <c r="D21" s="42" t="s">
        <v>711</v>
      </c>
      <c r="E21" s="85" t="n">
        <v>46220</v>
      </c>
      <c r="F21" s="30" t="s">
        <v>667</v>
      </c>
      <c r="G21" s="30" t="s">
        <v>95</v>
      </c>
      <c r="H21" s="30" t="s">
        <v>668</v>
      </c>
      <c r="I21" s="86" t="n">
        <f aca="false">'PT_MXU-01'!$F$68</f>
        <v>2162943</v>
      </c>
      <c r="J21" s="86" t="n">
        <f aca="false">'PT_MXU-01'!$G$68</f>
        <v>0</v>
      </c>
      <c r="K21" s="45" t="s">
        <v>712</v>
      </c>
      <c r="L21" s="45" t="s">
        <v>713</v>
      </c>
      <c r="M21" s="30" t="s">
        <v>671</v>
      </c>
      <c r="N21" s="153" t="str">
        <f aca="false">'PT_MXU-01'!$H$68</f>
        <v>Implemented</v>
      </c>
      <c r="O21" s="169" t="n">
        <v>46247</v>
      </c>
      <c r="P21" s="169" t="n">
        <v>46250</v>
      </c>
      <c r="Q21" s="31" t="n">
        <f aca="false">IF(OR($N21="Implemented",$N21="Closed",$N21="Rejected"),IF($O21="",0,$O21-$E21),Dashboard!$C$7-$E21)</f>
        <v>27</v>
      </c>
      <c r="R21" s="46" t="str">
        <f aca="false">IF(OR($N21="Implemented",$N21="Closed",$N21="Rejected"),"Green",IF($Q21&lt;=21,"Amber","Red"))</f>
        <v>Green</v>
      </c>
      <c r="S21" s="55" t="str">
        <f aca="false">IF(AND(OR($N21="Approved",$N21="Implemented"),$L21="N/A"),"Chargeable change with no variation — uncontrolled cost",IF($Q21&gt;30,"Assessment overdue — escalate","Within control tolerance"))</f>
        <v>Within control tolerance</v>
      </c>
    </row>
    <row r="22" customFormat="false" ht="13.5" hidden="false" customHeight="true" outlineLevel="0" collapsed="false">
      <c r="A22" s="47" t="s">
        <v>300</v>
      </c>
      <c r="B22" s="154" t="str">
        <f aca="false">IFERROR(INDEX(Projects!$C$9:$C$16,MATCH($A22,Projects!$A$9:$A$16,0)),"")</f>
        <v>Mixed Use</v>
      </c>
      <c r="C22" s="155" t="n">
        <f aca="false">IF(Dashboard!$C$6="Corporate",1,IF(Dashboard!$C$6="Project",IF($A22=Dashboard!$M$6,1,0),IF($B22=Dashboard!$H$6,1,0)))</f>
        <v>1</v>
      </c>
      <c r="D22" s="47" t="s">
        <v>714</v>
      </c>
      <c r="E22" s="98" t="n">
        <v>46251</v>
      </c>
      <c r="F22" s="37" t="s">
        <v>673</v>
      </c>
      <c r="G22" s="37" t="s">
        <v>674</v>
      </c>
      <c r="H22" s="37" t="s">
        <v>675</v>
      </c>
      <c r="I22" s="99" t="n">
        <f aca="false">'PT_MXU-01'!$F$69</f>
        <v>871884</v>
      </c>
      <c r="J22" s="99" t="n">
        <f aca="false">'PT_MXU-01'!$G$69</f>
        <v>7</v>
      </c>
      <c r="K22" s="51" t="s">
        <v>715</v>
      </c>
      <c r="L22" s="51" t="s">
        <v>716</v>
      </c>
      <c r="M22" s="37" t="s">
        <v>678</v>
      </c>
      <c r="N22" s="103" t="str">
        <f aca="false">'PT_MXU-01'!$H$69</f>
        <v>Implemented</v>
      </c>
      <c r="O22" s="96" t="n">
        <v>46278</v>
      </c>
      <c r="P22" s="96" t="n">
        <v>46281</v>
      </c>
      <c r="Q22" s="49" t="n">
        <f aca="false">IF(OR($N22="Implemented",$N22="Closed",$N22="Rejected"),IF($O22="",0,$O22-$E22),Dashboard!$C$7-$E22)</f>
        <v>27</v>
      </c>
      <c r="R22" s="52" t="str">
        <f aca="false">IF(OR($N22="Implemented",$N22="Closed",$N22="Rejected"),"Green",IF($Q22&lt;=21,"Amber","Red"))</f>
        <v>Green</v>
      </c>
      <c r="S22" s="134" t="str">
        <f aca="false">IF(AND(OR($N22="Approved",$N22="Implemented"),$L22="N/A"),"Chargeable change with no variation — uncontrolled cost",IF($Q22&gt;30,"Assessment overdue — escalate","Within control tolerance"))</f>
        <v>Within control tolerance</v>
      </c>
    </row>
    <row r="23" customFormat="false" ht="13.5" hidden="false" customHeight="true" outlineLevel="0" collapsed="false">
      <c r="A23" s="149" t="s">
        <v>300</v>
      </c>
      <c r="B23" s="150" t="str">
        <f aca="false">IFERROR(INDEX(Projects!$C$9:$C$16,MATCH($A23,Projects!$A$9:$A$16,0)),"")</f>
        <v>Mixed Use</v>
      </c>
      <c r="C23" s="94" t="n">
        <f aca="false">IF(Dashboard!$C$6="Corporate",1,IF(Dashboard!$C$6="Project",IF($A23=Dashboard!$M$6,1,0),IF($B23=Dashboard!$H$6,1,0)))</f>
        <v>1</v>
      </c>
      <c r="D23" s="42" t="s">
        <v>717</v>
      </c>
      <c r="E23" s="85" t="n">
        <v>46281</v>
      </c>
      <c r="F23" s="30" t="s">
        <v>680</v>
      </c>
      <c r="G23" s="30" t="s">
        <v>356</v>
      </c>
      <c r="H23" s="30" t="s">
        <v>681</v>
      </c>
      <c r="I23" s="86" t="n">
        <f aca="false">'PT_MXU-01'!$F$70</f>
        <v>3209204</v>
      </c>
      <c r="J23" s="86" t="n">
        <f aca="false">'PT_MXU-01'!$G$70</f>
        <v>21</v>
      </c>
      <c r="K23" s="45" t="s">
        <v>718</v>
      </c>
      <c r="L23" s="45" t="s">
        <v>719</v>
      </c>
      <c r="M23" s="30" t="s">
        <v>671</v>
      </c>
      <c r="N23" s="153" t="str">
        <f aca="false">'PT_MXU-01'!$H$70</f>
        <v>Under Assessment</v>
      </c>
      <c r="O23" s="169"/>
      <c r="P23" s="169" t="n">
        <v>46311</v>
      </c>
      <c r="Q23" s="31" t="n">
        <f aca="false">IF(OR($N23="Implemented",$N23="Closed",$N23="Rejected"),IF($O23="",0,$O23-$E23),Dashboard!$C$7-$E23)</f>
        <v>-16</v>
      </c>
      <c r="R23" s="46" t="str">
        <f aca="false">IF(OR($N23="Implemented",$N23="Closed",$N23="Rejected"),"Green",IF($Q23&lt;=21,"Amber","Red"))</f>
        <v>Amber</v>
      </c>
      <c r="S23" s="55" t="str">
        <f aca="false">IF(AND(OR($N23="Approved",$N23="Implemented"),$L23="N/A"),"Chargeable change with no variation — uncontrolled cost",IF($Q23&gt;30,"Assessment overdue — escalate","Within control tolerance"))</f>
        <v>Within control tolerance</v>
      </c>
    </row>
    <row r="24" customFormat="false" ht="13.5" hidden="false" customHeight="true" outlineLevel="0" collapsed="false">
      <c r="A24" s="47" t="s">
        <v>301</v>
      </c>
      <c r="B24" s="154" t="str">
        <f aca="false">IFERROR(INDEX(Projects!$C$9:$C$16,MATCH($A24,Projects!$A$9:$A$16,0)),"")</f>
        <v>Mixed Use</v>
      </c>
      <c r="C24" s="155" t="n">
        <f aca="false">IF(Dashboard!$C$6="Corporate",1,IF(Dashboard!$C$6="Project",IF($A24=Dashboard!$M$6,1,0),IF($B24=Dashboard!$H$6,1,0)))</f>
        <v>1</v>
      </c>
      <c r="D24" s="47" t="s">
        <v>720</v>
      </c>
      <c r="E24" s="98" t="n">
        <v>46189</v>
      </c>
      <c r="F24" s="37" t="s">
        <v>667</v>
      </c>
      <c r="G24" s="37" t="s">
        <v>95</v>
      </c>
      <c r="H24" s="37" t="s">
        <v>668</v>
      </c>
      <c r="I24" s="99" t="n">
        <f aca="false">'PT_MXU-02'!$F$68</f>
        <v>741101</v>
      </c>
      <c r="J24" s="99" t="n">
        <f aca="false">'PT_MXU-02'!$G$68</f>
        <v>0</v>
      </c>
      <c r="K24" s="51" t="s">
        <v>721</v>
      </c>
      <c r="L24" s="51" t="s">
        <v>722</v>
      </c>
      <c r="M24" s="37" t="s">
        <v>678</v>
      </c>
      <c r="N24" s="103" t="str">
        <f aca="false">'PT_MXU-02'!$H$68</f>
        <v>Implemented</v>
      </c>
      <c r="O24" s="96" t="n">
        <v>46216</v>
      </c>
      <c r="P24" s="96" t="n">
        <v>46219</v>
      </c>
      <c r="Q24" s="49" t="n">
        <f aca="false">IF(OR($N24="Implemented",$N24="Closed",$N24="Rejected"),IF($O24="",0,$O24-$E24),Dashboard!$C$7-$E24)</f>
        <v>27</v>
      </c>
      <c r="R24" s="52" t="str">
        <f aca="false">IF(OR($N24="Implemented",$N24="Closed",$N24="Rejected"),"Green",IF($Q24&lt;=21,"Amber","Red"))</f>
        <v>Green</v>
      </c>
      <c r="S24" s="134" t="str">
        <f aca="false">IF(AND(OR($N24="Approved",$N24="Implemented"),$L24="N/A"),"Chargeable change with no variation — uncontrolled cost",IF($Q24&gt;30,"Assessment overdue — escalate","Within control tolerance"))</f>
        <v>Within control tolerance</v>
      </c>
    </row>
    <row r="25" customFormat="false" ht="13.5" hidden="false" customHeight="true" outlineLevel="0" collapsed="false">
      <c r="A25" s="149" t="s">
        <v>301</v>
      </c>
      <c r="B25" s="150" t="str">
        <f aca="false">IFERROR(INDEX(Projects!$C$9:$C$16,MATCH($A25,Projects!$A$9:$A$16,0)),"")</f>
        <v>Mixed Use</v>
      </c>
      <c r="C25" s="94" t="n">
        <f aca="false">IF(Dashboard!$C$6="Corporate",1,IF(Dashboard!$C$6="Project",IF($A25=Dashboard!$M$6,1,0),IF($B25=Dashboard!$H$6,1,0)))</f>
        <v>1</v>
      </c>
      <c r="D25" s="42" t="s">
        <v>723</v>
      </c>
      <c r="E25" s="85" t="n">
        <v>46220</v>
      </c>
      <c r="F25" s="30" t="s">
        <v>673</v>
      </c>
      <c r="G25" s="30" t="s">
        <v>674</v>
      </c>
      <c r="H25" s="30" t="s">
        <v>675</v>
      </c>
      <c r="I25" s="86" t="n">
        <f aca="false">'PT_MXU-02'!$F$69</f>
        <v>-267003</v>
      </c>
      <c r="J25" s="86" t="n">
        <f aca="false">'PT_MXU-02'!$G$69</f>
        <v>0</v>
      </c>
      <c r="K25" s="45" t="s">
        <v>724</v>
      </c>
      <c r="L25" s="45" t="s">
        <v>725</v>
      </c>
      <c r="M25" s="30" t="s">
        <v>678</v>
      </c>
      <c r="N25" s="153" t="str">
        <f aca="false">'PT_MXU-02'!$H$69</f>
        <v>Implemented</v>
      </c>
      <c r="O25" s="169" t="n">
        <v>46247</v>
      </c>
      <c r="P25" s="169" t="n">
        <v>46250</v>
      </c>
      <c r="Q25" s="31" t="n">
        <f aca="false">IF(OR($N25="Implemented",$N25="Closed",$N25="Rejected"),IF($O25="",0,$O25-$E25),Dashboard!$C$7-$E25)</f>
        <v>27</v>
      </c>
      <c r="R25" s="46" t="str">
        <f aca="false">IF(OR($N25="Implemented",$N25="Closed",$N25="Rejected"),"Green",IF($Q25&lt;=21,"Amber","Red"))</f>
        <v>Green</v>
      </c>
      <c r="S25" s="55" t="str">
        <f aca="false">IF(AND(OR($N25="Approved",$N25="Implemented"),$L25="N/A"),"Chargeable change with no variation — uncontrolled cost",IF($Q25&gt;30,"Assessment overdue — escalate","Within control tolerance"))</f>
        <v>Within control tolerance</v>
      </c>
    </row>
    <row r="26" customFormat="false" ht="13.5" hidden="false" customHeight="true" outlineLevel="0" collapsed="false">
      <c r="A26" s="47" t="s">
        <v>301</v>
      </c>
      <c r="B26" s="154" t="str">
        <f aca="false">IFERROR(INDEX(Projects!$C$9:$C$16,MATCH($A26,Projects!$A$9:$A$16,0)),"")</f>
        <v>Mixed Use</v>
      </c>
      <c r="C26" s="155" t="n">
        <f aca="false">IF(Dashboard!$C$6="Corporate",1,IF(Dashboard!$C$6="Project",IF($A26=Dashboard!$M$6,1,0),IF($B26=Dashboard!$H$6,1,0)))</f>
        <v>1</v>
      </c>
      <c r="D26" s="47" t="s">
        <v>726</v>
      </c>
      <c r="E26" s="98" t="n">
        <v>46251</v>
      </c>
      <c r="F26" s="37" t="s">
        <v>680</v>
      </c>
      <c r="G26" s="37" t="s">
        <v>356</v>
      </c>
      <c r="H26" s="37" t="s">
        <v>681</v>
      </c>
      <c r="I26" s="99" t="n">
        <f aca="false">'PT_MXU-02'!$F$70</f>
        <v>1127920</v>
      </c>
      <c r="J26" s="99" t="n">
        <f aca="false">'PT_MXU-02'!$G$70</f>
        <v>0</v>
      </c>
      <c r="K26" s="51" t="s">
        <v>727</v>
      </c>
      <c r="L26" s="51" t="s">
        <v>728</v>
      </c>
      <c r="M26" s="37" t="s">
        <v>671</v>
      </c>
      <c r="N26" s="103" t="str">
        <f aca="false">'PT_MXU-02'!$H$70</f>
        <v>Open</v>
      </c>
      <c r="O26" s="96"/>
      <c r="P26" s="96" t="n">
        <v>46281</v>
      </c>
      <c r="Q26" s="49" t="n">
        <f aca="false">IF(OR($N26="Implemented",$N26="Closed",$N26="Rejected"),IF($O26="",0,$O26-$E26),Dashboard!$C$7-$E26)</f>
        <v>14</v>
      </c>
      <c r="R26" s="52" t="str">
        <f aca="false">IF(OR($N26="Implemented",$N26="Closed",$N26="Rejected"),"Green",IF($Q26&lt;=21,"Amber","Red"))</f>
        <v>Amber</v>
      </c>
      <c r="S26" s="134" t="str">
        <f aca="false">IF(AND(OR($N26="Approved",$N26="Implemented"),$L26="N/A"),"Chargeable change with no variation — uncontrolled cost",IF($Q26&gt;30,"Assessment overdue — escalate","Within control tolerance"))</f>
        <v>Within control tolerance</v>
      </c>
    </row>
    <row r="27" customFormat="false" ht="13.5" hidden="false" customHeight="true" outlineLevel="0" collapsed="false">
      <c r="A27" s="149" t="s">
        <v>303</v>
      </c>
      <c r="B27" s="150" t="str">
        <f aca="false">IFERROR(INDEX(Projects!$C$9:$C$16,MATCH($A27,Projects!$A$9:$A$16,0)),"")</f>
        <v>Land Development</v>
      </c>
      <c r="C27" s="94" t="n">
        <f aca="false">IF(Dashboard!$C$6="Corporate",1,IF(Dashboard!$C$6="Project",IF($A27=Dashboard!$M$6,1,0),IF($B27=Dashboard!$H$6,1,0)))</f>
        <v>1</v>
      </c>
      <c r="D27" s="42" t="s">
        <v>729</v>
      </c>
      <c r="E27" s="85" t="n">
        <v>46159</v>
      </c>
      <c r="F27" s="30" t="s">
        <v>667</v>
      </c>
      <c r="G27" s="30" t="s">
        <v>95</v>
      </c>
      <c r="H27" s="30" t="s">
        <v>668</v>
      </c>
      <c r="I27" s="86" t="n">
        <f aca="false">'PT_LND-01'!$F$68</f>
        <v>1655586</v>
      </c>
      <c r="J27" s="86" t="n">
        <f aca="false">'PT_LND-01'!$G$68</f>
        <v>0</v>
      </c>
      <c r="K27" s="45" t="s">
        <v>730</v>
      </c>
      <c r="L27" s="45" t="s">
        <v>731</v>
      </c>
      <c r="M27" s="30" t="s">
        <v>671</v>
      </c>
      <c r="N27" s="153" t="str">
        <f aca="false">'PT_LND-01'!$H$68</f>
        <v>Implemented</v>
      </c>
      <c r="O27" s="169" t="n">
        <v>46186</v>
      </c>
      <c r="P27" s="169" t="n">
        <v>46189</v>
      </c>
      <c r="Q27" s="31" t="n">
        <f aca="false">IF(OR($N27="Implemented",$N27="Closed",$N27="Rejected"),IF($O27="",0,$O27-$E27),Dashboard!$C$7-$E27)</f>
        <v>27</v>
      </c>
      <c r="R27" s="46" t="str">
        <f aca="false">IF(OR($N27="Implemented",$N27="Closed",$N27="Rejected"),"Green",IF($Q27&lt;=21,"Amber","Red"))</f>
        <v>Green</v>
      </c>
      <c r="S27" s="55" t="str">
        <f aca="false">IF(AND(OR($N27="Approved",$N27="Implemented"),$L27="N/A"),"Chargeable change with no variation — uncontrolled cost",IF($Q27&gt;30,"Assessment overdue — escalate","Within control tolerance"))</f>
        <v>Within control tolerance</v>
      </c>
    </row>
    <row r="28" customFormat="false" ht="13.5" hidden="false" customHeight="true" outlineLevel="0" collapsed="false">
      <c r="A28" s="47" t="s">
        <v>303</v>
      </c>
      <c r="B28" s="154" t="str">
        <f aca="false">IFERROR(INDEX(Projects!$C$9:$C$16,MATCH($A28,Projects!$A$9:$A$16,0)),"")</f>
        <v>Land Development</v>
      </c>
      <c r="C28" s="155" t="n">
        <f aca="false">IF(Dashboard!$C$6="Corporate",1,IF(Dashboard!$C$6="Project",IF($A28=Dashboard!$M$6,1,0),IF($B28=Dashboard!$H$6,1,0)))</f>
        <v>1</v>
      </c>
      <c r="D28" s="47" t="s">
        <v>732</v>
      </c>
      <c r="E28" s="98" t="n">
        <v>46189</v>
      </c>
      <c r="F28" s="37" t="s">
        <v>673</v>
      </c>
      <c r="G28" s="37" t="s">
        <v>674</v>
      </c>
      <c r="H28" s="37" t="s">
        <v>675</v>
      </c>
      <c r="I28" s="99" t="n">
        <f aca="false">'PT_LND-01'!$F$69</f>
        <v>667368</v>
      </c>
      <c r="J28" s="99" t="n">
        <f aca="false">'PT_LND-01'!$G$69</f>
        <v>7</v>
      </c>
      <c r="K28" s="51" t="s">
        <v>733</v>
      </c>
      <c r="L28" s="51" t="s">
        <v>734</v>
      </c>
      <c r="M28" s="37" t="s">
        <v>678</v>
      </c>
      <c r="N28" s="103" t="str">
        <f aca="false">'PT_LND-01'!$H$69</f>
        <v>Implemented</v>
      </c>
      <c r="O28" s="96" t="n">
        <v>46216</v>
      </c>
      <c r="P28" s="96" t="n">
        <v>46219</v>
      </c>
      <c r="Q28" s="49" t="n">
        <f aca="false">IF(OR($N28="Implemented",$N28="Closed",$N28="Rejected"),IF($O28="",0,$O28-$E28),Dashboard!$C$7-$E28)</f>
        <v>27</v>
      </c>
      <c r="R28" s="52" t="str">
        <f aca="false">IF(OR($N28="Implemented",$N28="Closed",$N28="Rejected"),"Green",IF($Q28&lt;=21,"Amber","Red"))</f>
        <v>Green</v>
      </c>
      <c r="S28" s="134" t="str">
        <f aca="false">IF(AND(OR($N28="Approved",$N28="Implemented"),$L28="N/A"),"Chargeable change with no variation — uncontrolled cost",IF($Q28&gt;30,"Assessment overdue — escalate","Within control tolerance"))</f>
        <v>Within control tolerance</v>
      </c>
    </row>
    <row r="29" customFormat="false" ht="13.5" hidden="false" customHeight="true" outlineLevel="0" collapsed="false">
      <c r="A29" s="149" t="s">
        <v>303</v>
      </c>
      <c r="B29" s="150" t="str">
        <f aca="false">IFERROR(INDEX(Projects!$C$9:$C$16,MATCH($A29,Projects!$A$9:$A$16,0)),"")</f>
        <v>Land Development</v>
      </c>
      <c r="C29" s="94" t="n">
        <f aca="false">IF(Dashboard!$C$6="Corporate",1,IF(Dashboard!$C$6="Project",IF($A29=Dashboard!$M$6,1,0),IF($B29=Dashboard!$H$6,1,0)))</f>
        <v>1</v>
      </c>
      <c r="D29" s="42" t="s">
        <v>735</v>
      </c>
      <c r="E29" s="85" t="n">
        <v>46220</v>
      </c>
      <c r="F29" s="30" t="s">
        <v>680</v>
      </c>
      <c r="G29" s="30" t="s">
        <v>356</v>
      </c>
      <c r="H29" s="30" t="s">
        <v>681</v>
      </c>
      <c r="I29" s="86" t="n">
        <f aca="false">'PT_LND-01'!$F$70</f>
        <v>2456428</v>
      </c>
      <c r="J29" s="86" t="n">
        <f aca="false">'PT_LND-01'!$G$70</f>
        <v>21</v>
      </c>
      <c r="K29" s="45" t="s">
        <v>736</v>
      </c>
      <c r="L29" s="45" t="s">
        <v>737</v>
      </c>
      <c r="M29" s="30" t="s">
        <v>671</v>
      </c>
      <c r="N29" s="153" t="str">
        <f aca="false">'PT_LND-01'!$H$70</f>
        <v>Under Assessment</v>
      </c>
      <c r="O29" s="169"/>
      <c r="P29" s="169" t="n">
        <v>46250</v>
      </c>
      <c r="Q29" s="31" t="n">
        <f aca="false">IF(OR($N29="Implemented",$N29="Closed",$N29="Rejected"),IF($O29="",0,$O29-$E29),Dashboard!$C$7-$E29)</f>
        <v>45</v>
      </c>
      <c r="R29" s="46" t="str">
        <f aca="false">IF(OR($N29="Implemented",$N29="Closed",$N29="Rejected"),"Green",IF($Q29&lt;=21,"Amber","Red"))</f>
        <v>Red</v>
      </c>
      <c r="S29" s="55" t="str">
        <f aca="false">IF(AND(OR($N29="Approved",$N29="Implemented"),$L29="N/A"),"Chargeable change with no variation — uncontrolled cost",IF($Q29&gt;30,"Assessment overdue — escalate","Within control tolerance"))</f>
        <v>Assessment overdue — escalate</v>
      </c>
    </row>
    <row r="30" customFormat="false" ht="13.5" hidden="false" customHeight="true" outlineLevel="0" collapsed="false">
      <c r="A30" s="47" t="s">
        <v>304</v>
      </c>
      <c r="B30" s="154" t="str">
        <f aca="false">IFERROR(INDEX(Projects!$C$9:$C$16,MATCH($A30,Projects!$A$9:$A$16,0)),"")</f>
        <v>Land Development</v>
      </c>
      <c r="C30" s="155" t="n">
        <f aca="false">IF(Dashboard!$C$6="Corporate",1,IF(Dashboard!$C$6="Project",IF($A30=Dashboard!$M$6,1,0),IF($B30=Dashboard!$H$6,1,0)))</f>
        <v>1</v>
      </c>
      <c r="D30" s="47" t="s">
        <v>738</v>
      </c>
      <c r="E30" s="98" t="n">
        <v>46189</v>
      </c>
      <c r="F30" s="37" t="s">
        <v>667</v>
      </c>
      <c r="G30" s="37" t="s">
        <v>95</v>
      </c>
      <c r="H30" s="37" t="s">
        <v>668</v>
      </c>
      <c r="I30" s="99" t="n">
        <f aca="false">'PT_LND-02'!$F$68</f>
        <v>530077</v>
      </c>
      <c r="J30" s="99" t="n">
        <f aca="false">'PT_LND-02'!$G$68</f>
        <v>0</v>
      </c>
      <c r="K30" s="51" t="s">
        <v>739</v>
      </c>
      <c r="L30" s="51" t="s">
        <v>740</v>
      </c>
      <c r="M30" s="37" t="s">
        <v>678</v>
      </c>
      <c r="N30" s="103" t="str">
        <f aca="false">'PT_LND-02'!$H$68</f>
        <v>Implemented</v>
      </c>
      <c r="O30" s="96" t="n">
        <v>46216</v>
      </c>
      <c r="P30" s="96" t="n">
        <v>46219</v>
      </c>
      <c r="Q30" s="49" t="n">
        <f aca="false">IF(OR($N30="Implemented",$N30="Closed",$N30="Rejected"),IF($O30="",0,$O30-$E30),Dashboard!$C$7-$E30)</f>
        <v>27</v>
      </c>
      <c r="R30" s="52" t="str">
        <f aca="false">IF(OR($N30="Implemented",$N30="Closed",$N30="Rejected"),"Green",IF($Q30&lt;=21,"Amber","Red"))</f>
        <v>Green</v>
      </c>
      <c r="S30" s="134" t="str">
        <f aca="false">IF(AND(OR($N30="Approved",$N30="Implemented"),$L30="N/A"),"Chargeable change with no variation — uncontrolled cost",IF($Q30&gt;30,"Assessment overdue — escalate","Within control tolerance"))</f>
        <v>Within control tolerance</v>
      </c>
    </row>
    <row r="31" customFormat="false" ht="13.5" hidden="false" customHeight="true" outlineLevel="0" collapsed="false">
      <c r="A31" s="149" t="s">
        <v>304</v>
      </c>
      <c r="B31" s="150" t="str">
        <f aca="false">IFERROR(INDEX(Projects!$C$9:$C$16,MATCH($A31,Projects!$A$9:$A$16,0)),"")</f>
        <v>Land Development</v>
      </c>
      <c r="C31" s="94" t="n">
        <f aca="false">IF(Dashboard!$C$6="Corporate",1,IF(Dashboard!$C$6="Project",IF($A31=Dashboard!$M$6,1,0),IF($B31=Dashboard!$H$6,1,0)))</f>
        <v>1</v>
      </c>
      <c r="D31" s="42" t="s">
        <v>741</v>
      </c>
      <c r="E31" s="85" t="n">
        <v>46220</v>
      </c>
      <c r="F31" s="30" t="s">
        <v>673</v>
      </c>
      <c r="G31" s="30" t="s">
        <v>674</v>
      </c>
      <c r="H31" s="30" t="s">
        <v>675</v>
      </c>
      <c r="I31" s="86" t="n">
        <f aca="false">'PT_LND-02'!$F$69</f>
        <v>-190976</v>
      </c>
      <c r="J31" s="86" t="n">
        <f aca="false">'PT_LND-02'!$G$69</f>
        <v>0</v>
      </c>
      <c r="K31" s="45" t="s">
        <v>742</v>
      </c>
      <c r="L31" s="45" t="s">
        <v>743</v>
      </c>
      <c r="M31" s="30" t="s">
        <v>678</v>
      </c>
      <c r="N31" s="153" t="str">
        <f aca="false">'PT_LND-02'!$H$69</f>
        <v>Implemented</v>
      </c>
      <c r="O31" s="169" t="n">
        <v>46247</v>
      </c>
      <c r="P31" s="169" t="n">
        <v>46250</v>
      </c>
      <c r="Q31" s="31" t="n">
        <f aca="false">IF(OR($N31="Implemented",$N31="Closed",$N31="Rejected"),IF($O31="",0,$O31-$E31),Dashboard!$C$7-$E31)</f>
        <v>27</v>
      </c>
      <c r="R31" s="46" t="str">
        <f aca="false">IF(OR($N31="Implemented",$N31="Closed",$N31="Rejected"),"Green",IF($Q31&lt;=21,"Amber","Red"))</f>
        <v>Green</v>
      </c>
      <c r="S31" s="55" t="str">
        <f aca="false">IF(AND(OR($N31="Approved",$N31="Implemented"),$L31="N/A"),"Chargeable change with no variation — uncontrolled cost",IF($Q31&gt;30,"Assessment overdue — escalate","Within control tolerance"))</f>
        <v>Within control tolerance</v>
      </c>
    </row>
    <row r="32" customFormat="false" ht="13.5" hidden="false" customHeight="true" outlineLevel="0" collapsed="false">
      <c r="A32" s="47" t="s">
        <v>304</v>
      </c>
      <c r="B32" s="154" t="str">
        <f aca="false">IFERROR(INDEX(Projects!$C$9:$C$16,MATCH($A32,Projects!$A$9:$A$16,0)),"")</f>
        <v>Land Development</v>
      </c>
      <c r="C32" s="155" t="n">
        <f aca="false">IF(Dashboard!$C$6="Corporate",1,IF(Dashboard!$C$6="Project",IF($A32=Dashboard!$M$6,1,0),IF($B32=Dashboard!$H$6,1,0)))</f>
        <v>1</v>
      </c>
      <c r="D32" s="47" t="s">
        <v>744</v>
      </c>
      <c r="E32" s="98" t="n">
        <v>46251</v>
      </c>
      <c r="F32" s="37" t="s">
        <v>680</v>
      </c>
      <c r="G32" s="37" t="s">
        <v>356</v>
      </c>
      <c r="H32" s="37" t="s">
        <v>681</v>
      </c>
      <c r="I32" s="99" t="n">
        <f aca="false">'PT_LND-02'!$F$70</f>
        <v>806752</v>
      </c>
      <c r="J32" s="99" t="n">
        <f aca="false">'PT_LND-02'!$G$70</f>
        <v>0</v>
      </c>
      <c r="K32" s="51" t="s">
        <v>745</v>
      </c>
      <c r="L32" s="51" t="s">
        <v>746</v>
      </c>
      <c r="M32" s="37" t="s">
        <v>671</v>
      </c>
      <c r="N32" s="103" t="str">
        <f aca="false">'PT_LND-02'!$H$70</f>
        <v>Open</v>
      </c>
      <c r="O32" s="96"/>
      <c r="P32" s="96" t="n">
        <v>46281</v>
      </c>
      <c r="Q32" s="49" t="n">
        <f aca="false">IF(OR($N32="Implemented",$N32="Closed",$N32="Rejected"),IF($O32="",0,$O32-$E32),Dashboard!$C$7-$E32)</f>
        <v>14</v>
      </c>
      <c r="R32" s="52" t="str">
        <f aca="false">IF(OR($N32="Implemented",$N32="Closed",$N32="Rejected"),"Green",IF($Q32&lt;=21,"Amber","Red"))</f>
        <v>Amber</v>
      </c>
      <c r="S32" s="134" t="str">
        <f aca="false">IF(AND(OR($N32="Approved",$N32="Implemented"),$L32="N/A"),"Chargeable change with no variation — uncontrolled cost",IF($Q32&gt;30,"Assessment overdue — escalate","Within control tolerance"))</f>
        <v>Within control tolerance</v>
      </c>
    </row>
    <row r="33" customFormat="false" ht="15" hidden="false" customHeight="true" outlineLevel="0" collapsed="false">
      <c r="A33" s="5"/>
      <c r="B33" s="5"/>
      <c r="C33" s="5"/>
      <c r="D33" s="5"/>
      <c r="E33" s="5"/>
      <c r="F33" s="5"/>
      <c r="G33" s="5"/>
      <c r="H33" s="5"/>
      <c r="I33" s="5"/>
      <c r="J33" s="5"/>
      <c r="K33" s="5"/>
      <c r="L33" s="5"/>
      <c r="M33" s="5"/>
      <c r="N33" s="5"/>
      <c r="O33" s="5"/>
      <c r="P33" s="5"/>
      <c r="Q33" s="5"/>
      <c r="R33" s="5"/>
      <c r="S33" s="5"/>
    </row>
    <row r="34" customFormat="false" ht="15" hidden="false" customHeight="true" outlineLevel="0" collapsed="false">
      <c r="A34" s="5"/>
      <c r="B34" s="5"/>
      <c r="C34" s="5"/>
      <c r="D34" s="5"/>
      <c r="E34" s="5"/>
      <c r="F34" s="5"/>
      <c r="G34" s="5"/>
      <c r="H34" s="5"/>
      <c r="I34" s="5"/>
      <c r="J34" s="5"/>
      <c r="K34" s="5"/>
      <c r="L34" s="5"/>
      <c r="M34" s="5"/>
      <c r="N34" s="5"/>
      <c r="O34" s="5"/>
      <c r="P34" s="5"/>
      <c r="Q34" s="5"/>
      <c r="R34" s="5"/>
      <c r="S34" s="5"/>
    </row>
    <row r="35" customFormat="false" ht="19.5" hidden="false" customHeight="true" outlineLevel="0" collapsed="false">
      <c r="A35" s="13" t="s">
        <v>747</v>
      </c>
      <c r="B35" s="13"/>
      <c r="C35" s="13"/>
      <c r="D35" s="13"/>
      <c r="E35" s="13"/>
      <c r="F35" s="13"/>
      <c r="G35" s="13"/>
      <c r="H35" s="13"/>
      <c r="I35" s="13"/>
      <c r="J35" s="13"/>
      <c r="K35" s="13"/>
      <c r="L35" s="13"/>
      <c r="M35" s="13"/>
      <c r="N35" s="13"/>
      <c r="O35" s="13"/>
      <c r="P35" s="13"/>
      <c r="Q35" s="13"/>
      <c r="R35" s="13"/>
      <c r="S35" s="13"/>
    </row>
    <row r="36" customFormat="false" ht="15.75" hidden="false" customHeight="true" outlineLevel="0" collapsed="false">
      <c r="A36" s="53" t="s">
        <v>748</v>
      </c>
      <c r="B36" s="53"/>
      <c r="C36" s="53"/>
      <c r="D36" s="164" t="n">
        <f aca="false">SUMPRODUCT(Change_Log!$C$9:$C$32,(($N$9:$N$32="Open")+($N$9:$N$32="Under Assessment")))</f>
        <v>8</v>
      </c>
      <c r="E36" s="164"/>
      <c r="F36" s="53" t="s">
        <v>749</v>
      </c>
      <c r="G36" s="53"/>
      <c r="H36" s="53"/>
      <c r="I36" s="164" t="n">
        <f aca="false">SUMPRODUCT(Change_Log!$C$9:$C$32,(($N$9:$N$32="Open")+($N$9:$N$32="Under Assessment")),$I$9:$I$32)</f>
        <v>14985819</v>
      </c>
      <c r="J36" s="164"/>
      <c r="K36" s="5"/>
      <c r="L36" s="5"/>
      <c r="M36" s="5"/>
      <c r="N36" s="53" t="s">
        <v>750</v>
      </c>
      <c r="O36" s="53"/>
      <c r="P36" s="53"/>
      <c r="Q36" s="164" t="n">
        <f aca="false">SUMPRODUCT(Change_Log!$C$9:$C$32,(($N$9:$N$32="Approved")+($N$9:$N$32="Implemented")),($L$9:$L$32="N/A")*1)</f>
        <v>0</v>
      </c>
      <c r="R36" s="164"/>
      <c r="S36" s="5"/>
    </row>
    <row r="37" customFormat="false" ht="15.75" hidden="false" customHeight="true" outlineLevel="0" collapsed="false">
      <c r="A37" s="53" t="s">
        <v>751</v>
      </c>
      <c r="B37" s="53"/>
      <c r="C37" s="53"/>
      <c r="D37" s="164" t="n">
        <f aca="false">SUMPRODUCT(Change_Log!$C$9:$C$32,(($N$9:$N$32="Approved")+($N$9:$N$32="Implemented")+($N$9:$N$32="Closed")))</f>
        <v>16</v>
      </c>
      <c r="E37" s="164"/>
      <c r="F37" s="53" t="s">
        <v>752</v>
      </c>
      <c r="G37" s="53"/>
      <c r="H37" s="53"/>
      <c r="I37" s="164" t="n">
        <f aca="false">SUMPRODUCT(Change_Log!$C$9:$C$32,(($N$9:$N$32="Open")+($N$9:$N$32="Under Assessment")),$J$9:$J$32)</f>
        <v>84</v>
      </c>
      <c r="J37" s="164"/>
      <c r="K37" s="5"/>
      <c r="L37" s="5"/>
      <c r="M37" s="5"/>
      <c r="N37" s="53" t="s">
        <v>753</v>
      </c>
      <c r="O37" s="53"/>
      <c r="P37" s="53"/>
      <c r="Q37" s="170" t="n">
        <f aca="false">IF(SUMPRODUCT(Change_Log!$C$9:$C$32)=0,0,SUMPRODUCT(Change_Log!$C$9:$C$32,$Q$9:$Q$32)/SUMPRODUCT(Change_Log!$C$9:$C$32))</f>
        <v>24.0416666666667</v>
      </c>
      <c r="R37" s="170"/>
      <c r="S37" s="5"/>
    </row>
    <row r="38" customFormat="false" ht="15.75" hidden="false" customHeight="true" outlineLevel="0" collapsed="false">
      <c r="A38" s="53" t="s">
        <v>754</v>
      </c>
      <c r="B38" s="53"/>
      <c r="C38" s="53"/>
      <c r="D38" s="164" t="n">
        <f aca="false">SUMPRODUCT(Change_Log!$C$9:$C$32,($N$9:$N$32="Rejected")*1)</f>
        <v>0</v>
      </c>
      <c r="E38" s="164"/>
      <c r="F38" s="53" t="s">
        <v>755</v>
      </c>
      <c r="G38" s="53"/>
      <c r="H38" s="53"/>
      <c r="I38" s="164" t="n">
        <f aca="false">SUMPRODUCT(Change_Log!$C$9:$C$32,(($N$9:$N$32="Implemented")+($N$9:$N$32="Closed")),$I$9:$I$32)</f>
        <v>12065473</v>
      </c>
      <c r="J38" s="164"/>
      <c r="K38" s="5"/>
      <c r="L38" s="5"/>
      <c r="M38" s="5"/>
      <c r="N38" s="53" t="s">
        <v>756</v>
      </c>
      <c r="O38" s="53"/>
      <c r="P38" s="53"/>
      <c r="Q38" s="171" t="str">
        <f aca="false">IF(SUMPRODUCT(Change_Log!$C$9:$C$32,(($N$9:$N$32="Open")+($N$9:$N$32="Under Assessment")))&lt;=2,"Green",IF(SUMPRODUCT(Change_Log!$C$9:$C$32,(($N$9:$N$32="Open")+($N$9:$N$32="Under Assessment")))&lt;=6,"Amber","Red"))</f>
        <v>Red</v>
      </c>
      <c r="R38" s="171"/>
      <c r="S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row>
    <row r="40" customFormat="false" ht="25.5" hidden="false" customHeight="true" outlineLevel="0" collapsed="false">
      <c r="A40" s="58" t="s">
        <v>757</v>
      </c>
      <c r="B40" s="58"/>
      <c r="C40" s="58"/>
      <c r="D40" s="58"/>
      <c r="E40" s="58"/>
      <c r="F40" s="58"/>
      <c r="G40" s="58"/>
      <c r="H40" s="58"/>
      <c r="I40" s="58"/>
      <c r="J40" s="58"/>
      <c r="K40" s="58"/>
      <c r="L40" s="58"/>
      <c r="M40" s="58"/>
      <c r="N40" s="58"/>
      <c r="O40" s="58"/>
      <c r="P40" s="58"/>
      <c r="Q40" s="58"/>
      <c r="R40" s="58"/>
      <c r="S40" s="58"/>
    </row>
  </sheetData>
  <autoFilter ref="A8:S32"/>
  <mergeCells count="26">
    <mergeCell ref="A1:S1"/>
    <mergeCell ref="A2:S2"/>
    <mergeCell ref="A3:S3"/>
    <mergeCell ref="A4:S4"/>
    <mergeCell ref="A6:S6"/>
    <mergeCell ref="A7:S7"/>
    <mergeCell ref="A35:S35"/>
    <mergeCell ref="A36:C36"/>
    <mergeCell ref="D36:E36"/>
    <mergeCell ref="F36:H36"/>
    <mergeCell ref="I36:J36"/>
    <mergeCell ref="N36:P36"/>
    <mergeCell ref="Q36:R36"/>
    <mergeCell ref="A37:C37"/>
    <mergeCell ref="D37:E37"/>
    <mergeCell ref="F37:H37"/>
    <mergeCell ref="I37:J37"/>
    <mergeCell ref="N37:P37"/>
    <mergeCell ref="Q37:R37"/>
    <mergeCell ref="A38:C38"/>
    <mergeCell ref="D38:E38"/>
    <mergeCell ref="F38:H38"/>
    <mergeCell ref="I38:J38"/>
    <mergeCell ref="N38:P38"/>
    <mergeCell ref="Q38:R38"/>
    <mergeCell ref="A40:S40"/>
  </mergeCells>
  <conditionalFormatting sqref="R9:R32">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N9:N32">
    <cfRule type="cellIs" priority="5" operator="equal" aboveAverage="0" equalAverage="0" bottom="0" percent="0" rank="0" text="" dxfId="0">
      <formula>"Implemented"</formula>
    </cfRule>
    <cfRule type="cellIs" priority="6" operator="equal" aboveAverage="0" equalAverage="0" bottom="0" percent="0" rank="0" text="" dxfId="0">
      <formula>"Closed"</formula>
    </cfRule>
    <cfRule type="cellIs" priority="7" operator="equal" aboveAverage="0" equalAverage="0" bottom="0" percent="0" rank="0" text="" dxfId="0">
      <formula>"Approved"</formula>
    </cfRule>
    <cfRule type="cellIs" priority="8" operator="equal" aboveAverage="0" equalAverage="0" bottom="0" percent="0" rank="0" text="" dxfId="1">
      <formula>"Under Assessment"</formula>
    </cfRule>
    <cfRule type="cellIs" priority="9" operator="equal" aboveAverage="0" equalAverage="0" bottom="0" percent="0" rank="0" text="" dxfId="2">
      <formula>"Open"</formula>
    </cfRule>
    <cfRule type="cellIs" priority="10" operator="equal" aboveAverage="0" equalAverage="0" bottom="0" percent="0" rank="0" text="" dxfId="2">
      <formula>"Rejected"</formula>
    </cfRule>
  </conditionalFormatting>
  <conditionalFormatting sqref="C9:C32">
    <cfRule type="cellIs" priority="11" operator="equal" aboveAverage="0" equalAverage="0" bottom="0" percent="0" rank="0" text="" dxfId="0">
      <formula>"1"</formula>
    </cfRule>
  </conditionalFormatting>
  <conditionalFormatting sqref="Q38:S38">
    <cfRule type="cellIs" priority="12" operator="equal" aboveAverage="0" equalAverage="0" bottom="0" percent="0" rank="0" text="" dxfId="0">
      <formula>"Green"</formula>
    </cfRule>
    <cfRule type="cellIs" priority="13" operator="equal" aboveAverage="0" equalAverage="0" bottom="0" percent="0" rank="0" text="" dxfId="1">
      <formula>"Amber"</formula>
    </cfRule>
    <cfRule type="cellIs" priority="14" operator="equal" aboveAverage="0" equalAverage="0" bottom="0" percent="0" rank="0" text="" dxfId="2">
      <formula>"Red"</formula>
    </cfRule>
  </conditionalFormatting>
  <dataValidations count="2">
    <dataValidation allowBlank="true" errorStyle="stop" operator="between" showDropDown="false" showErrorMessage="false" showInputMessage="false" sqref="N9:N32" type="list">
      <formula1>"Open,Under Assessment,Approved,Rejected,Implemented,Closed"</formula1>
      <formula2>0</formula2>
    </dataValidation>
    <dataValidation allowBlank="true" errorStyle="stop" operator="between" showDropDown="false" showErrorMessage="false" showInputMessage="false" sqref="A9:A32"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U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4" min="4" style="1" width="13"/>
    <col collapsed="false" customWidth="true" hidden="false" outlineLevel="0" max="5" min="5" style="1" width="50"/>
    <col collapsed="false" customWidth="true" hidden="false" outlineLevel="0" max="6" min="6" style="1" width="17"/>
    <col collapsed="false" customWidth="true" hidden="false" outlineLevel="0" max="7" min="7" style="1" width="13"/>
    <col collapsed="false" customWidth="true" hidden="false" outlineLevel="0" max="8" min="8" style="1" width="7"/>
    <col collapsed="false" customWidth="true" hidden="false" outlineLevel="0" max="9" min="9" style="1" width="10"/>
    <col collapsed="false" customWidth="true" hidden="false" outlineLevel="0" max="11" min="10" style="1" width="15"/>
    <col collapsed="false" customWidth="true" hidden="false" outlineLevel="0" max="12" min="12" style="1" width="14"/>
    <col collapsed="false" customWidth="true" hidden="false" outlineLevel="0" max="15" min="13" style="1" width="8"/>
    <col collapsed="false" customWidth="true" hidden="false" outlineLevel="0" max="16" min="16" style="1" width="19"/>
    <col collapsed="false" customWidth="true" hidden="false" outlineLevel="0" max="17" min="17" style="1" width="10"/>
    <col collapsed="false" customWidth="true" hidden="false" outlineLevel="0" max="18" min="18" style="1" width="7"/>
    <col collapsed="false" customWidth="true" hidden="false" outlineLevel="0" max="19" min="19" style="1" width="8"/>
    <col collapsed="false" customWidth="true" hidden="false" outlineLevel="0" max="20" min="20" style="1" width="14"/>
    <col collapsed="false" customWidth="true" hidden="false" outlineLevel="0" max="21" min="21" style="1" width="8"/>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row>
    <row r="2" customFormat="false" ht="30" hidden="false" customHeight="true" outlineLevel="0" collapsed="false">
      <c r="A2" s="59" t="s">
        <v>758</v>
      </c>
      <c r="B2" s="59"/>
      <c r="C2" s="59"/>
      <c r="D2" s="59"/>
      <c r="E2" s="59"/>
      <c r="F2" s="59"/>
      <c r="G2" s="59"/>
      <c r="H2" s="59"/>
      <c r="I2" s="59"/>
      <c r="J2" s="59"/>
      <c r="K2" s="59"/>
      <c r="L2" s="59"/>
      <c r="M2" s="59"/>
      <c r="N2" s="59"/>
      <c r="O2" s="59"/>
      <c r="P2" s="59"/>
      <c r="Q2" s="59"/>
      <c r="R2" s="59"/>
      <c r="S2" s="59"/>
      <c r="T2" s="59"/>
      <c r="U2" s="59"/>
    </row>
    <row r="3" customFormat="false" ht="16.5" hidden="false" customHeight="true" outlineLevel="0" collapsed="false">
      <c r="A3" s="60" t="s">
        <v>759</v>
      </c>
      <c r="B3" s="60"/>
      <c r="C3" s="60"/>
      <c r="D3" s="60"/>
      <c r="E3" s="60"/>
      <c r="F3" s="60"/>
      <c r="G3" s="60"/>
      <c r="H3" s="60"/>
      <c r="I3" s="60"/>
      <c r="J3" s="60"/>
      <c r="K3" s="60"/>
      <c r="L3" s="60"/>
      <c r="M3" s="60"/>
      <c r="N3" s="60"/>
      <c r="O3" s="60"/>
      <c r="P3" s="60"/>
      <c r="Q3" s="60"/>
      <c r="R3" s="60"/>
      <c r="S3" s="60"/>
      <c r="T3" s="60"/>
      <c r="U3" s="60"/>
    </row>
    <row r="4" customFormat="false" ht="15" hidden="false" customHeight="true" outlineLevel="0" collapsed="false">
      <c r="A4" s="61" t="s">
        <v>760</v>
      </c>
      <c r="B4" s="61"/>
      <c r="C4" s="61"/>
      <c r="D4" s="61"/>
      <c r="E4" s="61"/>
      <c r="F4" s="61"/>
      <c r="G4" s="61"/>
      <c r="H4" s="61"/>
      <c r="I4" s="61"/>
      <c r="J4" s="61"/>
      <c r="K4" s="61"/>
      <c r="L4" s="61"/>
      <c r="M4" s="61"/>
      <c r="N4" s="61"/>
      <c r="O4" s="61"/>
      <c r="P4" s="61"/>
      <c r="Q4" s="61"/>
      <c r="R4" s="61"/>
      <c r="S4" s="61"/>
      <c r="T4" s="61"/>
      <c r="U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row>
    <row r="6" customFormat="false" ht="19.5" hidden="false" customHeight="true" outlineLevel="0" collapsed="false">
      <c r="A6" s="13" t="s">
        <v>761</v>
      </c>
      <c r="B6" s="13"/>
      <c r="C6" s="13"/>
      <c r="D6" s="13"/>
      <c r="E6" s="13"/>
      <c r="F6" s="13"/>
      <c r="G6" s="13"/>
      <c r="H6" s="13"/>
      <c r="I6" s="13"/>
      <c r="J6" s="13"/>
      <c r="K6" s="13"/>
      <c r="L6" s="13"/>
      <c r="M6" s="13"/>
      <c r="N6" s="13"/>
      <c r="O6" s="13"/>
      <c r="P6" s="13"/>
      <c r="Q6" s="13"/>
      <c r="R6" s="13"/>
      <c r="S6" s="13"/>
      <c r="T6" s="13"/>
      <c r="U6" s="13"/>
    </row>
    <row r="7" customFormat="false" ht="13.5" hidden="false" customHeight="true" outlineLevel="0" collapsed="false">
      <c r="A7" s="80" t="s">
        <v>762</v>
      </c>
      <c r="B7" s="80"/>
      <c r="C7" s="80"/>
      <c r="D7" s="80"/>
      <c r="E7" s="80"/>
      <c r="F7" s="80"/>
      <c r="G7" s="80"/>
      <c r="H7" s="80"/>
      <c r="I7" s="80"/>
      <c r="J7" s="80"/>
      <c r="K7" s="80"/>
      <c r="L7" s="80"/>
      <c r="M7" s="80"/>
      <c r="N7" s="80"/>
      <c r="O7" s="80"/>
      <c r="P7" s="80"/>
      <c r="Q7" s="80"/>
      <c r="R7" s="80"/>
      <c r="S7" s="80"/>
      <c r="T7" s="80"/>
      <c r="U7" s="80"/>
    </row>
    <row r="8" customFormat="false" ht="39.75" hidden="false" customHeight="true" outlineLevel="0" collapsed="false">
      <c r="A8" s="23" t="s">
        <v>256</v>
      </c>
      <c r="B8" s="23" t="s">
        <v>5</v>
      </c>
      <c r="C8" s="23" t="s">
        <v>289</v>
      </c>
      <c r="D8" s="23" t="s">
        <v>763</v>
      </c>
      <c r="E8" s="23" t="s">
        <v>764</v>
      </c>
      <c r="F8" s="23" t="s">
        <v>765</v>
      </c>
      <c r="G8" s="23" t="s">
        <v>766</v>
      </c>
      <c r="H8" s="23" t="s">
        <v>767</v>
      </c>
      <c r="I8" s="23" t="s">
        <v>653</v>
      </c>
      <c r="J8" s="23" t="s">
        <v>768</v>
      </c>
      <c r="K8" s="23" t="s">
        <v>769</v>
      </c>
      <c r="L8" s="23" t="s">
        <v>770</v>
      </c>
      <c r="M8" s="23" t="s">
        <v>771</v>
      </c>
      <c r="N8" s="23" t="s">
        <v>772</v>
      </c>
      <c r="O8" s="23" t="s">
        <v>773</v>
      </c>
      <c r="P8" s="23" t="s">
        <v>774</v>
      </c>
      <c r="Q8" s="23" t="s">
        <v>775</v>
      </c>
      <c r="R8" s="23" t="s">
        <v>776</v>
      </c>
      <c r="S8" s="23" t="s">
        <v>777</v>
      </c>
      <c r="T8" s="23" t="s">
        <v>78</v>
      </c>
      <c r="U8" s="23" t="s">
        <v>288</v>
      </c>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151" t="s">
        <v>670</v>
      </c>
      <c r="E9" s="30" t="s">
        <v>778</v>
      </c>
      <c r="F9" s="151" t="s">
        <v>779</v>
      </c>
      <c r="G9" s="151" t="s">
        <v>666</v>
      </c>
      <c r="H9" s="151" t="s">
        <v>495</v>
      </c>
      <c r="I9" s="85" t="n">
        <v>46161</v>
      </c>
      <c r="J9" s="86" t="n">
        <f aca="false">'PT_RES-01'!$F$63</f>
        <v>1321966</v>
      </c>
      <c r="K9" s="86" t="n">
        <f aca="false">'PT_RES-01'!$G$63</f>
        <v>1136891</v>
      </c>
      <c r="L9" s="31" t="n">
        <f aca="false">$J9-$K9</f>
        <v>185075</v>
      </c>
      <c r="M9" s="87" t="n">
        <f aca="false">IF($J9=0,0,$L9/$J9)</f>
        <v>0.139999818452214</v>
      </c>
      <c r="N9" s="86" t="n">
        <f aca="false">'PT_RES-01'!$H$63</f>
        <v>0</v>
      </c>
      <c r="O9" s="31" t="n">
        <f aca="false">IF($T9="Approved",MAX(0,$Q9-$I9),IF($T9="Rejected",0,Dashboard!$C$7-$I9))</f>
        <v>25</v>
      </c>
      <c r="P9" s="30" t="s">
        <v>671</v>
      </c>
      <c r="Q9" s="169" t="n">
        <v>46186</v>
      </c>
      <c r="R9" s="45" t="s">
        <v>780</v>
      </c>
      <c r="S9" s="172" t="n">
        <f aca="false">$C9*(ABS($J9)+ROW()/1000000)</f>
        <v>1321966.000009</v>
      </c>
      <c r="T9" s="153" t="str">
        <f aca="false">'PT_RES-01'!$I$63</f>
        <v>Approved</v>
      </c>
      <c r="U9" s="46" t="str">
        <f aca="false">IF($T9="Approved","Green",IF($T9="Rejected","Red","Amber"))</f>
        <v>Green</v>
      </c>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156" t="s">
        <v>677</v>
      </c>
      <c r="E10" s="37" t="s">
        <v>781</v>
      </c>
      <c r="F10" s="156" t="s">
        <v>674</v>
      </c>
      <c r="G10" s="156" t="s">
        <v>672</v>
      </c>
      <c r="H10" s="156" t="s">
        <v>498</v>
      </c>
      <c r="I10" s="98" t="n">
        <v>46191</v>
      </c>
      <c r="J10" s="99" t="n">
        <f aca="false">'PT_RES-01'!$F$64</f>
        <v>509202</v>
      </c>
      <c r="K10" s="99" t="n">
        <f aca="false">'PT_RES-01'!$G$64</f>
        <v>458282</v>
      </c>
      <c r="L10" s="49" t="n">
        <f aca="false">$J10-$K10</f>
        <v>50920</v>
      </c>
      <c r="M10" s="100" t="n">
        <f aca="false">IF($J10=0,0,$L10/$J10)</f>
        <v>0.0999996072285655</v>
      </c>
      <c r="N10" s="99" t="n">
        <f aca="false">'PT_RES-01'!$H$64</f>
        <v>7</v>
      </c>
      <c r="O10" s="49" t="n">
        <f aca="false">IF($T10="Approved",MAX(0,$Q10-$I10),IF($T10="Rejected",0,Dashboard!$C$7-$I10))</f>
        <v>25</v>
      </c>
      <c r="P10" s="37" t="s">
        <v>678</v>
      </c>
      <c r="Q10" s="96" t="n">
        <v>46216</v>
      </c>
      <c r="R10" s="51" t="s">
        <v>780</v>
      </c>
      <c r="S10" s="173" t="n">
        <f aca="false">$C10*(ABS($J10)+ROW()/1000000)</f>
        <v>509202.00001</v>
      </c>
      <c r="T10" s="103" t="str">
        <f aca="false">'PT_RES-01'!$I$64</f>
        <v>Approved</v>
      </c>
      <c r="U10" s="52" t="str">
        <f aca="false">IF($T10="Approved","Green",IF($T10="Rejected","Red","Amber"))</f>
        <v>Green</v>
      </c>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151" t="s">
        <v>683</v>
      </c>
      <c r="E11" s="30" t="s">
        <v>782</v>
      </c>
      <c r="F11" s="151" t="s">
        <v>783</v>
      </c>
      <c r="G11" s="151" t="s">
        <v>679</v>
      </c>
      <c r="H11" s="151" t="s">
        <v>501</v>
      </c>
      <c r="I11" s="85" t="n">
        <v>46222</v>
      </c>
      <c r="J11" s="86" t="n">
        <f aca="false">'PT_RES-01'!$F$65</f>
        <v>1938884</v>
      </c>
      <c r="K11" s="86" t="n">
        <f aca="false">'PT_RES-01'!$G$65</f>
        <v>1686829</v>
      </c>
      <c r="L11" s="31" t="n">
        <f aca="false">$J11-$K11</f>
        <v>252055</v>
      </c>
      <c r="M11" s="87" t="n">
        <f aca="false">IF($J11=0,0,$L11/$J11)</f>
        <v>0.130000041260849</v>
      </c>
      <c r="N11" s="86" t="n">
        <f aca="false">'PT_RES-01'!$H$65</f>
        <v>21</v>
      </c>
      <c r="O11" s="31" t="n">
        <f aca="false">IF($T11="Approved",MAX(0,$Q11-$I11),IF($T11="Rejected",0,Dashboard!$C$7-$I11))</f>
        <v>43</v>
      </c>
      <c r="P11" s="30" t="s">
        <v>671</v>
      </c>
      <c r="Q11" s="169"/>
      <c r="R11" s="45" t="s">
        <v>784</v>
      </c>
      <c r="S11" s="172" t="n">
        <f aca="false">$C11*(ABS($J11)+ROW()/1000000)</f>
        <v>1938884.000011</v>
      </c>
      <c r="T11" s="153" t="str">
        <f aca="false">'PT_RES-01'!$I$65</f>
        <v>Under Review</v>
      </c>
      <c r="U11" s="46" t="str">
        <f aca="false">IF($T11="Approved","Green",IF($T11="Rejected","Red","Amber"))</f>
        <v>Amber</v>
      </c>
    </row>
    <row r="12" customFormat="false" ht="13.5" hidden="false" customHeight="true" outlineLevel="0" collapsed="false">
      <c r="A12" s="47" t="s">
        <v>293</v>
      </c>
      <c r="B12" s="154" t="str">
        <f aca="false">IFERROR(INDEX(Projects!$C$9:$C$16,MATCH($A12,Projects!$A$9:$A$16,0)),"")</f>
        <v>Residential</v>
      </c>
      <c r="C12" s="155" t="n">
        <f aca="false">IF(Dashboard!$C$6="Corporate",1,IF(Dashboard!$C$6="Project",IF($A12=Dashboard!$M$6,1,0),IF($B12=Dashboard!$H$6,1,0)))</f>
        <v>1</v>
      </c>
      <c r="D12" s="156" t="s">
        <v>686</v>
      </c>
      <c r="E12" s="37" t="s">
        <v>785</v>
      </c>
      <c r="F12" s="156" t="s">
        <v>779</v>
      </c>
      <c r="G12" s="156" t="s">
        <v>684</v>
      </c>
      <c r="H12" s="156" t="s">
        <v>495</v>
      </c>
      <c r="I12" s="98" t="n">
        <v>46222</v>
      </c>
      <c r="J12" s="99" t="n">
        <f aca="false">'PT_RES-02'!$F$63</f>
        <v>450560</v>
      </c>
      <c r="K12" s="99" t="n">
        <f aca="false">'PT_RES-02'!$G$63</f>
        <v>396493</v>
      </c>
      <c r="L12" s="49" t="n">
        <f aca="false">$J12-$K12</f>
        <v>54067</v>
      </c>
      <c r="M12" s="100" t="n">
        <f aca="false">IF($J12=0,0,$L12/$J12)</f>
        <v>0.119999556107955</v>
      </c>
      <c r="N12" s="99" t="n">
        <f aca="false">'PT_RES-02'!$H$63</f>
        <v>0</v>
      </c>
      <c r="O12" s="49" t="n">
        <f aca="false">IF($T12="Approved",MAX(0,$Q12-$I12),IF($T12="Rejected",0,Dashboard!$C$7-$I12))</f>
        <v>25</v>
      </c>
      <c r="P12" s="37" t="s">
        <v>678</v>
      </c>
      <c r="Q12" s="96" t="n">
        <v>46247</v>
      </c>
      <c r="R12" s="51" t="s">
        <v>780</v>
      </c>
      <c r="S12" s="173" t="n">
        <f aca="false">$C12*(ABS($J12)+ROW()/1000000)</f>
        <v>450560.000012</v>
      </c>
      <c r="T12" s="103" t="str">
        <f aca="false">'PT_RES-02'!$I$63</f>
        <v>Approved</v>
      </c>
      <c r="U12" s="52" t="str">
        <f aca="false">IF($T12="Approved","Green",IF($T12="Rejected","Red","Amber"))</f>
        <v>Green</v>
      </c>
    </row>
    <row r="13" customFormat="false" ht="13.5" hidden="false" customHeight="true" outlineLevel="0" collapsed="false">
      <c r="A13" s="149" t="s">
        <v>293</v>
      </c>
      <c r="B13" s="150" t="str">
        <f aca="false">IFERROR(INDEX(Projects!$C$9:$C$16,MATCH($A13,Projects!$A$9:$A$16,0)),"")</f>
        <v>Residential</v>
      </c>
      <c r="C13" s="94" t="n">
        <f aca="false">IF(Dashboard!$C$6="Corporate",1,IF(Dashboard!$C$6="Project",IF($A13=Dashboard!$M$6,1,0),IF($B13=Dashboard!$H$6,1,0)))</f>
        <v>1</v>
      </c>
      <c r="D13" s="151" t="s">
        <v>689</v>
      </c>
      <c r="E13" s="30" t="s">
        <v>786</v>
      </c>
      <c r="F13" s="151" t="s">
        <v>787</v>
      </c>
      <c r="G13" s="151" t="s">
        <v>687</v>
      </c>
      <c r="H13" s="151" t="s">
        <v>498</v>
      </c>
      <c r="I13" s="85" t="n">
        <v>46253</v>
      </c>
      <c r="J13" s="86" t="n">
        <f aca="false">'PT_RES-02'!$F$64</f>
        <v>-158720</v>
      </c>
      <c r="K13" s="86" t="n">
        <f aca="false">'PT_RES-02'!$G$64</f>
        <v>-142848</v>
      </c>
      <c r="L13" s="31" t="n">
        <f aca="false">$J13-$K13</f>
        <v>-15872</v>
      </c>
      <c r="M13" s="87" t="n">
        <f aca="false">IF($J13=0,0,$L13/$J13)</f>
        <v>0.1</v>
      </c>
      <c r="N13" s="86" t="n">
        <f aca="false">'PT_RES-02'!$H$64</f>
        <v>0</v>
      </c>
      <c r="O13" s="31" t="n">
        <f aca="false">IF($T13="Approved",MAX(0,$Q13-$I13),IF($T13="Rejected",0,Dashboard!$C$7-$I13))</f>
        <v>25</v>
      </c>
      <c r="P13" s="30" t="s">
        <v>678</v>
      </c>
      <c r="Q13" s="169" t="n">
        <v>46278</v>
      </c>
      <c r="R13" s="45" t="s">
        <v>780</v>
      </c>
      <c r="S13" s="172" t="n">
        <f aca="false">$C13*(ABS($J13)+ROW()/1000000)</f>
        <v>158720.000013</v>
      </c>
      <c r="T13" s="153" t="str">
        <f aca="false">'PT_RES-02'!$I$64</f>
        <v>Approved</v>
      </c>
      <c r="U13" s="46" t="str">
        <f aca="false">IF($T13="Approved","Green",IF($T13="Rejected","Red","Amber"))</f>
        <v>Green</v>
      </c>
    </row>
    <row r="14" customFormat="false" ht="13.5" hidden="false" customHeight="true" outlineLevel="0" collapsed="false">
      <c r="A14" s="47" t="s">
        <v>293</v>
      </c>
      <c r="B14" s="154" t="str">
        <f aca="false">IFERROR(INDEX(Projects!$C$9:$C$16,MATCH($A14,Projects!$A$9:$A$16,0)),"")</f>
        <v>Residential</v>
      </c>
      <c r="C14" s="155" t="n">
        <f aca="false">IF(Dashboard!$C$6="Corporate",1,IF(Dashboard!$C$6="Project",IF($A14=Dashboard!$M$6,1,0),IF($B14=Dashboard!$H$6,1,0)))</f>
        <v>1</v>
      </c>
      <c r="D14" s="156" t="s">
        <v>692</v>
      </c>
      <c r="E14" s="37" t="s">
        <v>788</v>
      </c>
      <c r="F14" s="156" t="s">
        <v>787</v>
      </c>
      <c r="G14" s="156" t="s">
        <v>690</v>
      </c>
      <c r="H14" s="156" t="s">
        <v>501</v>
      </c>
      <c r="I14" s="98" t="n">
        <v>46283</v>
      </c>
      <c r="J14" s="99" t="n">
        <f aca="false">'PT_RES-02'!$F$65</f>
        <v>727040</v>
      </c>
      <c r="K14" s="99" t="n">
        <f aca="false">'PT_RES-02'!$G$65</f>
        <v>603443</v>
      </c>
      <c r="L14" s="49" t="n">
        <f aca="false">$J14-$K14</f>
        <v>123597</v>
      </c>
      <c r="M14" s="100" t="n">
        <f aca="false">IF($J14=0,0,$L14/$J14)</f>
        <v>0.170000275088028</v>
      </c>
      <c r="N14" s="99" t="n">
        <f aca="false">'PT_RES-02'!$H$65</f>
        <v>0</v>
      </c>
      <c r="O14" s="49" t="n">
        <f aca="false">IF($T14="Approved",MAX(0,$Q14-$I14),IF($T14="Rejected",0,Dashboard!$C$7-$I14))</f>
        <v>-18</v>
      </c>
      <c r="P14" s="37" t="s">
        <v>671</v>
      </c>
      <c r="Q14" s="96"/>
      <c r="R14" s="51" t="s">
        <v>784</v>
      </c>
      <c r="S14" s="173" t="n">
        <f aca="false">$C14*(ABS($J14)+ROW()/1000000)</f>
        <v>727040.000014</v>
      </c>
      <c r="T14" s="103" t="str">
        <f aca="false">'PT_RES-02'!$I$65</f>
        <v>Draft</v>
      </c>
      <c r="U14" s="52" t="str">
        <f aca="false">IF($T14="Approved","Green",IF($T14="Rejected","Red","Amber"))</f>
        <v>Amber</v>
      </c>
    </row>
    <row r="15" customFormat="false" ht="13.5" hidden="false" customHeight="true" outlineLevel="0" collapsed="false">
      <c r="A15" s="149" t="s">
        <v>296</v>
      </c>
      <c r="B15" s="150" t="str">
        <f aca="false">IFERROR(INDEX(Projects!$C$9:$C$16,MATCH($A15,Projects!$A$9:$A$16,0)),"")</f>
        <v>Commercial</v>
      </c>
      <c r="C15" s="94" t="n">
        <f aca="false">IF(Dashboard!$C$6="Corporate",1,IF(Dashboard!$C$6="Project",IF($A15=Dashboard!$M$6,1,0),IF($B15=Dashboard!$H$6,1,0)))</f>
        <v>1</v>
      </c>
      <c r="D15" s="151" t="s">
        <v>695</v>
      </c>
      <c r="E15" s="30" t="s">
        <v>778</v>
      </c>
      <c r="F15" s="151" t="s">
        <v>779</v>
      </c>
      <c r="G15" s="151" t="s">
        <v>693</v>
      </c>
      <c r="H15" s="151" t="s">
        <v>495</v>
      </c>
      <c r="I15" s="85" t="n">
        <v>46161</v>
      </c>
      <c r="J15" s="86" t="n">
        <f aca="false">'PT_COM-01'!$F$63</f>
        <v>2840400</v>
      </c>
      <c r="K15" s="86" t="n">
        <f aca="false">'PT_COM-01'!$G$63</f>
        <v>2442744</v>
      </c>
      <c r="L15" s="31" t="n">
        <f aca="false">$J15-$K15</f>
        <v>397656</v>
      </c>
      <c r="M15" s="87" t="n">
        <f aca="false">IF($J15=0,0,$L15/$J15)</f>
        <v>0.14</v>
      </c>
      <c r="N15" s="86" t="n">
        <f aca="false">'PT_COM-01'!$H$63</f>
        <v>0</v>
      </c>
      <c r="O15" s="31" t="n">
        <f aca="false">IF($T15="Approved",MAX(0,$Q15-$I15),IF($T15="Rejected",0,Dashboard!$C$7-$I15))</f>
        <v>25</v>
      </c>
      <c r="P15" s="30" t="s">
        <v>671</v>
      </c>
      <c r="Q15" s="169" t="n">
        <v>46186</v>
      </c>
      <c r="R15" s="45" t="s">
        <v>780</v>
      </c>
      <c r="S15" s="172" t="n">
        <f aca="false">$C15*(ABS($J15)+ROW()/1000000)</f>
        <v>2840400.000015</v>
      </c>
      <c r="T15" s="153" t="str">
        <f aca="false">'PT_COM-01'!$I$63</f>
        <v>Approved</v>
      </c>
      <c r="U15" s="46" t="str">
        <f aca="false">IF($T15="Approved","Green",IF($T15="Rejected","Red","Amber"))</f>
        <v>Green</v>
      </c>
    </row>
    <row r="16" customFormat="false" ht="13.5" hidden="false" customHeight="true" outlineLevel="0" collapsed="false">
      <c r="A16" s="47" t="s">
        <v>296</v>
      </c>
      <c r="B16" s="154" t="str">
        <f aca="false">IFERROR(INDEX(Projects!$C$9:$C$16,MATCH($A16,Projects!$A$9:$A$16,0)),"")</f>
        <v>Commercial</v>
      </c>
      <c r="C16" s="155" t="n">
        <f aca="false">IF(Dashboard!$C$6="Corporate",1,IF(Dashboard!$C$6="Project",IF($A16=Dashboard!$M$6,1,0),IF($B16=Dashboard!$H$6,1,0)))</f>
        <v>1</v>
      </c>
      <c r="D16" s="156" t="s">
        <v>698</v>
      </c>
      <c r="E16" s="37" t="s">
        <v>781</v>
      </c>
      <c r="F16" s="156" t="s">
        <v>674</v>
      </c>
      <c r="G16" s="156" t="s">
        <v>696</v>
      </c>
      <c r="H16" s="156" t="s">
        <v>498</v>
      </c>
      <c r="I16" s="98" t="n">
        <v>46191</v>
      </c>
      <c r="J16" s="99" t="n">
        <f aca="false">'PT_COM-01'!$F$64</f>
        <v>1094080</v>
      </c>
      <c r="K16" s="99" t="n">
        <f aca="false">'PT_COM-01'!$G$64</f>
        <v>984672</v>
      </c>
      <c r="L16" s="49" t="n">
        <f aca="false">$J16-$K16</f>
        <v>109408</v>
      </c>
      <c r="M16" s="100" t="n">
        <f aca="false">IF($J16=0,0,$L16/$J16)</f>
        <v>0.1</v>
      </c>
      <c r="N16" s="99" t="n">
        <f aca="false">'PT_COM-01'!$H$64</f>
        <v>7</v>
      </c>
      <c r="O16" s="49" t="n">
        <f aca="false">IF($T16="Approved",MAX(0,$Q16-$I16),IF($T16="Rejected",0,Dashboard!$C$7-$I16))</f>
        <v>25</v>
      </c>
      <c r="P16" s="37" t="s">
        <v>678</v>
      </c>
      <c r="Q16" s="96" t="n">
        <v>46216</v>
      </c>
      <c r="R16" s="51" t="s">
        <v>780</v>
      </c>
      <c r="S16" s="173" t="n">
        <f aca="false">$C16*(ABS($J16)+ROW()/1000000)</f>
        <v>1094080.000016</v>
      </c>
      <c r="T16" s="103" t="str">
        <f aca="false">'PT_COM-01'!$I$64</f>
        <v>Approved</v>
      </c>
      <c r="U16" s="52" t="str">
        <f aca="false">IF($T16="Approved","Green",IF($T16="Rejected","Red","Amber"))</f>
        <v>Green</v>
      </c>
    </row>
    <row r="17" customFormat="false" ht="13.5" hidden="false" customHeight="true" outlineLevel="0" collapsed="false">
      <c r="A17" s="149" t="s">
        <v>296</v>
      </c>
      <c r="B17" s="150" t="str">
        <f aca="false">IFERROR(INDEX(Projects!$C$9:$C$16,MATCH($A17,Projects!$A$9:$A$16,0)),"")</f>
        <v>Commercial</v>
      </c>
      <c r="C17" s="94" t="n">
        <f aca="false">IF(Dashboard!$C$6="Corporate",1,IF(Dashboard!$C$6="Project",IF($A17=Dashboard!$M$6,1,0),IF($B17=Dashboard!$H$6,1,0)))</f>
        <v>1</v>
      </c>
      <c r="D17" s="151" t="s">
        <v>701</v>
      </c>
      <c r="E17" s="30" t="s">
        <v>782</v>
      </c>
      <c r="F17" s="151" t="s">
        <v>783</v>
      </c>
      <c r="G17" s="151" t="s">
        <v>699</v>
      </c>
      <c r="H17" s="151" t="s">
        <v>501</v>
      </c>
      <c r="I17" s="85" t="n">
        <v>46222</v>
      </c>
      <c r="J17" s="86" t="n">
        <f aca="false">'PT_COM-01'!$F$65</f>
        <v>4165920</v>
      </c>
      <c r="K17" s="86" t="n">
        <f aca="false">'PT_COM-01'!$G$65</f>
        <v>3624350</v>
      </c>
      <c r="L17" s="31" t="n">
        <f aca="false">$J17-$K17</f>
        <v>541570</v>
      </c>
      <c r="M17" s="87" t="n">
        <f aca="false">IF($J17=0,0,$L17/$J17)</f>
        <v>0.130000096017206</v>
      </c>
      <c r="N17" s="86" t="n">
        <f aca="false">'PT_COM-01'!$H$65</f>
        <v>21</v>
      </c>
      <c r="O17" s="31" t="n">
        <f aca="false">IF($T17="Approved",MAX(0,$Q17-$I17),IF($T17="Rejected",0,Dashboard!$C$7-$I17))</f>
        <v>43</v>
      </c>
      <c r="P17" s="30" t="s">
        <v>671</v>
      </c>
      <c r="Q17" s="169"/>
      <c r="R17" s="45" t="s">
        <v>784</v>
      </c>
      <c r="S17" s="172" t="n">
        <f aca="false">$C17*(ABS($J17)+ROW()/1000000)</f>
        <v>4165920.000017</v>
      </c>
      <c r="T17" s="153" t="str">
        <f aca="false">'PT_COM-01'!$I$65</f>
        <v>Under Review</v>
      </c>
      <c r="U17" s="46" t="str">
        <f aca="false">IF($T17="Approved","Green",IF($T17="Rejected","Red","Amber"))</f>
        <v>Amber</v>
      </c>
    </row>
    <row r="18" customFormat="false" ht="13.5" hidden="false" customHeight="true" outlineLevel="0" collapsed="false">
      <c r="A18" s="47" t="s">
        <v>298</v>
      </c>
      <c r="B18" s="154" t="str">
        <f aca="false">IFERROR(INDEX(Projects!$C$9:$C$16,MATCH($A18,Projects!$A$9:$A$16,0)),"")</f>
        <v>Commercial</v>
      </c>
      <c r="C18" s="155" t="n">
        <f aca="false">IF(Dashboard!$C$6="Corporate",1,IF(Dashboard!$C$6="Project",IF($A18=Dashboard!$M$6,1,0),IF($B18=Dashboard!$H$6,1,0)))</f>
        <v>1</v>
      </c>
      <c r="D18" s="156" t="s">
        <v>704</v>
      </c>
      <c r="E18" s="37" t="s">
        <v>785</v>
      </c>
      <c r="F18" s="156" t="s">
        <v>779</v>
      </c>
      <c r="G18" s="156" t="s">
        <v>702</v>
      </c>
      <c r="H18" s="156" t="s">
        <v>495</v>
      </c>
      <c r="I18" s="98" t="n">
        <v>46191</v>
      </c>
      <c r="J18" s="99" t="n">
        <f aca="false">'PT_COM-02'!$F$63</f>
        <v>1098240</v>
      </c>
      <c r="K18" s="99" t="n">
        <f aca="false">'PT_COM-02'!$G$63</f>
        <v>966451</v>
      </c>
      <c r="L18" s="49" t="n">
        <f aca="false">$J18-$K18</f>
        <v>131789</v>
      </c>
      <c r="M18" s="100" t="n">
        <f aca="false">IF($J18=0,0,$L18/$J18)</f>
        <v>0.120000182109557</v>
      </c>
      <c r="N18" s="99" t="n">
        <f aca="false">'PT_COM-02'!$H$63</f>
        <v>0</v>
      </c>
      <c r="O18" s="49" t="n">
        <f aca="false">IF($T18="Approved",MAX(0,$Q18-$I18),IF($T18="Rejected",0,Dashboard!$C$7-$I18))</f>
        <v>25</v>
      </c>
      <c r="P18" s="37" t="s">
        <v>678</v>
      </c>
      <c r="Q18" s="96" t="n">
        <v>46216</v>
      </c>
      <c r="R18" s="51" t="s">
        <v>780</v>
      </c>
      <c r="S18" s="173" t="n">
        <f aca="false">$C18*(ABS($J18)+ROW()/1000000)</f>
        <v>1098240.000018</v>
      </c>
      <c r="T18" s="103" t="str">
        <f aca="false">'PT_COM-02'!$I$63</f>
        <v>Approved</v>
      </c>
      <c r="U18" s="52" t="str">
        <f aca="false">IF($T18="Approved","Green",IF($T18="Rejected","Red","Amber"))</f>
        <v>Green</v>
      </c>
    </row>
    <row r="19" customFormat="false" ht="13.5" hidden="false" customHeight="true" outlineLevel="0" collapsed="false">
      <c r="A19" s="149" t="s">
        <v>298</v>
      </c>
      <c r="B19" s="150" t="str">
        <f aca="false">IFERROR(INDEX(Projects!$C$9:$C$16,MATCH($A19,Projects!$A$9:$A$16,0)),"")</f>
        <v>Commercial</v>
      </c>
      <c r="C19" s="94" t="n">
        <f aca="false">IF(Dashboard!$C$6="Corporate",1,IF(Dashboard!$C$6="Project",IF($A19=Dashboard!$M$6,1,0),IF($B19=Dashboard!$H$6,1,0)))</f>
        <v>1</v>
      </c>
      <c r="D19" s="151" t="s">
        <v>707</v>
      </c>
      <c r="E19" s="30" t="s">
        <v>786</v>
      </c>
      <c r="F19" s="151" t="s">
        <v>787</v>
      </c>
      <c r="G19" s="151" t="s">
        <v>705</v>
      </c>
      <c r="H19" s="151" t="s">
        <v>498</v>
      </c>
      <c r="I19" s="85" t="n">
        <v>46222</v>
      </c>
      <c r="J19" s="86" t="n">
        <f aca="false">'PT_COM-02'!$F$64</f>
        <v>-386880</v>
      </c>
      <c r="K19" s="86" t="n">
        <f aca="false">'PT_COM-02'!$G$64</f>
        <v>-348192</v>
      </c>
      <c r="L19" s="31" t="n">
        <f aca="false">$J19-$K19</f>
        <v>-38688</v>
      </c>
      <c r="M19" s="87" t="n">
        <f aca="false">IF($J19=0,0,$L19/$J19)</f>
        <v>0.1</v>
      </c>
      <c r="N19" s="86" t="n">
        <f aca="false">'PT_COM-02'!$H$64</f>
        <v>0</v>
      </c>
      <c r="O19" s="31" t="n">
        <f aca="false">IF($T19="Approved",MAX(0,$Q19-$I19),IF($T19="Rejected",0,Dashboard!$C$7-$I19))</f>
        <v>25</v>
      </c>
      <c r="P19" s="30" t="s">
        <v>678</v>
      </c>
      <c r="Q19" s="169" t="n">
        <v>46247</v>
      </c>
      <c r="R19" s="45" t="s">
        <v>780</v>
      </c>
      <c r="S19" s="172" t="n">
        <f aca="false">$C19*(ABS($J19)+ROW()/1000000)</f>
        <v>386880.000019</v>
      </c>
      <c r="T19" s="153" t="str">
        <f aca="false">'PT_COM-02'!$I$64</f>
        <v>Approved</v>
      </c>
      <c r="U19" s="46" t="str">
        <f aca="false">IF($T19="Approved","Green",IF($T19="Rejected","Red","Amber"))</f>
        <v>Green</v>
      </c>
    </row>
    <row r="20" customFormat="false" ht="13.5" hidden="false" customHeight="true" outlineLevel="0" collapsed="false">
      <c r="A20" s="47" t="s">
        <v>298</v>
      </c>
      <c r="B20" s="154" t="str">
        <f aca="false">IFERROR(INDEX(Projects!$C$9:$C$16,MATCH($A20,Projects!$A$9:$A$16,0)),"")</f>
        <v>Commercial</v>
      </c>
      <c r="C20" s="155" t="n">
        <f aca="false">IF(Dashboard!$C$6="Corporate",1,IF(Dashboard!$C$6="Project",IF($A20=Dashboard!$M$6,1,0),IF($B20=Dashboard!$H$6,1,0)))</f>
        <v>1</v>
      </c>
      <c r="D20" s="156" t="s">
        <v>710</v>
      </c>
      <c r="E20" s="37" t="s">
        <v>788</v>
      </c>
      <c r="F20" s="156" t="s">
        <v>787</v>
      </c>
      <c r="G20" s="156" t="s">
        <v>708</v>
      </c>
      <c r="H20" s="156" t="s">
        <v>501</v>
      </c>
      <c r="I20" s="98" t="n">
        <v>46253</v>
      </c>
      <c r="J20" s="99" t="n">
        <f aca="false">'PT_COM-02'!$F$65</f>
        <v>1772160</v>
      </c>
      <c r="K20" s="99" t="n">
        <f aca="false">'PT_COM-02'!$G$65</f>
        <v>1470893</v>
      </c>
      <c r="L20" s="49" t="n">
        <f aca="false">$J20-$K20</f>
        <v>301267</v>
      </c>
      <c r="M20" s="100" t="n">
        <f aca="false">IF($J20=0,0,$L20/$J20)</f>
        <v>0.169999887143373</v>
      </c>
      <c r="N20" s="99" t="n">
        <f aca="false">'PT_COM-02'!$H$65</f>
        <v>0</v>
      </c>
      <c r="O20" s="49" t="n">
        <f aca="false">IF($T20="Approved",MAX(0,$Q20-$I20),IF($T20="Rejected",0,Dashboard!$C$7-$I20))</f>
        <v>12</v>
      </c>
      <c r="P20" s="37" t="s">
        <v>671</v>
      </c>
      <c r="Q20" s="96"/>
      <c r="R20" s="51" t="s">
        <v>784</v>
      </c>
      <c r="S20" s="173" t="n">
        <f aca="false">$C20*(ABS($J20)+ROW()/1000000)</f>
        <v>1772160.00002</v>
      </c>
      <c r="T20" s="103" t="str">
        <f aca="false">'PT_COM-02'!$I$65</f>
        <v>Draft</v>
      </c>
      <c r="U20" s="52" t="str">
        <f aca="false">IF($T20="Approved","Green",IF($T20="Rejected","Red","Amber"))</f>
        <v>Amber</v>
      </c>
    </row>
    <row r="21" customFormat="false" ht="13.5" hidden="false" customHeight="true" outlineLevel="0" collapsed="false">
      <c r="A21" s="149" t="s">
        <v>300</v>
      </c>
      <c r="B21" s="150" t="str">
        <f aca="false">IFERROR(INDEX(Projects!$C$9:$C$16,MATCH($A21,Projects!$A$9:$A$16,0)),"")</f>
        <v>Mixed Use</v>
      </c>
      <c r="C21" s="94" t="n">
        <f aca="false">IF(Dashboard!$C$6="Corporate",1,IF(Dashboard!$C$6="Project",IF($A21=Dashboard!$M$6,1,0),IF($B21=Dashboard!$H$6,1,0)))</f>
        <v>1</v>
      </c>
      <c r="D21" s="151" t="s">
        <v>713</v>
      </c>
      <c r="E21" s="30" t="s">
        <v>778</v>
      </c>
      <c r="F21" s="151" t="s">
        <v>779</v>
      </c>
      <c r="G21" s="151" t="s">
        <v>711</v>
      </c>
      <c r="H21" s="151" t="s">
        <v>495</v>
      </c>
      <c r="I21" s="85" t="n">
        <v>46222</v>
      </c>
      <c r="J21" s="86" t="n">
        <f aca="false">'PT_MXU-01'!$F$63</f>
        <v>2515050</v>
      </c>
      <c r="K21" s="86" t="n">
        <f aca="false">'PT_MXU-01'!$G$63</f>
        <v>2162943</v>
      </c>
      <c r="L21" s="31" t="n">
        <f aca="false">$J21-$K21</f>
        <v>352107</v>
      </c>
      <c r="M21" s="87" t="n">
        <f aca="false">IF($J21=0,0,$L21/$J21)</f>
        <v>0.14</v>
      </c>
      <c r="N21" s="86" t="n">
        <f aca="false">'PT_MXU-01'!$H$63</f>
        <v>0</v>
      </c>
      <c r="O21" s="31" t="n">
        <f aca="false">IF($T21="Approved",MAX(0,$Q21-$I21),IF($T21="Rejected",0,Dashboard!$C$7-$I21))</f>
        <v>25</v>
      </c>
      <c r="P21" s="30" t="s">
        <v>671</v>
      </c>
      <c r="Q21" s="169" t="n">
        <v>46247</v>
      </c>
      <c r="R21" s="45" t="s">
        <v>780</v>
      </c>
      <c r="S21" s="172" t="n">
        <f aca="false">$C21*(ABS($J21)+ROW()/1000000)</f>
        <v>2515050.000021</v>
      </c>
      <c r="T21" s="153" t="str">
        <f aca="false">'PT_MXU-01'!$I$63</f>
        <v>Approved</v>
      </c>
      <c r="U21" s="46" t="str">
        <f aca="false">IF($T21="Approved","Green",IF($T21="Rejected","Red","Amber"))</f>
        <v>Green</v>
      </c>
    </row>
    <row r="22" customFormat="false" ht="13.5" hidden="false" customHeight="true" outlineLevel="0" collapsed="false">
      <c r="A22" s="47" t="s">
        <v>300</v>
      </c>
      <c r="B22" s="154" t="str">
        <f aca="false">IFERROR(INDEX(Projects!$C$9:$C$16,MATCH($A22,Projects!$A$9:$A$16,0)),"")</f>
        <v>Mixed Use</v>
      </c>
      <c r="C22" s="155" t="n">
        <f aca="false">IF(Dashboard!$C$6="Corporate",1,IF(Dashboard!$C$6="Project",IF($A22=Dashboard!$M$6,1,0),IF($B22=Dashboard!$H$6,1,0)))</f>
        <v>1</v>
      </c>
      <c r="D22" s="156" t="s">
        <v>716</v>
      </c>
      <c r="E22" s="37" t="s">
        <v>781</v>
      </c>
      <c r="F22" s="156" t="s">
        <v>674</v>
      </c>
      <c r="G22" s="156" t="s">
        <v>714</v>
      </c>
      <c r="H22" s="156" t="s">
        <v>498</v>
      </c>
      <c r="I22" s="98" t="n">
        <v>46253</v>
      </c>
      <c r="J22" s="99" t="n">
        <f aca="false">'PT_MXU-01'!$F$64</f>
        <v>968760</v>
      </c>
      <c r="K22" s="99" t="n">
        <f aca="false">'PT_MXU-01'!$G$64</f>
        <v>871884</v>
      </c>
      <c r="L22" s="49" t="n">
        <f aca="false">$J22-$K22</f>
        <v>96876</v>
      </c>
      <c r="M22" s="100" t="n">
        <f aca="false">IF($J22=0,0,$L22/$J22)</f>
        <v>0.1</v>
      </c>
      <c r="N22" s="99" t="n">
        <f aca="false">'PT_MXU-01'!$H$64</f>
        <v>7</v>
      </c>
      <c r="O22" s="49" t="n">
        <f aca="false">IF($T22="Approved",MAX(0,$Q22-$I22),IF($T22="Rejected",0,Dashboard!$C$7-$I22))</f>
        <v>25</v>
      </c>
      <c r="P22" s="37" t="s">
        <v>678</v>
      </c>
      <c r="Q22" s="96" t="n">
        <v>46278</v>
      </c>
      <c r="R22" s="51" t="s">
        <v>780</v>
      </c>
      <c r="S22" s="173" t="n">
        <f aca="false">$C22*(ABS($J22)+ROW()/1000000)</f>
        <v>968760.000022</v>
      </c>
      <c r="T22" s="103" t="str">
        <f aca="false">'PT_MXU-01'!$I$64</f>
        <v>Approved</v>
      </c>
      <c r="U22" s="52" t="str">
        <f aca="false">IF($T22="Approved","Green",IF($T22="Rejected","Red","Amber"))</f>
        <v>Green</v>
      </c>
    </row>
    <row r="23" customFormat="false" ht="13.5" hidden="false" customHeight="true" outlineLevel="0" collapsed="false">
      <c r="A23" s="149" t="s">
        <v>300</v>
      </c>
      <c r="B23" s="150" t="str">
        <f aca="false">IFERROR(INDEX(Projects!$C$9:$C$16,MATCH($A23,Projects!$A$9:$A$16,0)),"")</f>
        <v>Mixed Use</v>
      </c>
      <c r="C23" s="94" t="n">
        <f aca="false">IF(Dashboard!$C$6="Corporate",1,IF(Dashboard!$C$6="Project",IF($A23=Dashboard!$M$6,1,0),IF($B23=Dashboard!$H$6,1,0)))</f>
        <v>1</v>
      </c>
      <c r="D23" s="151" t="s">
        <v>719</v>
      </c>
      <c r="E23" s="30" t="s">
        <v>782</v>
      </c>
      <c r="F23" s="151" t="s">
        <v>783</v>
      </c>
      <c r="G23" s="151" t="s">
        <v>717</v>
      </c>
      <c r="H23" s="151" t="s">
        <v>501</v>
      </c>
      <c r="I23" s="85" t="n">
        <v>46283</v>
      </c>
      <c r="J23" s="86" t="n">
        <f aca="false">'PT_MXU-01'!$F$65</f>
        <v>3688740</v>
      </c>
      <c r="K23" s="86" t="n">
        <f aca="false">'PT_MXU-01'!$G$65</f>
        <v>3209204</v>
      </c>
      <c r="L23" s="31" t="n">
        <f aca="false">$J23-$K23</f>
        <v>479536</v>
      </c>
      <c r="M23" s="87" t="n">
        <f aca="false">IF($J23=0,0,$L23/$J23)</f>
        <v>0.129999945780944</v>
      </c>
      <c r="N23" s="86" t="n">
        <f aca="false">'PT_MXU-01'!$H$65</f>
        <v>21</v>
      </c>
      <c r="O23" s="31" t="n">
        <f aca="false">IF($T23="Approved",MAX(0,$Q23-$I23),IF($T23="Rejected",0,Dashboard!$C$7-$I23))</f>
        <v>-18</v>
      </c>
      <c r="P23" s="30" t="s">
        <v>671</v>
      </c>
      <c r="Q23" s="169"/>
      <c r="R23" s="45" t="s">
        <v>784</v>
      </c>
      <c r="S23" s="172" t="n">
        <f aca="false">$C23*(ABS($J23)+ROW()/1000000)</f>
        <v>3688740.000023</v>
      </c>
      <c r="T23" s="153" t="str">
        <f aca="false">'PT_MXU-01'!$I$65</f>
        <v>Under Review</v>
      </c>
      <c r="U23" s="46" t="str">
        <f aca="false">IF($T23="Approved","Green",IF($T23="Rejected","Red","Amber"))</f>
        <v>Amber</v>
      </c>
    </row>
    <row r="24" customFormat="false" ht="13.5" hidden="false" customHeight="true" outlineLevel="0" collapsed="false">
      <c r="A24" s="47" t="s">
        <v>301</v>
      </c>
      <c r="B24" s="154" t="str">
        <f aca="false">IFERROR(INDEX(Projects!$C$9:$C$16,MATCH($A24,Projects!$A$9:$A$16,0)),"")</f>
        <v>Mixed Use</v>
      </c>
      <c r="C24" s="155" t="n">
        <f aca="false">IF(Dashboard!$C$6="Corporate",1,IF(Dashboard!$C$6="Project",IF($A24=Dashboard!$M$6,1,0),IF($B24=Dashboard!$H$6,1,0)))</f>
        <v>1</v>
      </c>
      <c r="D24" s="156" t="s">
        <v>722</v>
      </c>
      <c r="E24" s="37" t="s">
        <v>785</v>
      </c>
      <c r="F24" s="156" t="s">
        <v>779</v>
      </c>
      <c r="G24" s="156" t="s">
        <v>720</v>
      </c>
      <c r="H24" s="156" t="s">
        <v>495</v>
      </c>
      <c r="I24" s="98" t="n">
        <v>46191</v>
      </c>
      <c r="J24" s="99" t="n">
        <f aca="false">'PT_MXU-02'!$F$63</f>
        <v>842160</v>
      </c>
      <c r="K24" s="99" t="n">
        <f aca="false">'PT_MXU-02'!$G$63</f>
        <v>741101</v>
      </c>
      <c r="L24" s="49" t="n">
        <f aca="false">$J24-$K24</f>
        <v>101059</v>
      </c>
      <c r="M24" s="100" t="n">
        <f aca="false">IF($J24=0,0,$L24/$J24)</f>
        <v>0.119999762515437</v>
      </c>
      <c r="N24" s="99" t="n">
        <f aca="false">'PT_MXU-02'!$H$63</f>
        <v>0</v>
      </c>
      <c r="O24" s="49" t="n">
        <f aca="false">IF($T24="Approved",MAX(0,$Q24-$I24),IF($T24="Rejected",0,Dashboard!$C$7-$I24))</f>
        <v>25</v>
      </c>
      <c r="P24" s="37" t="s">
        <v>678</v>
      </c>
      <c r="Q24" s="96" t="n">
        <v>46216</v>
      </c>
      <c r="R24" s="51" t="s">
        <v>780</v>
      </c>
      <c r="S24" s="173" t="n">
        <f aca="false">$C24*(ABS($J24)+ROW()/1000000)</f>
        <v>842160.000024</v>
      </c>
      <c r="T24" s="103" t="str">
        <f aca="false">'PT_MXU-02'!$I$63</f>
        <v>Approved</v>
      </c>
      <c r="U24" s="52" t="str">
        <f aca="false">IF($T24="Approved","Green",IF($T24="Rejected","Red","Amber"))</f>
        <v>Green</v>
      </c>
    </row>
    <row r="25" customFormat="false" ht="13.5" hidden="false" customHeight="true" outlineLevel="0" collapsed="false">
      <c r="A25" s="149" t="s">
        <v>301</v>
      </c>
      <c r="B25" s="150" t="str">
        <f aca="false">IFERROR(INDEX(Projects!$C$9:$C$16,MATCH($A25,Projects!$A$9:$A$16,0)),"")</f>
        <v>Mixed Use</v>
      </c>
      <c r="C25" s="94" t="n">
        <f aca="false">IF(Dashboard!$C$6="Corporate",1,IF(Dashboard!$C$6="Project",IF($A25=Dashboard!$M$6,1,0),IF($B25=Dashboard!$H$6,1,0)))</f>
        <v>1</v>
      </c>
      <c r="D25" s="151" t="s">
        <v>725</v>
      </c>
      <c r="E25" s="30" t="s">
        <v>786</v>
      </c>
      <c r="F25" s="151" t="s">
        <v>787</v>
      </c>
      <c r="G25" s="151" t="s">
        <v>723</v>
      </c>
      <c r="H25" s="151" t="s">
        <v>498</v>
      </c>
      <c r="I25" s="85" t="n">
        <v>46222</v>
      </c>
      <c r="J25" s="86" t="n">
        <f aca="false">'PT_MXU-02'!$F$64</f>
        <v>-296670</v>
      </c>
      <c r="K25" s="86" t="n">
        <f aca="false">'PT_MXU-02'!$G$64</f>
        <v>-267003</v>
      </c>
      <c r="L25" s="31" t="n">
        <f aca="false">$J25-$K25</f>
        <v>-29667</v>
      </c>
      <c r="M25" s="87" t="n">
        <f aca="false">IF($J25=0,0,$L25/$J25)</f>
        <v>0.1</v>
      </c>
      <c r="N25" s="86" t="n">
        <f aca="false">'PT_MXU-02'!$H$64</f>
        <v>0</v>
      </c>
      <c r="O25" s="31" t="n">
        <f aca="false">IF($T25="Approved",MAX(0,$Q25-$I25),IF($T25="Rejected",0,Dashboard!$C$7-$I25))</f>
        <v>25</v>
      </c>
      <c r="P25" s="30" t="s">
        <v>678</v>
      </c>
      <c r="Q25" s="169" t="n">
        <v>46247</v>
      </c>
      <c r="R25" s="45" t="s">
        <v>780</v>
      </c>
      <c r="S25" s="172" t="n">
        <f aca="false">$C25*(ABS($J25)+ROW()/1000000)</f>
        <v>296670.000025</v>
      </c>
      <c r="T25" s="153" t="str">
        <f aca="false">'PT_MXU-02'!$I$64</f>
        <v>Approved</v>
      </c>
      <c r="U25" s="46" t="str">
        <f aca="false">IF($T25="Approved","Green",IF($T25="Rejected","Red","Amber"))</f>
        <v>Green</v>
      </c>
    </row>
    <row r="26" customFormat="false" ht="13.5" hidden="false" customHeight="true" outlineLevel="0" collapsed="false">
      <c r="A26" s="47" t="s">
        <v>301</v>
      </c>
      <c r="B26" s="154" t="str">
        <f aca="false">IFERROR(INDEX(Projects!$C$9:$C$16,MATCH($A26,Projects!$A$9:$A$16,0)),"")</f>
        <v>Mixed Use</v>
      </c>
      <c r="C26" s="155" t="n">
        <f aca="false">IF(Dashboard!$C$6="Corporate",1,IF(Dashboard!$C$6="Project",IF($A26=Dashboard!$M$6,1,0),IF($B26=Dashboard!$H$6,1,0)))</f>
        <v>1</v>
      </c>
      <c r="D26" s="156" t="s">
        <v>728</v>
      </c>
      <c r="E26" s="37" t="s">
        <v>788</v>
      </c>
      <c r="F26" s="156" t="s">
        <v>787</v>
      </c>
      <c r="G26" s="156" t="s">
        <v>726</v>
      </c>
      <c r="H26" s="156" t="s">
        <v>501</v>
      </c>
      <c r="I26" s="98" t="n">
        <v>46253</v>
      </c>
      <c r="J26" s="99" t="n">
        <f aca="false">'PT_MXU-02'!$F$65</f>
        <v>1358940</v>
      </c>
      <c r="K26" s="99" t="n">
        <f aca="false">'PT_MXU-02'!$G$65</f>
        <v>1127920</v>
      </c>
      <c r="L26" s="49" t="n">
        <f aca="false">$J26-$K26</f>
        <v>231020</v>
      </c>
      <c r="M26" s="100" t="n">
        <f aca="false">IF($J26=0,0,$L26/$J26)</f>
        <v>0.170000147173532</v>
      </c>
      <c r="N26" s="99" t="n">
        <f aca="false">'PT_MXU-02'!$H$65</f>
        <v>0</v>
      </c>
      <c r="O26" s="49" t="n">
        <f aca="false">IF($T26="Approved",MAX(0,$Q26-$I26),IF($T26="Rejected",0,Dashboard!$C$7-$I26))</f>
        <v>12</v>
      </c>
      <c r="P26" s="37" t="s">
        <v>671</v>
      </c>
      <c r="Q26" s="96"/>
      <c r="R26" s="51" t="s">
        <v>784</v>
      </c>
      <c r="S26" s="173" t="n">
        <f aca="false">$C26*(ABS($J26)+ROW()/1000000)</f>
        <v>1358940.000026</v>
      </c>
      <c r="T26" s="103" t="str">
        <f aca="false">'PT_MXU-02'!$I$65</f>
        <v>Draft</v>
      </c>
      <c r="U26" s="52" t="str">
        <f aca="false">IF($T26="Approved","Green",IF($T26="Rejected","Red","Amber"))</f>
        <v>Amber</v>
      </c>
    </row>
    <row r="27" customFormat="false" ht="13.5" hidden="false" customHeight="true" outlineLevel="0" collapsed="false">
      <c r="A27" s="149" t="s">
        <v>303</v>
      </c>
      <c r="B27" s="150" t="str">
        <f aca="false">IFERROR(INDEX(Projects!$C$9:$C$16,MATCH($A27,Projects!$A$9:$A$16,0)),"")</f>
        <v>Land Development</v>
      </c>
      <c r="C27" s="94" t="n">
        <f aca="false">IF(Dashboard!$C$6="Corporate",1,IF(Dashboard!$C$6="Project",IF($A27=Dashboard!$M$6,1,0),IF($B27=Dashboard!$H$6,1,0)))</f>
        <v>1</v>
      </c>
      <c r="D27" s="151" t="s">
        <v>731</v>
      </c>
      <c r="E27" s="30" t="s">
        <v>778</v>
      </c>
      <c r="F27" s="151" t="s">
        <v>779</v>
      </c>
      <c r="G27" s="151" t="s">
        <v>729</v>
      </c>
      <c r="H27" s="151" t="s">
        <v>495</v>
      </c>
      <c r="I27" s="85" t="n">
        <v>46161</v>
      </c>
      <c r="J27" s="86" t="n">
        <f aca="false">'PT_LND-01'!$F$63</f>
        <v>1925100</v>
      </c>
      <c r="K27" s="86" t="n">
        <f aca="false">'PT_LND-01'!$G$63</f>
        <v>1655586</v>
      </c>
      <c r="L27" s="31" t="n">
        <f aca="false">$J27-$K27</f>
        <v>269514</v>
      </c>
      <c r="M27" s="87" t="n">
        <f aca="false">IF($J27=0,0,$L27/$J27)</f>
        <v>0.14</v>
      </c>
      <c r="N27" s="86" t="n">
        <f aca="false">'PT_LND-01'!$H$63</f>
        <v>0</v>
      </c>
      <c r="O27" s="31" t="n">
        <f aca="false">IF($T27="Approved",MAX(0,$Q27-$I27),IF($T27="Rejected",0,Dashboard!$C$7-$I27))</f>
        <v>25</v>
      </c>
      <c r="P27" s="30" t="s">
        <v>671</v>
      </c>
      <c r="Q27" s="169" t="n">
        <v>46186</v>
      </c>
      <c r="R27" s="45" t="s">
        <v>780</v>
      </c>
      <c r="S27" s="172" t="n">
        <f aca="false">$C27*(ABS($J27)+ROW()/1000000)</f>
        <v>1925100.000027</v>
      </c>
      <c r="T27" s="153" t="str">
        <f aca="false">'PT_LND-01'!$I$63</f>
        <v>Approved</v>
      </c>
      <c r="U27" s="46" t="str">
        <f aca="false">IF($T27="Approved","Green",IF($T27="Rejected","Red","Amber"))</f>
        <v>Green</v>
      </c>
    </row>
    <row r="28" customFormat="false" ht="13.5" hidden="false" customHeight="true" outlineLevel="0" collapsed="false">
      <c r="A28" s="47" t="s">
        <v>303</v>
      </c>
      <c r="B28" s="154" t="str">
        <f aca="false">IFERROR(INDEX(Projects!$C$9:$C$16,MATCH($A28,Projects!$A$9:$A$16,0)),"")</f>
        <v>Land Development</v>
      </c>
      <c r="C28" s="155" t="n">
        <f aca="false">IF(Dashboard!$C$6="Corporate",1,IF(Dashboard!$C$6="Project",IF($A28=Dashboard!$M$6,1,0),IF($B28=Dashboard!$H$6,1,0)))</f>
        <v>1</v>
      </c>
      <c r="D28" s="156" t="s">
        <v>734</v>
      </c>
      <c r="E28" s="37" t="s">
        <v>781</v>
      </c>
      <c r="F28" s="156" t="s">
        <v>674</v>
      </c>
      <c r="G28" s="156" t="s">
        <v>732</v>
      </c>
      <c r="H28" s="156" t="s">
        <v>498</v>
      </c>
      <c r="I28" s="98" t="n">
        <v>46191</v>
      </c>
      <c r="J28" s="99" t="n">
        <f aca="false">'PT_LND-01'!$F$64</f>
        <v>741520</v>
      </c>
      <c r="K28" s="99" t="n">
        <f aca="false">'PT_LND-01'!$G$64</f>
        <v>667368</v>
      </c>
      <c r="L28" s="49" t="n">
        <f aca="false">$J28-$K28</f>
        <v>74152</v>
      </c>
      <c r="M28" s="100" t="n">
        <f aca="false">IF($J28=0,0,$L28/$J28)</f>
        <v>0.1</v>
      </c>
      <c r="N28" s="99" t="n">
        <f aca="false">'PT_LND-01'!$H$64</f>
        <v>7</v>
      </c>
      <c r="O28" s="49" t="n">
        <f aca="false">IF($T28="Approved",MAX(0,$Q28-$I28),IF($T28="Rejected",0,Dashboard!$C$7-$I28))</f>
        <v>25</v>
      </c>
      <c r="P28" s="37" t="s">
        <v>678</v>
      </c>
      <c r="Q28" s="96" t="n">
        <v>46216</v>
      </c>
      <c r="R28" s="51" t="s">
        <v>780</v>
      </c>
      <c r="S28" s="173" t="n">
        <f aca="false">$C28*(ABS($J28)+ROW()/1000000)</f>
        <v>741520.000028</v>
      </c>
      <c r="T28" s="103" t="str">
        <f aca="false">'PT_LND-01'!$I$64</f>
        <v>Approved</v>
      </c>
      <c r="U28" s="52" t="str">
        <f aca="false">IF($T28="Approved","Green",IF($T28="Rejected","Red","Amber"))</f>
        <v>Green</v>
      </c>
    </row>
    <row r="29" customFormat="false" ht="13.5" hidden="false" customHeight="true" outlineLevel="0" collapsed="false">
      <c r="A29" s="149" t="s">
        <v>303</v>
      </c>
      <c r="B29" s="150" t="str">
        <f aca="false">IFERROR(INDEX(Projects!$C$9:$C$16,MATCH($A29,Projects!$A$9:$A$16,0)),"")</f>
        <v>Land Development</v>
      </c>
      <c r="C29" s="94" t="n">
        <f aca="false">IF(Dashboard!$C$6="Corporate",1,IF(Dashboard!$C$6="Project",IF($A29=Dashboard!$M$6,1,0),IF($B29=Dashboard!$H$6,1,0)))</f>
        <v>1</v>
      </c>
      <c r="D29" s="151" t="s">
        <v>737</v>
      </c>
      <c r="E29" s="30" t="s">
        <v>782</v>
      </c>
      <c r="F29" s="151" t="s">
        <v>783</v>
      </c>
      <c r="G29" s="151" t="s">
        <v>735</v>
      </c>
      <c r="H29" s="151" t="s">
        <v>501</v>
      </c>
      <c r="I29" s="85" t="n">
        <v>46222</v>
      </c>
      <c r="J29" s="86" t="n">
        <f aca="false">'PT_LND-01'!$F$65</f>
        <v>2823480</v>
      </c>
      <c r="K29" s="86" t="n">
        <f aca="false">'PT_LND-01'!$G$65</f>
        <v>2456428</v>
      </c>
      <c r="L29" s="31" t="n">
        <f aca="false">$J29-$K29</f>
        <v>367052</v>
      </c>
      <c r="M29" s="87" t="n">
        <f aca="false">IF($J29=0,0,$L29/$J29)</f>
        <v>0.129999858330854</v>
      </c>
      <c r="N29" s="86" t="n">
        <f aca="false">'PT_LND-01'!$H$65</f>
        <v>21</v>
      </c>
      <c r="O29" s="31" t="n">
        <f aca="false">IF($T29="Approved",MAX(0,$Q29-$I29),IF($T29="Rejected",0,Dashboard!$C$7-$I29))</f>
        <v>43</v>
      </c>
      <c r="P29" s="30" t="s">
        <v>671</v>
      </c>
      <c r="Q29" s="169"/>
      <c r="R29" s="45" t="s">
        <v>784</v>
      </c>
      <c r="S29" s="172" t="n">
        <f aca="false">$C29*(ABS($J29)+ROW()/1000000)</f>
        <v>2823480.000029</v>
      </c>
      <c r="T29" s="153" t="str">
        <f aca="false">'PT_LND-01'!$I$65</f>
        <v>Under Review</v>
      </c>
      <c r="U29" s="46" t="str">
        <f aca="false">IF($T29="Approved","Green",IF($T29="Rejected","Red","Amber"))</f>
        <v>Amber</v>
      </c>
    </row>
    <row r="30" customFormat="false" ht="13.5" hidden="false" customHeight="true" outlineLevel="0" collapsed="false">
      <c r="A30" s="47" t="s">
        <v>304</v>
      </c>
      <c r="B30" s="154" t="str">
        <f aca="false">IFERROR(INDEX(Projects!$C$9:$C$16,MATCH($A30,Projects!$A$9:$A$16,0)),"")</f>
        <v>Land Development</v>
      </c>
      <c r="C30" s="155" t="n">
        <f aca="false">IF(Dashboard!$C$6="Corporate",1,IF(Dashboard!$C$6="Project",IF($A30=Dashboard!$M$6,1,0),IF($B30=Dashboard!$H$6,1,0)))</f>
        <v>1</v>
      </c>
      <c r="D30" s="156" t="s">
        <v>740</v>
      </c>
      <c r="E30" s="37" t="s">
        <v>785</v>
      </c>
      <c r="F30" s="156" t="s">
        <v>779</v>
      </c>
      <c r="G30" s="156" t="s">
        <v>738</v>
      </c>
      <c r="H30" s="156" t="s">
        <v>495</v>
      </c>
      <c r="I30" s="98" t="n">
        <v>46191</v>
      </c>
      <c r="J30" s="99" t="n">
        <f aca="false">'PT_LND-02'!$F$63</f>
        <v>602360</v>
      </c>
      <c r="K30" s="99" t="n">
        <f aca="false">'PT_LND-02'!$G$63</f>
        <v>530077</v>
      </c>
      <c r="L30" s="49" t="n">
        <f aca="false">$J30-$K30</f>
        <v>72283</v>
      </c>
      <c r="M30" s="100" t="n">
        <f aca="false">IF($J30=0,0,$L30/$J30)</f>
        <v>0.119999667972641</v>
      </c>
      <c r="N30" s="99" t="n">
        <f aca="false">'PT_LND-02'!$H$63</f>
        <v>0</v>
      </c>
      <c r="O30" s="49" t="n">
        <f aca="false">IF($T30="Approved",MAX(0,$Q30-$I30),IF($T30="Rejected",0,Dashboard!$C$7-$I30))</f>
        <v>25</v>
      </c>
      <c r="P30" s="37" t="s">
        <v>678</v>
      </c>
      <c r="Q30" s="96" t="n">
        <v>46216</v>
      </c>
      <c r="R30" s="51" t="s">
        <v>780</v>
      </c>
      <c r="S30" s="173" t="n">
        <f aca="false">$C30*(ABS($J30)+ROW()/1000000)</f>
        <v>602360.00003</v>
      </c>
      <c r="T30" s="103" t="str">
        <f aca="false">'PT_LND-02'!$I$63</f>
        <v>Approved</v>
      </c>
      <c r="U30" s="52" t="str">
        <f aca="false">IF($T30="Approved","Green",IF($T30="Rejected","Red","Amber"))</f>
        <v>Green</v>
      </c>
    </row>
    <row r="31" customFormat="false" ht="13.5" hidden="false" customHeight="true" outlineLevel="0" collapsed="false">
      <c r="A31" s="149" t="s">
        <v>304</v>
      </c>
      <c r="B31" s="150" t="str">
        <f aca="false">IFERROR(INDEX(Projects!$C$9:$C$16,MATCH($A31,Projects!$A$9:$A$16,0)),"")</f>
        <v>Land Development</v>
      </c>
      <c r="C31" s="94" t="n">
        <f aca="false">IF(Dashboard!$C$6="Corporate",1,IF(Dashboard!$C$6="Project",IF($A31=Dashboard!$M$6,1,0),IF($B31=Dashboard!$H$6,1,0)))</f>
        <v>1</v>
      </c>
      <c r="D31" s="151" t="s">
        <v>743</v>
      </c>
      <c r="E31" s="30" t="s">
        <v>786</v>
      </c>
      <c r="F31" s="151" t="s">
        <v>787</v>
      </c>
      <c r="G31" s="151" t="s">
        <v>741</v>
      </c>
      <c r="H31" s="151" t="s">
        <v>498</v>
      </c>
      <c r="I31" s="85" t="n">
        <v>46222</v>
      </c>
      <c r="J31" s="86" t="n">
        <f aca="false">'PT_LND-02'!$F$64</f>
        <v>-212195</v>
      </c>
      <c r="K31" s="86" t="n">
        <f aca="false">'PT_LND-02'!$G$64</f>
        <v>-190976</v>
      </c>
      <c r="L31" s="31" t="n">
        <f aca="false">$J31-$K31</f>
        <v>-21219</v>
      </c>
      <c r="M31" s="87" t="n">
        <f aca="false">IF($J31=0,0,$L31/$J31)</f>
        <v>0.0999976436768067</v>
      </c>
      <c r="N31" s="86" t="n">
        <f aca="false">'PT_LND-02'!$H$64</f>
        <v>0</v>
      </c>
      <c r="O31" s="31" t="n">
        <f aca="false">IF($T31="Approved",MAX(0,$Q31-$I31),IF($T31="Rejected",0,Dashboard!$C$7-$I31))</f>
        <v>25</v>
      </c>
      <c r="P31" s="30" t="s">
        <v>678</v>
      </c>
      <c r="Q31" s="169" t="n">
        <v>46247</v>
      </c>
      <c r="R31" s="45" t="s">
        <v>780</v>
      </c>
      <c r="S31" s="172" t="n">
        <f aca="false">$C31*(ABS($J31)+ROW()/1000000)</f>
        <v>212195.000031</v>
      </c>
      <c r="T31" s="153" t="str">
        <f aca="false">'PT_LND-02'!$I$64</f>
        <v>Approved</v>
      </c>
      <c r="U31" s="46" t="str">
        <f aca="false">IF($T31="Approved","Green",IF($T31="Rejected","Red","Amber"))</f>
        <v>Green</v>
      </c>
    </row>
    <row r="32" customFormat="false" ht="13.5" hidden="false" customHeight="true" outlineLevel="0" collapsed="false">
      <c r="A32" s="47" t="s">
        <v>304</v>
      </c>
      <c r="B32" s="154" t="str">
        <f aca="false">IFERROR(INDEX(Projects!$C$9:$C$16,MATCH($A32,Projects!$A$9:$A$16,0)),"")</f>
        <v>Land Development</v>
      </c>
      <c r="C32" s="155" t="n">
        <f aca="false">IF(Dashboard!$C$6="Corporate",1,IF(Dashboard!$C$6="Project",IF($A32=Dashboard!$M$6,1,0),IF($B32=Dashboard!$H$6,1,0)))</f>
        <v>1</v>
      </c>
      <c r="D32" s="156" t="s">
        <v>746</v>
      </c>
      <c r="E32" s="37" t="s">
        <v>788</v>
      </c>
      <c r="F32" s="156" t="s">
        <v>787</v>
      </c>
      <c r="G32" s="156" t="s">
        <v>744</v>
      </c>
      <c r="H32" s="156" t="s">
        <v>501</v>
      </c>
      <c r="I32" s="98" t="n">
        <v>46253</v>
      </c>
      <c r="J32" s="99" t="n">
        <f aca="false">'PT_LND-02'!$F$65</f>
        <v>971990</v>
      </c>
      <c r="K32" s="99" t="n">
        <f aca="false">'PT_LND-02'!$G$65</f>
        <v>806752</v>
      </c>
      <c r="L32" s="49" t="n">
        <f aca="false">$J32-$K32</f>
        <v>165238</v>
      </c>
      <c r="M32" s="100" t="n">
        <f aca="false">IF($J32=0,0,$L32/$J32)</f>
        <v>0.169999691354849</v>
      </c>
      <c r="N32" s="99" t="n">
        <f aca="false">'PT_LND-02'!$H$65</f>
        <v>0</v>
      </c>
      <c r="O32" s="49" t="n">
        <f aca="false">IF($T32="Approved",MAX(0,$Q32-$I32),IF($T32="Rejected",0,Dashboard!$C$7-$I32))</f>
        <v>12</v>
      </c>
      <c r="P32" s="37" t="s">
        <v>671</v>
      </c>
      <c r="Q32" s="96"/>
      <c r="R32" s="51" t="s">
        <v>784</v>
      </c>
      <c r="S32" s="173" t="n">
        <f aca="false">$C32*(ABS($J32)+ROW()/1000000)</f>
        <v>971990.000032</v>
      </c>
      <c r="T32" s="103" t="str">
        <f aca="false">'PT_LND-02'!$I$65</f>
        <v>Draft</v>
      </c>
      <c r="U32" s="52" t="str">
        <f aca="false">IF($T32="Approved","Green",IF($T32="Rejected","Red","Amber"))</f>
        <v>Amber</v>
      </c>
    </row>
    <row r="33" customFormat="false" ht="15" hidden="false" customHeight="true" outlineLevel="0" collapsed="false">
      <c r="A33" s="27" t="s">
        <v>789</v>
      </c>
      <c r="B33" s="27"/>
      <c r="C33" s="27"/>
      <c r="D33" s="27"/>
      <c r="E33" s="27"/>
      <c r="F33" s="27"/>
      <c r="G33" s="27"/>
      <c r="H33" s="27"/>
      <c r="I33" s="27"/>
      <c r="J33" s="28" t="n">
        <f aca="false">SUM($J$9:$J$32)</f>
        <v>31302087</v>
      </c>
      <c r="K33" s="28" t="n">
        <f aca="false">SUM($K$9:$K$32)</f>
        <v>27051292</v>
      </c>
      <c r="L33" s="28" t="n">
        <f aca="false">SUM($L$9:$L$32)</f>
        <v>4250795</v>
      </c>
      <c r="M33" s="105"/>
      <c r="N33" s="105"/>
      <c r="O33" s="105"/>
      <c r="P33" s="105"/>
      <c r="Q33" s="105"/>
      <c r="R33" s="105"/>
      <c r="S33" s="105"/>
      <c r="T33" s="105"/>
      <c r="U33" s="105"/>
    </row>
    <row r="34" customFormat="false" ht="15" hidden="false" customHeight="true" outlineLevel="0" collapsed="false">
      <c r="A34" s="5"/>
      <c r="B34" s="5"/>
      <c r="C34" s="5"/>
      <c r="D34" s="5"/>
      <c r="E34" s="5"/>
      <c r="F34" s="5"/>
      <c r="G34" s="5"/>
      <c r="H34" s="5"/>
      <c r="I34" s="5"/>
      <c r="J34" s="5"/>
      <c r="K34" s="5"/>
      <c r="L34" s="5"/>
      <c r="M34" s="5"/>
      <c r="N34" s="5"/>
      <c r="O34" s="5"/>
      <c r="P34" s="5"/>
      <c r="Q34" s="5"/>
      <c r="R34" s="5"/>
      <c r="S34" s="5"/>
      <c r="T34" s="5"/>
      <c r="U34" s="5"/>
    </row>
    <row r="35" customFormat="false" ht="19.5" hidden="false" customHeight="true" outlineLevel="0" collapsed="false">
      <c r="A35" s="13" t="s">
        <v>790</v>
      </c>
      <c r="B35" s="13"/>
      <c r="C35" s="13"/>
      <c r="D35" s="13"/>
      <c r="E35" s="13"/>
      <c r="F35" s="13"/>
      <c r="G35" s="13"/>
      <c r="H35" s="13"/>
      <c r="I35" s="13"/>
      <c r="J35" s="13"/>
      <c r="K35" s="13"/>
      <c r="L35" s="13"/>
      <c r="M35" s="13"/>
      <c r="N35" s="13"/>
      <c r="O35" s="13"/>
      <c r="P35" s="13"/>
      <c r="Q35" s="13"/>
      <c r="R35" s="13"/>
      <c r="S35" s="13"/>
      <c r="T35" s="13"/>
      <c r="U35" s="13"/>
    </row>
    <row r="36" customFormat="false" ht="15.75" hidden="false" customHeight="true" outlineLevel="0" collapsed="false">
      <c r="A36" s="53" t="s">
        <v>41</v>
      </c>
      <c r="B36" s="53"/>
      <c r="C36" s="53"/>
      <c r="D36" s="164" t="n">
        <f aca="false">SUMPRODUCT(Variation_Orders!$C$9:$C$32,($T$9:$T$32="Approved")*1,$J$9:$J$32)</f>
        <v>13854933</v>
      </c>
      <c r="E36" s="164"/>
      <c r="F36" s="53" t="s">
        <v>53</v>
      </c>
      <c r="G36" s="53"/>
      <c r="H36" s="53"/>
      <c r="I36" s="164" t="n">
        <f aca="false">SUMPRODUCT(Variation_Orders!$C$9:$C$32,($T$9:$T$32="Approved")*1,$N$9:$N$32)</f>
        <v>28</v>
      </c>
      <c r="J36" s="164"/>
      <c r="K36" s="5"/>
      <c r="L36" s="5"/>
      <c r="M36" s="5"/>
      <c r="N36" s="53" t="s">
        <v>791</v>
      </c>
      <c r="O36" s="53"/>
      <c r="P36" s="53"/>
      <c r="Q36" s="164" t="n">
        <f aca="false">SUMPRODUCT(Variation_Orders!$C$9:$C$32,($T$9:$T$32="Approved")*1)</f>
        <v>16</v>
      </c>
      <c r="R36" s="164"/>
      <c r="S36" s="5"/>
      <c r="T36" s="5"/>
      <c r="U36" s="5"/>
    </row>
    <row r="37" customFormat="false" ht="15.75" hidden="false" customHeight="true" outlineLevel="0" collapsed="false">
      <c r="A37" s="53" t="s">
        <v>792</v>
      </c>
      <c r="B37" s="53"/>
      <c r="C37" s="53"/>
      <c r="D37" s="164" t="n">
        <f aca="false">SUMPRODUCT(Variation_Orders!$C$9:$C$32,(($T$9:$T$32="Submitted")+($T$9:$T$32="Under Review")+($T$9:$T$32="Draft")),$J$9:$J$32)</f>
        <v>17447154</v>
      </c>
      <c r="E37" s="164"/>
      <c r="F37" s="53" t="s">
        <v>793</v>
      </c>
      <c r="G37" s="53"/>
      <c r="H37" s="53"/>
      <c r="I37" s="164" t="n">
        <f aca="false">SUMPRODUCT(Variation_Orders!$C$9:$C$32,(($T$9:$T$32="Submitted")+($T$9:$T$32="Under Review")+($T$9:$T$32="Draft")),$K$9:$K$32)</f>
        <v>14985819</v>
      </c>
      <c r="J37" s="164"/>
      <c r="K37" s="5"/>
      <c r="L37" s="5"/>
      <c r="M37" s="5"/>
      <c r="N37" s="53" t="s">
        <v>794</v>
      </c>
      <c r="O37" s="53"/>
      <c r="P37" s="53"/>
      <c r="Q37" s="164" t="n">
        <f aca="false">SUMPRODUCT(Variation_Orders!$C$9:$C$32,(($T$9:$T$32="Submitted")+($T$9:$T$32="Under Review")+($T$9:$T$32="Draft")))</f>
        <v>8</v>
      </c>
      <c r="R37" s="164"/>
      <c r="S37" s="5"/>
      <c r="T37" s="5"/>
      <c r="U37" s="5"/>
    </row>
    <row r="38" customFormat="false" ht="15.75" hidden="false" customHeight="true" outlineLevel="0" collapsed="false">
      <c r="A38" s="53" t="s">
        <v>795</v>
      </c>
      <c r="B38" s="53"/>
      <c r="C38" s="53"/>
      <c r="D38" s="164" t="n">
        <f aca="false">SUMPRODUCT(Variation_Orders!$C$9:$C$32,($T$9:$T$32="Approved")*1,$K$9:$K$32)</f>
        <v>12065473</v>
      </c>
      <c r="E38" s="164"/>
      <c r="F38" s="53" t="s">
        <v>796</v>
      </c>
      <c r="G38" s="53"/>
      <c r="H38" s="53"/>
      <c r="I38" s="164" t="n">
        <f aca="false">SUMPRODUCT(Variation_Orders!$C$9:$C$32,(($T$9:$T$32="Submitted")+($T$9:$T$32="Under Review")+($T$9:$T$32="Draft")),$N$9:$N$32)</f>
        <v>84</v>
      </c>
      <c r="J38" s="164"/>
      <c r="K38" s="5"/>
      <c r="L38" s="5"/>
      <c r="M38" s="5"/>
      <c r="N38" s="53" t="s">
        <v>797</v>
      </c>
      <c r="O38" s="53"/>
      <c r="P38" s="53"/>
      <c r="Q38" s="164" t="n">
        <f aca="false">SUMPRODUCT(Variation_Orders!$C$9:$C$32,(($T$9:$T$32="Rejected")+($T$9:$T$32="Withdrawn"))*1)</f>
        <v>0</v>
      </c>
      <c r="R38" s="164"/>
      <c r="S38" s="5"/>
      <c r="T38" s="5"/>
      <c r="U38" s="5"/>
    </row>
    <row r="39" customFormat="false" ht="15.75" hidden="false" customHeight="true" outlineLevel="0" collapsed="false">
      <c r="A39" s="53" t="s">
        <v>798</v>
      </c>
      <c r="B39" s="53"/>
      <c r="C39" s="53"/>
      <c r="D39" s="164" t="n">
        <f aca="false">SUMPRODUCT(Variation_Orders!$C$9:$C$32,($T$9:$T$32="Approved")*1,$L$9:$L$32)</f>
        <v>1789460</v>
      </c>
      <c r="E39" s="164"/>
      <c r="F39" s="53" t="s">
        <v>799</v>
      </c>
      <c r="G39" s="53"/>
      <c r="H39" s="53"/>
      <c r="I39" s="170" t="n">
        <f aca="false">IF(SUMPRODUCT(Variation_Orders!$C$9:$C$32,(($T$9:$T$32="Submitted")+($T$9:$T$32="Under Review")+($T$9:$T$32="Draft")))=0,0,SUMPRODUCT(Variation_Orders!$C$9:$C$32,(($T$9:$T$32="Submitted")+($T$9:$T$32="Under Review")+($T$9:$T$32="Draft")),$O$9:$O$32)/SUMPRODUCT(Variation_Orders!$C$9:$C$32,(($T$9:$T$32="Submitted")+($T$9:$T$32="Under Review")+($T$9:$T$32="Draft"))))</f>
        <v>16.125</v>
      </c>
      <c r="J39" s="170"/>
      <c r="K39" s="5"/>
      <c r="L39" s="5"/>
      <c r="M39" s="5"/>
      <c r="N39" s="53" t="s">
        <v>800</v>
      </c>
      <c r="O39" s="53"/>
      <c r="P39" s="53"/>
      <c r="Q39" s="143" t="n">
        <f aca="false">IF(SUMPRODUCT(Variation_Orders!$C$9:$C$32,($T$9:$T$32="Approved")*1,$J$9:$J$32)=0,0,SUMPRODUCT(Variation_Orders!$C$9:$C$32,($T$9:$T$32="Approved")*1,$L$9:$L$32)/SUMPRODUCT(Variation_Orders!$C$9:$C$32,($T$9:$T$32="Approved")*1,$J$9:$J$32))</f>
        <v>0.129156885854302</v>
      </c>
      <c r="R39" s="143"/>
      <c r="S39" s="5"/>
      <c r="T39" s="5"/>
      <c r="U39" s="5"/>
    </row>
    <row r="40" customFormat="false" ht="15.75" hidden="false" customHeight="true" outlineLevel="0" collapsed="false">
      <c r="A40" s="53" t="s">
        <v>801</v>
      </c>
      <c r="B40" s="53"/>
      <c r="C40" s="53"/>
      <c r="D40" s="143" t="n">
        <f aca="false">IF(Master_Tracker!$C$11=0,0,SUMPRODUCT(Variation_Orders!$C$9:$C$32,($T$9:$T$32="Approved")*1,$J$9:$J$32)/Master_Tracker!$C$11)</f>
        <v>0.0141756801177108</v>
      </c>
      <c r="E40" s="143"/>
      <c r="F40" s="53" t="s">
        <v>802</v>
      </c>
      <c r="G40" s="53"/>
      <c r="H40" s="53"/>
      <c r="I40" s="143" t="n">
        <f aca="false">IF(Master_Tracker!$C$11=0,0,(SUMPRODUCT(Variation_Orders!$C$9:$C$32,($T$9:$T$32="Approved")*1,$J$9:$J$32)+SUMPRODUCT(Variation_Orders!$C$9:$C$32,(($T$9:$T$32="Submitted")+($T$9:$T$32="Under Review")+($T$9:$T$32="Draft")),$J$9:$J$32))/Master_Tracker!$C$11)</f>
        <v>0.0320267425565141</v>
      </c>
      <c r="J40" s="143"/>
      <c r="K40" s="5"/>
      <c r="L40" s="5"/>
      <c r="M40" s="5"/>
      <c r="N40" s="53" t="s">
        <v>803</v>
      </c>
      <c r="O40" s="53"/>
      <c r="P40" s="53"/>
      <c r="Q40" s="171" t="str">
        <f aca="false">IF(SUMPRODUCT(Variation_Orders!$C$9:$C$32,(($T$9:$T$32="Submitted")+($T$9:$T$32="Under Review")+($T$9:$T$32="Draft")),$J$9:$J$32)&lt;=0.02*Master_Tracker!$C$11,"Green",IF(SUMPRODUCT(Variation_Orders!$C$9:$C$32,(($T$9:$T$32="Submitted")+($T$9:$T$32="Under Review")+($T$9:$T$32="Draft")),$J$9:$J$32)&lt;=0.05*Master_Tracker!$C$11,"Amber","Red"))</f>
        <v>Green</v>
      </c>
      <c r="R40" s="171"/>
      <c r="S40" s="5"/>
      <c r="T40" s="5"/>
      <c r="U40" s="5"/>
    </row>
    <row r="41" customFormat="false" ht="15" hidden="false" customHeight="true" outlineLevel="0" collapsed="false">
      <c r="A41" s="5"/>
      <c r="B41" s="5"/>
      <c r="C41" s="5"/>
      <c r="D41" s="5"/>
      <c r="E41" s="5"/>
      <c r="F41" s="5"/>
      <c r="G41" s="5"/>
      <c r="H41" s="5"/>
      <c r="I41" s="5"/>
      <c r="J41" s="5"/>
      <c r="K41" s="5"/>
      <c r="L41" s="5"/>
      <c r="M41" s="5"/>
      <c r="N41" s="5"/>
      <c r="O41" s="5"/>
      <c r="P41" s="5"/>
      <c r="Q41" s="5"/>
      <c r="R41" s="5"/>
      <c r="S41" s="5"/>
      <c r="T41" s="5"/>
      <c r="U41" s="5"/>
    </row>
    <row r="42" customFormat="false" ht="25.5" hidden="false" customHeight="true" outlineLevel="0" collapsed="false">
      <c r="A42" s="58" t="s">
        <v>804</v>
      </c>
      <c r="B42" s="58"/>
      <c r="C42" s="58"/>
      <c r="D42" s="58"/>
      <c r="E42" s="58"/>
      <c r="F42" s="58"/>
      <c r="G42" s="58"/>
      <c r="H42" s="58"/>
      <c r="I42" s="58"/>
      <c r="J42" s="58"/>
      <c r="K42" s="58"/>
      <c r="L42" s="58"/>
      <c r="M42" s="58"/>
      <c r="N42" s="58"/>
      <c r="O42" s="58"/>
      <c r="P42" s="58"/>
      <c r="Q42" s="58"/>
      <c r="R42" s="58"/>
      <c r="S42" s="58"/>
      <c r="T42" s="58"/>
      <c r="U42" s="58"/>
    </row>
  </sheetData>
  <autoFilter ref="A8:U32"/>
  <mergeCells count="39">
    <mergeCell ref="A1:U1"/>
    <mergeCell ref="A2:U2"/>
    <mergeCell ref="A3:U3"/>
    <mergeCell ref="A4:U4"/>
    <mergeCell ref="A6:U6"/>
    <mergeCell ref="A7:U7"/>
    <mergeCell ref="A33:I33"/>
    <mergeCell ref="A35:U35"/>
    <mergeCell ref="A36:C36"/>
    <mergeCell ref="D36:E36"/>
    <mergeCell ref="F36:H36"/>
    <mergeCell ref="I36:J36"/>
    <mergeCell ref="N36:P36"/>
    <mergeCell ref="Q36:R36"/>
    <mergeCell ref="A37:C37"/>
    <mergeCell ref="D37:E37"/>
    <mergeCell ref="F37:H37"/>
    <mergeCell ref="I37:J37"/>
    <mergeCell ref="N37:P37"/>
    <mergeCell ref="Q37:R37"/>
    <mergeCell ref="A38:C38"/>
    <mergeCell ref="D38:E38"/>
    <mergeCell ref="F38:H38"/>
    <mergeCell ref="I38:J38"/>
    <mergeCell ref="N38:P38"/>
    <mergeCell ref="Q38:R38"/>
    <mergeCell ref="A39:C39"/>
    <mergeCell ref="D39:E39"/>
    <mergeCell ref="F39:H39"/>
    <mergeCell ref="I39:J39"/>
    <mergeCell ref="N39:P39"/>
    <mergeCell ref="Q39:R39"/>
    <mergeCell ref="A40:C40"/>
    <mergeCell ref="D40:E40"/>
    <mergeCell ref="F40:H40"/>
    <mergeCell ref="I40:J40"/>
    <mergeCell ref="N40:P40"/>
    <mergeCell ref="Q40:R40"/>
    <mergeCell ref="A42:U42"/>
  </mergeCells>
  <conditionalFormatting sqref="U9:U32">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T9:T32">
    <cfRule type="cellIs" priority="5" operator="equal" aboveAverage="0" equalAverage="0" bottom="0" percent="0" rank="0" text="" dxfId="0">
      <formula>"Approved"</formula>
    </cfRule>
    <cfRule type="cellIs" priority="6" operator="equal" aboveAverage="0" equalAverage="0" bottom="0" percent="0" rank="0" text="" dxfId="1">
      <formula>"Submitted"</formula>
    </cfRule>
    <cfRule type="cellIs" priority="7" operator="equal" aboveAverage="0" equalAverage="0" bottom="0" percent="0" rank="0" text="" dxfId="1">
      <formula>"Under Review"</formula>
    </cfRule>
    <cfRule type="cellIs" priority="8" operator="equal" aboveAverage="0" equalAverage="0" bottom="0" percent="0" rank="0" text="" dxfId="1">
      <formula>"Draft"</formula>
    </cfRule>
    <cfRule type="cellIs" priority="9" operator="equal" aboveAverage="0" equalAverage="0" bottom="0" percent="0" rank="0" text="" dxfId="2">
      <formula>"Rejected"</formula>
    </cfRule>
    <cfRule type="cellIs" priority="10" operator="equal" aboveAverage="0" equalAverage="0" bottom="0" percent="0" rank="0" text="" dxfId="2">
      <formula>"Withdrawn"</formula>
    </cfRule>
  </conditionalFormatting>
  <conditionalFormatting sqref="C9:C32">
    <cfRule type="cellIs" priority="11" operator="equal" aboveAverage="0" equalAverage="0" bottom="0" percent="0" rank="0" text="" dxfId="0">
      <formula>"1"</formula>
    </cfRule>
  </conditionalFormatting>
  <conditionalFormatting sqref="Q40:U40">
    <cfRule type="cellIs" priority="12" operator="equal" aboveAverage="0" equalAverage="0" bottom="0" percent="0" rank="0" text="" dxfId="0">
      <formula>"Green"</formula>
    </cfRule>
    <cfRule type="cellIs" priority="13" operator="equal" aboveAverage="0" equalAverage="0" bottom="0" percent="0" rank="0" text="" dxfId="1">
      <formula>"Amber"</formula>
    </cfRule>
    <cfRule type="cellIs" priority="14" operator="equal" aboveAverage="0" equalAverage="0" bottom="0" percent="0" rank="0" text="" dxfId="2">
      <formula>"Red"</formula>
    </cfRule>
  </conditionalFormatting>
  <dataValidations count="2">
    <dataValidation allowBlank="true" errorStyle="stop" operator="between" showDropDown="false" showErrorMessage="false" showInputMessage="false" sqref="T9:T32" type="list">
      <formula1>"Draft,Submitted,Under Review,Approved,Rejected,Withdrawn"</formula1>
      <formula2>0</formula2>
    </dataValidation>
    <dataValidation allowBlank="true" errorStyle="stop" operator="between" showDropDown="false" showErrorMessage="false" showInputMessage="false" sqref="A9:A32"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U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4" min="4" style="1" width="13"/>
    <col collapsed="false" customWidth="true" hidden="false" outlineLevel="0" max="5" min="5" style="1" width="40"/>
    <col collapsed="false" customWidth="true" hidden="false" outlineLevel="0" max="6" min="6" style="1" width="6"/>
    <col collapsed="false" customWidth="true" hidden="false" outlineLevel="0" max="7" min="7" style="1" width="7"/>
    <col collapsed="false" customWidth="true" hidden="false" outlineLevel="0" max="8" min="8" style="1" width="22"/>
    <col collapsed="false" customWidth="true" hidden="false" outlineLevel="0" max="11" min="9" style="1" width="10"/>
    <col collapsed="false" customWidth="true" hidden="false" outlineLevel="0" max="13" min="12" style="1" width="15"/>
    <col collapsed="false" customWidth="true" hidden="false" outlineLevel="0" max="14" min="14" style="1" width="10"/>
    <col collapsed="false" customWidth="true" hidden="false" outlineLevel="0" max="15" min="15" style="1" width="11"/>
    <col collapsed="false" customWidth="true" hidden="false" outlineLevel="0" max="18" min="16" style="1" width="8"/>
    <col collapsed="false" customWidth="true" hidden="false" outlineLevel="0" max="19" min="19" style="1" width="13"/>
    <col collapsed="false" customWidth="true" hidden="false" outlineLevel="0" max="21" min="20" style="1" width="7"/>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row>
    <row r="2" customFormat="false" ht="30" hidden="false" customHeight="true" outlineLevel="0" collapsed="false">
      <c r="A2" s="59" t="s">
        <v>805</v>
      </c>
      <c r="B2" s="59"/>
      <c r="C2" s="59"/>
      <c r="D2" s="59"/>
      <c r="E2" s="59"/>
      <c r="F2" s="59"/>
      <c r="G2" s="59"/>
      <c r="H2" s="59"/>
      <c r="I2" s="59"/>
      <c r="J2" s="59"/>
      <c r="K2" s="59"/>
      <c r="L2" s="59"/>
      <c r="M2" s="59"/>
      <c r="N2" s="59"/>
      <c r="O2" s="59"/>
      <c r="P2" s="59"/>
      <c r="Q2" s="59"/>
      <c r="R2" s="59"/>
      <c r="S2" s="59"/>
      <c r="T2" s="59"/>
      <c r="U2" s="59"/>
    </row>
    <row r="3" customFormat="false" ht="16.5" hidden="false" customHeight="true" outlineLevel="0" collapsed="false">
      <c r="A3" s="60" t="s">
        <v>806</v>
      </c>
      <c r="B3" s="60"/>
      <c r="C3" s="60"/>
      <c r="D3" s="60"/>
      <c r="E3" s="60"/>
      <c r="F3" s="60"/>
      <c r="G3" s="60"/>
      <c r="H3" s="60"/>
      <c r="I3" s="60"/>
      <c r="J3" s="60"/>
      <c r="K3" s="60"/>
      <c r="L3" s="60"/>
      <c r="M3" s="60"/>
      <c r="N3" s="60"/>
      <c r="O3" s="60"/>
      <c r="P3" s="60"/>
      <c r="Q3" s="60"/>
      <c r="R3" s="60"/>
      <c r="S3" s="60"/>
      <c r="T3" s="60"/>
      <c r="U3" s="60"/>
    </row>
    <row r="4" customFormat="false" ht="15" hidden="false" customHeight="true" outlineLevel="0" collapsed="false">
      <c r="A4" s="61" t="s">
        <v>807</v>
      </c>
      <c r="B4" s="61"/>
      <c r="C4" s="61"/>
      <c r="D4" s="61"/>
      <c r="E4" s="61"/>
      <c r="F4" s="61"/>
      <c r="G4" s="61"/>
      <c r="H4" s="61"/>
      <c r="I4" s="61"/>
      <c r="J4" s="61"/>
      <c r="K4" s="61"/>
      <c r="L4" s="61"/>
      <c r="M4" s="61"/>
      <c r="N4" s="61"/>
      <c r="O4" s="61"/>
      <c r="P4" s="61"/>
      <c r="Q4" s="61"/>
      <c r="R4" s="61"/>
      <c r="S4" s="61"/>
      <c r="T4" s="61"/>
      <c r="U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row>
    <row r="6" customFormat="false" ht="19.5" hidden="false" customHeight="true" outlineLevel="0" collapsed="false">
      <c r="A6" s="13" t="s">
        <v>808</v>
      </c>
      <c r="B6" s="13"/>
      <c r="C6" s="13"/>
      <c r="D6" s="13"/>
      <c r="E6" s="13"/>
      <c r="F6" s="13"/>
      <c r="G6" s="13"/>
      <c r="H6" s="13"/>
      <c r="I6" s="13"/>
      <c r="J6" s="13"/>
      <c r="K6" s="13"/>
      <c r="L6" s="13"/>
      <c r="M6" s="13"/>
      <c r="N6" s="13"/>
      <c r="O6" s="13"/>
      <c r="P6" s="13"/>
      <c r="Q6" s="13"/>
      <c r="R6" s="13"/>
      <c r="S6" s="13"/>
      <c r="T6" s="13"/>
      <c r="U6" s="13"/>
    </row>
    <row r="7" customFormat="false" ht="13.5" hidden="false" customHeight="true" outlineLevel="0" collapsed="false">
      <c r="A7" s="80" t="s">
        <v>809</v>
      </c>
      <c r="B7" s="80"/>
      <c r="C7" s="80"/>
      <c r="D7" s="80"/>
      <c r="E7" s="80"/>
      <c r="F7" s="80"/>
      <c r="G7" s="80"/>
      <c r="H7" s="80"/>
      <c r="I7" s="80"/>
      <c r="J7" s="80"/>
      <c r="K7" s="80"/>
      <c r="L7" s="80"/>
      <c r="M7" s="80"/>
      <c r="N7" s="80"/>
      <c r="O7" s="80"/>
      <c r="P7" s="80"/>
      <c r="Q7" s="80"/>
      <c r="R7" s="80"/>
      <c r="S7" s="80"/>
      <c r="T7" s="80"/>
      <c r="U7" s="80"/>
    </row>
    <row r="8" customFormat="false" ht="39.75" hidden="false" customHeight="true" outlineLevel="0" collapsed="false">
      <c r="A8" s="23" t="s">
        <v>256</v>
      </c>
      <c r="B8" s="23" t="s">
        <v>5</v>
      </c>
      <c r="C8" s="23" t="s">
        <v>289</v>
      </c>
      <c r="D8" s="23" t="s">
        <v>810</v>
      </c>
      <c r="E8" s="23" t="s">
        <v>811</v>
      </c>
      <c r="F8" s="23" t="s">
        <v>812</v>
      </c>
      <c r="G8" s="23" t="s">
        <v>767</v>
      </c>
      <c r="H8" s="23" t="s">
        <v>813</v>
      </c>
      <c r="I8" s="23" t="s">
        <v>814</v>
      </c>
      <c r="J8" s="23" t="s">
        <v>815</v>
      </c>
      <c r="K8" s="23" t="s">
        <v>816</v>
      </c>
      <c r="L8" s="23" t="s">
        <v>817</v>
      </c>
      <c r="M8" s="23" t="s">
        <v>475</v>
      </c>
      <c r="N8" s="23" t="s">
        <v>818</v>
      </c>
      <c r="O8" s="23" t="s">
        <v>819</v>
      </c>
      <c r="P8" s="23" t="s">
        <v>820</v>
      </c>
      <c r="Q8" s="23" t="s">
        <v>821</v>
      </c>
      <c r="R8" s="23" t="s">
        <v>410</v>
      </c>
      <c r="S8" s="23" t="s">
        <v>78</v>
      </c>
      <c r="T8" s="23" t="s">
        <v>288</v>
      </c>
      <c r="U8" s="23" t="s">
        <v>777</v>
      </c>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42" t="s">
        <v>822</v>
      </c>
      <c r="E9" s="30" t="s">
        <v>823</v>
      </c>
      <c r="F9" s="46" t="s">
        <v>780</v>
      </c>
      <c r="G9" s="45" t="s">
        <v>495</v>
      </c>
      <c r="H9" s="30" t="s">
        <v>824</v>
      </c>
      <c r="I9" s="169" t="n">
        <v>46132</v>
      </c>
      <c r="J9" s="169" t="n">
        <v>46173</v>
      </c>
      <c r="K9" s="83" t="n">
        <f aca="false">'PT_RES-01'!$H$75</f>
        <v>46177</v>
      </c>
      <c r="L9" s="86" t="n">
        <f aca="false">'PT_RES-01'!$F$75</f>
        <v>14198896</v>
      </c>
      <c r="M9" s="86" t="n">
        <f aca="false">'PT_RES-01'!$G$75</f>
        <v>14198896</v>
      </c>
      <c r="N9" s="169" t="n">
        <v>46265</v>
      </c>
      <c r="O9" s="83" t="n">
        <f aca="false">'PT_RES-01'!$I$75</f>
        <v>0</v>
      </c>
      <c r="P9" s="31" t="n">
        <f aca="false">IF($K9="",Dashboard!$C$7-$J9,$K9-$J9)</f>
        <v>4</v>
      </c>
      <c r="Q9" s="31" t="n">
        <f aca="false">IF($O9="",IF(Dashboard!$C$7&gt;$N9,Dashboard!$C$7-$N9,0),$O9-$N9)</f>
        <v>0</v>
      </c>
      <c r="R9" s="91" t="n">
        <f aca="false">'PT_RES-01'!$J$75</f>
        <v>0.059</v>
      </c>
      <c r="S9" s="153" t="str">
        <f aca="false">'PT_RES-01'!$K$75</f>
        <v>In Progress</v>
      </c>
      <c r="T9" s="46" t="str">
        <f aca="false">IF(AND($P9&lt;=0,$Q9&lt;=0),"Green",IF(MAX($P9,$Q9)&lt;=14,"Amber","Red"))</f>
        <v>Amber</v>
      </c>
      <c r="U9" s="174" t="n">
        <f aca="false">$C9*(MAX($P9,$Q9)+ROW()/100000)</f>
        <v>4.00009</v>
      </c>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47" t="s">
        <v>825</v>
      </c>
      <c r="E10" s="37" t="s">
        <v>826</v>
      </c>
      <c r="F10" s="52" t="s">
        <v>780</v>
      </c>
      <c r="G10" s="51" t="s">
        <v>498</v>
      </c>
      <c r="H10" s="37" t="s">
        <v>824</v>
      </c>
      <c r="I10" s="96" t="n">
        <v>46135</v>
      </c>
      <c r="J10" s="96" t="n">
        <v>46203</v>
      </c>
      <c r="K10" s="96" t="n">
        <f aca="false">'PT_RES-01'!$H$76</f>
        <v>46200</v>
      </c>
      <c r="L10" s="99" t="n">
        <f aca="false">'PT_RES-01'!$F$76</f>
        <v>8323491</v>
      </c>
      <c r="M10" s="99" t="n">
        <f aca="false">'PT_RES-01'!$G$76</f>
        <v>8323491</v>
      </c>
      <c r="N10" s="96" t="n">
        <v>46356</v>
      </c>
      <c r="O10" s="96" t="n">
        <f aca="false">'PT_RES-01'!$I$76</f>
        <v>0</v>
      </c>
      <c r="P10" s="49" t="n">
        <f aca="false">IF($K10="",Dashboard!$C$7-$J10,$K10-$J10)</f>
        <v>-3</v>
      </c>
      <c r="Q10" s="49" t="n">
        <f aca="false">IF($O10="",IF(Dashboard!$C$7&gt;$N10,Dashboard!$C$7-$N10,0),$O10-$N10)</f>
        <v>0</v>
      </c>
      <c r="R10" s="102" t="n">
        <f aca="false">'PT_RES-01'!$J$76</f>
        <v>0.059</v>
      </c>
      <c r="S10" s="103" t="str">
        <f aca="false">'PT_RES-01'!$K$76</f>
        <v>In Progress</v>
      </c>
      <c r="T10" s="52" t="str">
        <f aca="false">IF(AND($P10&lt;=0,$Q10&lt;=0),"Green",IF(MAX($P10,$Q10)&lt;=14,"Amber","Red"))</f>
        <v>Green</v>
      </c>
      <c r="U10" s="175" t="n">
        <f aca="false">$C10*(MAX($P10,$Q10)+ROW()/100000)</f>
        <v>0.0001</v>
      </c>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42" t="s">
        <v>827</v>
      </c>
      <c r="E11" s="30" t="s">
        <v>828</v>
      </c>
      <c r="F11" s="46" t="s">
        <v>780</v>
      </c>
      <c r="G11" s="45" t="s">
        <v>501</v>
      </c>
      <c r="H11" s="30" t="s">
        <v>829</v>
      </c>
      <c r="I11" s="169" t="n">
        <v>46138</v>
      </c>
      <c r="J11" s="169" t="n">
        <v>46234</v>
      </c>
      <c r="K11" s="83" t="n">
        <f aca="false">'PT_RES-01'!$H$77</f>
        <v>0</v>
      </c>
      <c r="L11" s="86" t="n">
        <f aca="false">'PT_RES-01'!$F$77</f>
        <v>5092018</v>
      </c>
      <c r="M11" s="86" t="n">
        <f aca="false">'PT_RES-01'!$G$77</f>
        <v>0</v>
      </c>
      <c r="N11" s="169" t="n">
        <v>46446</v>
      </c>
      <c r="O11" s="83" t="n">
        <f aca="false">'PT_RES-01'!$I$77</f>
        <v>46470</v>
      </c>
      <c r="P11" s="31" t="n">
        <f aca="false">IF($K11="",Dashboard!$C$7-$J11,$K11-$J11)</f>
        <v>31</v>
      </c>
      <c r="Q11" s="31" t="n">
        <f aca="false">IF($O11="",IF(Dashboard!$C$7&gt;$N11,Dashboard!$C$7-$N11,0),$O11-$N11)</f>
        <v>24</v>
      </c>
      <c r="R11" s="91" t="n">
        <f aca="false">'PT_RES-01'!$J$77</f>
        <v>0</v>
      </c>
      <c r="S11" s="153" t="str">
        <f aca="false">'PT_RES-01'!$K$77</f>
        <v>Tender Issued</v>
      </c>
      <c r="T11" s="46" t="str">
        <f aca="false">IF(AND($P11&lt;=0,$Q11&lt;=0),"Green",IF(MAX($P11,$Q11)&lt;=14,"Amber","Red"))</f>
        <v>Red</v>
      </c>
      <c r="U11" s="174" t="n">
        <f aca="false">$C11*(MAX($P11,$Q11)+ROW()/100000)</f>
        <v>31.00011</v>
      </c>
    </row>
    <row r="12" customFormat="false" ht="13.5" hidden="false" customHeight="true" outlineLevel="0" collapsed="false">
      <c r="A12" s="47" t="s">
        <v>8</v>
      </c>
      <c r="B12" s="154" t="str">
        <f aca="false">IFERROR(INDEX(Projects!$C$9:$C$16,MATCH($A12,Projects!$A$9:$A$16,0)),"")</f>
        <v>Residential</v>
      </c>
      <c r="C12" s="155" t="n">
        <f aca="false">IF(Dashboard!$C$6="Corporate",1,IF(Dashboard!$C$6="Project",IF($A12=Dashboard!$M$6,1,0),IF($B12=Dashboard!$H$6,1,0)))</f>
        <v>1</v>
      </c>
      <c r="D12" s="47" t="s">
        <v>830</v>
      </c>
      <c r="E12" s="37" t="s">
        <v>831</v>
      </c>
      <c r="F12" s="52" t="s">
        <v>784</v>
      </c>
      <c r="G12" s="51" t="s">
        <v>506</v>
      </c>
      <c r="H12" s="37" t="s">
        <v>829</v>
      </c>
      <c r="I12" s="96" t="n">
        <v>46141</v>
      </c>
      <c r="J12" s="96" t="n">
        <v>46265</v>
      </c>
      <c r="K12" s="96" t="n">
        <f aca="false">'PT_RES-01'!$H$78</f>
        <v>0</v>
      </c>
      <c r="L12" s="99" t="n">
        <f aca="false">'PT_RES-01'!$F$78</f>
        <v>6854640</v>
      </c>
      <c r="M12" s="99" t="n">
        <f aca="false">'PT_RES-01'!$G$78</f>
        <v>0</v>
      </c>
      <c r="N12" s="96" t="n">
        <v>46538</v>
      </c>
      <c r="O12" s="96" t="n">
        <f aca="false">'PT_RES-01'!$I$78</f>
        <v>0</v>
      </c>
      <c r="P12" s="49" t="n">
        <f aca="false">IF($K12="",Dashboard!$C$7-$J12,$K12-$J12)</f>
        <v>0</v>
      </c>
      <c r="Q12" s="49" t="n">
        <f aca="false">IF($O12="",IF(Dashboard!$C$7&gt;$N12,Dashboard!$C$7-$N12,0),$O12-$N12)</f>
        <v>0</v>
      </c>
      <c r="R12" s="102" t="n">
        <f aca="false">'PT_RES-01'!$J$78</f>
        <v>0</v>
      </c>
      <c r="S12" s="103" t="str">
        <f aca="false">'PT_RES-01'!$K$78</f>
        <v>Tender Issued</v>
      </c>
      <c r="T12" s="52" t="str">
        <f aca="false">IF(AND($P12&lt;=0,$Q12&lt;=0),"Green",IF(MAX($P12,$Q12)&lt;=14,"Amber","Red"))</f>
        <v>Green</v>
      </c>
      <c r="U12" s="175" t="n">
        <f aca="false">$C12*(MAX($P12,$Q12)+ROW()/100000)</f>
        <v>0.00012</v>
      </c>
    </row>
    <row r="13" customFormat="false" ht="13.5" hidden="false" customHeight="true" outlineLevel="0" collapsed="false">
      <c r="A13" s="149" t="s">
        <v>293</v>
      </c>
      <c r="B13" s="150" t="str">
        <f aca="false">IFERROR(INDEX(Projects!$C$9:$C$16,MATCH($A13,Projects!$A$9:$A$16,0)),"")</f>
        <v>Residential</v>
      </c>
      <c r="C13" s="94" t="n">
        <f aca="false">IF(Dashboard!$C$6="Corporate",1,IF(Dashboard!$C$6="Project",IF($A13=Dashboard!$M$6,1,0),IF($B13=Dashboard!$H$6,1,0)))</f>
        <v>1</v>
      </c>
      <c r="D13" s="42" t="s">
        <v>832</v>
      </c>
      <c r="E13" s="30" t="s">
        <v>823</v>
      </c>
      <c r="F13" s="46" t="s">
        <v>780</v>
      </c>
      <c r="G13" s="45" t="s">
        <v>495</v>
      </c>
      <c r="H13" s="30" t="s">
        <v>824</v>
      </c>
      <c r="I13" s="169" t="n">
        <v>46193</v>
      </c>
      <c r="J13" s="169" t="n">
        <v>46234</v>
      </c>
      <c r="K13" s="83" t="n">
        <f aca="false">'PT_RES-02'!$H$75</f>
        <v>46238</v>
      </c>
      <c r="L13" s="86" t="n">
        <f aca="false">'PT_RES-02'!$F$75</f>
        <v>7424000</v>
      </c>
      <c r="M13" s="86" t="n">
        <f aca="false">'PT_RES-02'!$G$75</f>
        <v>7424000</v>
      </c>
      <c r="N13" s="169" t="n">
        <v>46326</v>
      </c>
      <c r="O13" s="83" t="n">
        <f aca="false">'PT_RES-02'!$I$75</f>
        <v>0</v>
      </c>
      <c r="P13" s="31" t="n">
        <f aca="false">IF($K13="",Dashboard!$C$7-$J13,$K13-$J13)</f>
        <v>4</v>
      </c>
      <c r="Q13" s="31" t="n">
        <f aca="false">IF($O13="",IF(Dashboard!$C$7&gt;$N13,Dashboard!$C$7-$N13,0),$O13-$N13)</f>
        <v>0</v>
      </c>
      <c r="R13" s="91" t="n">
        <f aca="false">'PT_RES-02'!$J$75</f>
        <v>0.033</v>
      </c>
      <c r="S13" s="153" t="str">
        <f aca="false">'PT_RES-02'!$K$75</f>
        <v>In Progress</v>
      </c>
      <c r="T13" s="46" t="str">
        <f aca="false">IF(AND($P13&lt;=0,$Q13&lt;=0),"Green",IF(MAX($P13,$Q13)&lt;=14,"Amber","Red"))</f>
        <v>Amber</v>
      </c>
      <c r="U13" s="174" t="n">
        <f aca="false">$C13*(MAX($P13,$Q13)+ROW()/100000)</f>
        <v>4.00013</v>
      </c>
    </row>
    <row r="14" customFormat="false" ht="13.5" hidden="false" customHeight="true" outlineLevel="0" collapsed="false">
      <c r="A14" s="47" t="s">
        <v>293</v>
      </c>
      <c r="B14" s="154" t="str">
        <f aca="false">IFERROR(INDEX(Projects!$C$9:$C$16,MATCH($A14,Projects!$A$9:$A$16,0)),"")</f>
        <v>Residential</v>
      </c>
      <c r="C14" s="155" t="n">
        <f aca="false">IF(Dashboard!$C$6="Corporate",1,IF(Dashboard!$C$6="Project",IF($A14=Dashboard!$M$6,1,0),IF($B14=Dashboard!$H$6,1,0)))</f>
        <v>1</v>
      </c>
      <c r="D14" s="47" t="s">
        <v>833</v>
      </c>
      <c r="E14" s="37" t="s">
        <v>826</v>
      </c>
      <c r="F14" s="52" t="s">
        <v>780</v>
      </c>
      <c r="G14" s="51" t="s">
        <v>498</v>
      </c>
      <c r="H14" s="37" t="s">
        <v>824</v>
      </c>
      <c r="I14" s="96" t="n">
        <v>46196</v>
      </c>
      <c r="J14" s="96" t="n">
        <v>46265</v>
      </c>
      <c r="K14" s="96" t="n">
        <f aca="false">'PT_RES-02'!$H$76</f>
        <v>46262</v>
      </c>
      <c r="L14" s="99" t="n">
        <f aca="false">'PT_RES-02'!$F$76</f>
        <v>4352000</v>
      </c>
      <c r="M14" s="99" t="n">
        <f aca="false">'PT_RES-02'!$G$76</f>
        <v>4352000</v>
      </c>
      <c r="N14" s="96" t="n">
        <v>46418</v>
      </c>
      <c r="O14" s="96" t="n">
        <f aca="false">'PT_RES-02'!$I$76</f>
        <v>0</v>
      </c>
      <c r="P14" s="49" t="n">
        <f aca="false">IF($K14="",Dashboard!$C$7-$J14,$K14-$J14)</f>
        <v>-3</v>
      </c>
      <c r="Q14" s="49" t="n">
        <f aca="false">IF($O14="",IF(Dashboard!$C$7&gt;$N14,Dashboard!$C$7-$N14,0),$O14-$N14)</f>
        <v>0</v>
      </c>
      <c r="R14" s="102" t="n">
        <f aca="false">'PT_RES-02'!$J$76</f>
        <v>0.033</v>
      </c>
      <c r="S14" s="103" t="str">
        <f aca="false">'PT_RES-02'!$K$76</f>
        <v>In Progress</v>
      </c>
      <c r="T14" s="52" t="str">
        <f aca="false">IF(AND($P14&lt;=0,$Q14&lt;=0),"Green",IF(MAX($P14,$Q14)&lt;=14,"Amber","Red"))</f>
        <v>Green</v>
      </c>
      <c r="U14" s="175" t="n">
        <f aca="false">$C14*(MAX($P14,$Q14)+ROW()/100000)</f>
        <v>0.00014</v>
      </c>
    </row>
    <row r="15" customFormat="false" ht="13.5" hidden="false" customHeight="true" outlineLevel="0" collapsed="false">
      <c r="A15" s="149" t="s">
        <v>293</v>
      </c>
      <c r="B15" s="150" t="str">
        <f aca="false">IFERROR(INDEX(Projects!$C$9:$C$16,MATCH($A15,Projects!$A$9:$A$16,0)),"")</f>
        <v>Residential</v>
      </c>
      <c r="C15" s="94" t="n">
        <f aca="false">IF(Dashboard!$C$6="Corporate",1,IF(Dashboard!$C$6="Project",IF($A15=Dashboard!$M$6,1,0),IF($B15=Dashboard!$H$6,1,0)))</f>
        <v>1</v>
      </c>
      <c r="D15" s="42" t="s">
        <v>834</v>
      </c>
      <c r="E15" s="30" t="s">
        <v>828</v>
      </c>
      <c r="F15" s="46" t="s">
        <v>780</v>
      </c>
      <c r="G15" s="45" t="s">
        <v>501</v>
      </c>
      <c r="H15" s="30" t="s">
        <v>829</v>
      </c>
      <c r="I15" s="169" t="n">
        <v>46199</v>
      </c>
      <c r="J15" s="169" t="n">
        <v>46295</v>
      </c>
      <c r="K15" s="83" t="n">
        <f aca="false">'PT_RES-02'!$H$77</f>
        <v>0</v>
      </c>
      <c r="L15" s="86" t="n">
        <f aca="false">'PT_RES-02'!$F$77</f>
        <v>2662400</v>
      </c>
      <c r="M15" s="86" t="n">
        <f aca="false">'PT_RES-02'!$G$77</f>
        <v>0</v>
      </c>
      <c r="N15" s="169" t="n">
        <v>46507</v>
      </c>
      <c r="O15" s="83" t="n">
        <f aca="false">'PT_RES-02'!$I$77</f>
        <v>46531</v>
      </c>
      <c r="P15" s="31" t="n">
        <f aca="false">IF($K15="",Dashboard!$C$7-$J15,$K15-$J15)</f>
        <v>-30</v>
      </c>
      <c r="Q15" s="31" t="n">
        <f aca="false">IF($O15="",IF(Dashboard!$C$7&gt;$N15,Dashboard!$C$7-$N15,0),$O15-$N15)</f>
        <v>24</v>
      </c>
      <c r="R15" s="91" t="n">
        <f aca="false">'PT_RES-02'!$J$77</f>
        <v>0</v>
      </c>
      <c r="S15" s="153" t="str">
        <f aca="false">'PT_RES-02'!$K$77</f>
        <v>Tender Issued</v>
      </c>
      <c r="T15" s="46" t="str">
        <f aca="false">IF(AND($P15&lt;=0,$Q15&lt;=0),"Green",IF(MAX($P15,$Q15)&lt;=14,"Amber","Red"))</f>
        <v>Red</v>
      </c>
      <c r="U15" s="174" t="n">
        <f aca="false">$C15*(MAX($P15,$Q15)+ROW()/100000)</f>
        <v>24.00015</v>
      </c>
    </row>
    <row r="16" customFormat="false" ht="13.5" hidden="false" customHeight="true" outlineLevel="0" collapsed="false">
      <c r="A16" s="47" t="s">
        <v>293</v>
      </c>
      <c r="B16" s="154" t="str">
        <f aca="false">IFERROR(INDEX(Projects!$C$9:$C$16,MATCH($A16,Projects!$A$9:$A$16,0)),"")</f>
        <v>Residential</v>
      </c>
      <c r="C16" s="155" t="n">
        <f aca="false">IF(Dashboard!$C$6="Corporate",1,IF(Dashboard!$C$6="Project",IF($A16=Dashboard!$M$6,1,0),IF($B16=Dashboard!$H$6,1,0)))</f>
        <v>1</v>
      </c>
      <c r="D16" s="47" t="s">
        <v>835</v>
      </c>
      <c r="E16" s="37" t="s">
        <v>831</v>
      </c>
      <c r="F16" s="52" t="s">
        <v>784</v>
      </c>
      <c r="G16" s="51" t="s">
        <v>506</v>
      </c>
      <c r="H16" s="37" t="s">
        <v>829</v>
      </c>
      <c r="I16" s="96" t="n">
        <v>46202</v>
      </c>
      <c r="J16" s="96" t="n">
        <v>46326</v>
      </c>
      <c r="K16" s="96" t="n">
        <f aca="false">'PT_RES-02'!$H$78</f>
        <v>0</v>
      </c>
      <c r="L16" s="99" t="n">
        <f aca="false">'PT_RES-02'!$F$78</f>
        <v>3584000</v>
      </c>
      <c r="M16" s="99" t="n">
        <f aca="false">'PT_RES-02'!$G$78</f>
        <v>0</v>
      </c>
      <c r="N16" s="96" t="n">
        <v>46599</v>
      </c>
      <c r="O16" s="96" t="n">
        <f aca="false">'PT_RES-02'!$I$78</f>
        <v>0</v>
      </c>
      <c r="P16" s="49" t="n">
        <f aca="false">IF($K16="",Dashboard!$C$7-$J16,$K16-$J16)</f>
        <v>-61</v>
      </c>
      <c r="Q16" s="49" t="n">
        <f aca="false">IF($O16="",IF(Dashboard!$C$7&gt;$N16,Dashboard!$C$7-$N16,0),$O16-$N16)</f>
        <v>0</v>
      </c>
      <c r="R16" s="102" t="n">
        <f aca="false">'PT_RES-02'!$J$78</f>
        <v>0</v>
      </c>
      <c r="S16" s="103" t="str">
        <f aca="false">'PT_RES-02'!$K$78</f>
        <v>Tender Issued</v>
      </c>
      <c r="T16" s="52" t="str">
        <f aca="false">IF(AND($P16&lt;=0,$Q16&lt;=0),"Green",IF(MAX($P16,$Q16)&lt;=14,"Amber","Red"))</f>
        <v>Green</v>
      </c>
      <c r="U16" s="175" t="n">
        <f aca="false">$C16*(MAX($P16,$Q16)+ROW()/100000)</f>
        <v>0.00016</v>
      </c>
    </row>
    <row r="17" customFormat="false" ht="13.5" hidden="false" customHeight="true" outlineLevel="0" collapsed="false">
      <c r="A17" s="149" t="s">
        <v>296</v>
      </c>
      <c r="B17" s="150" t="str">
        <f aca="false">IFERROR(INDEX(Projects!$C$9:$C$16,MATCH($A17,Projects!$A$9:$A$16,0)),"")</f>
        <v>Commercial</v>
      </c>
      <c r="C17" s="94" t="n">
        <f aca="false">IF(Dashboard!$C$6="Corporate",1,IF(Dashboard!$C$6="Project",IF($A17=Dashboard!$M$6,1,0),IF($B17=Dashboard!$H$6,1,0)))</f>
        <v>1</v>
      </c>
      <c r="D17" s="42" t="s">
        <v>836</v>
      </c>
      <c r="E17" s="30" t="s">
        <v>823</v>
      </c>
      <c r="F17" s="46" t="s">
        <v>780</v>
      </c>
      <c r="G17" s="45" t="s">
        <v>495</v>
      </c>
      <c r="H17" s="30" t="s">
        <v>824</v>
      </c>
      <c r="I17" s="169" t="n">
        <v>46132</v>
      </c>
      <c r="J17" s="169" t="n">
        <v>46173</v>
      </c>
      <c r="K17" s="83" t="n">
        <f aca="false">'PT_COM-01'!$H$75</f>
        <v>46177</v>
      </c>
      <c r="L17" s="86" t="n">
        <f aca="false">'PT_COM-01'!$F$75</f>
        <v>30508000</v>
      </c>
      <c r="M17" s="86" t="n">
        <f aca="false">'PT_COM-01'!$G$75</f>
        <v>30508000</v>
      </c>
      <c r="N17" s="169" t="n">
        <v>46265</v>
      </c>
      <c r="O17" s="83" t="n">
        <f aca="false">'PT_COM-01'!$I$75</f>
        <v>0</v>
      </c>
      <c r="P17" s="31" t="n">
        <f aca="false">IF($K17="",Dashboard!$C$7-$J17,$K17-$J17)</f>
        <v>4</v>
      </c>
      <c r="Q17" s="31" t="n">
        <f aca="false">IF($O17="",IF(Dashboard!$C$7&gt;$N17,Dashboard!$C$7-$N17,0),$O17-$N17)</f>
        <v>0</v>
      </c>
      <c r="R17" s="91" t="n">
        <f aca="false">'PT_COM-01'!$J$75</f>
        <v>0.059</v>
      </c>
      <c r="S17" s="153" t="str">
        <f aca="false">'PT_COM-01'!$K$75</f>
        <v>In Progress</v>
      </c>
      <c r="T17" s="46" t="str">
        <f aca="false">IF(AND($P17&lt;=0,$Q17&lt;=0),"Green",IF(MAX($P17,$Q17)&lt;=14,"Amber","Red"))</f>
        <v>Amber</v>
      </c>
      <c r="U17" s="174" t="n">
        <f aca="false">$C17*(MAX($P17,$Q17)+ROW()/100000)</f>
        <v>4.00017</v>
      </c>
    </row>
    <row r="18" customFormat="false" ht="13.5" hidden="false" customHeight="true" outlineLevel="0" collapsed="false">
      <c r="A18" s="47" t="s">
        <v>296</v>
      </c>
      <c r="B18" s="154" t="str">
        <f aca="false">IFERROR(INDEX(Projects!$C$9:$C$16,MATCH($A18,Projects!$A$9:$A$16,0)),"")</f>
        <v>Commercial</v>
      </c>
      <c r="C18" s="155" t="n">
        <f aca="false">IF(Dashboard!$C$6="Corporate",1,IF(Dashboard!$C$6="Project",IF($A18=Dashboard!$M$6,1,0),IF($B18=Dashboard!$H$6,1,0)))</f>
        <v>1</v>
      </c>
      <c r="D18" s="47" t="s">
        <v>837</v>
      </c>
      <c r="E18" s="37" t="s">
        <v>826</v>
      </c>
      <c r="F18" s="52" t="s">
        <v>780</v>
      </c>
      <c r="G18" s="51" t="s">
        <v>498</v>
      </c>
      <c r="H18" s="37" t="s">
        <v>824</v>
      </c>
      <c r="I18" s="96" t="n">
        <v>46135</v>
      </c>
      <c r="J18" s="96" t="n">
        <v>46203</v>
      </c>
      <c r="K18" s="96" t="n">
        <f aca="false">'PT_COM-01'!$H$76</f>
        <v>46200</v>
      </c>
      <c r="L18" s="99" t="n">
        <f aca="false">'PT_COM-01'!$F$76</f>
        <v>17884000</v>
      </c>
      <c r="M18" s="99" t="n">
        <f aca="false">'PT_COM-01'!$G$76</f>
        <v>17884000</v>
      </c>
      <c r="N18" s="96" t="n">
        <v>46356</v>
      </c>
      <c r="O18" s="96" t="n">
        <f aca="false">'PT_COM-01'!$I$76</f>
        <v>0</v>
      </c>
      <c r="P18" s="49" t="n">
        <f aca="false">IF($K18="",Dashboard!$C$7-$J18,$K18-$J18)</f>
        <v>-3</v>
      </c>
      <c r="Q18" s="49" t="n">
        <f aca="false">IF($O18="",IF(Dashboard!$C$7&gt;$N18,Dashboard!$C$7-$N18,0),$O18-$N18)</f>
        <v>0</v>
      </c>
      <c r="R18" s="102" t="n">
        <f aca="false">'PT_COM-01'!$J$76</f>
        <v>0.059</v>
      </c>
      <c r="S18" s="103" t="str">
        <f aca="false">'PT_COM-01'!$K$76</f>
        <v>In Progress</v>
      </c>
      <c r="T18" s="52" t="str">
        <f aca="false">IF(AND($P18&lt;=0,$Q18&lt;=0),"Green",IF(MAX($P18,$Q18)&lt;=14,"Amber","Red"))</f>
        <v>Green</v>
      </c>
      <c r="U18" s="175" t="n">
        <f aca="false">$C18*(MAX($P18,$Q18)+ROW()/100000)</f>
        <v>0.00018</v>
      </c>
    </row>
    <row r="19" customFormat="false" ht="13.5" hidden="false" customHeight="true" outlineLevel="0" collapsed="false">
      <c r="A19" s="149" t="s">
        <v>296</v>
      </c>
      <c r="B19" s="150" t="str">
        <f aca="false">IFERROR(INDEX(Projects!$C$9:$C$16,MATCH($A19,Projects!$A$9:$A$16,0)),"")</f>
        <v>Commercial</v>
      </c>
      <c r="C19" s="94" t="n">
        <f aca="false">IF(Dashboard!$C$6="Corporate",1,IF(Dashboard!$C$6="Project",IF($A19=Dashboard!$M$6,1,0),IF($B19=Dashboard!$H$6,1,0)))</f>
        <v>1</v>
      </c>
      <c r="D19" s="42" t="s">
        <v>838</v>
      </c>
      <c r="E19" s="30" t="s">
        <v>828</v>
      </c>
      <c r="F19" s="46" t="s">
        <v>780</v>
      </c>
      <c r="G19" s="45" t="s">
        <v>501</v>
      </c>
      <c r="H19" s="30" t="s">
        <v>824</v>
      </c>
      <c r="I19" s="169" t="n">
        <v>46138</v>
      </c>
      <c r="J19" s="169" t="n">
        <v>46234</v>
      </c>
      <c r="K19" s="83" t="n">
        <f aca="false">'PT_COM-01'!$H$77</f>
        <v>46253</v>
      </c>
      <c r="L19" s="86" t="n">
        <f aca="false">'PT_COM-01'!$F$77</f>
        <v>10940800</v>
      </c>
      <c r="M19" s="86" t="n">
        <f aca="false">'PT_COM-01'!$G$77</f>
        <v>10940800</v>
      </c>
      <c r="N19" s="169" t="n">
        <v>46446</v>
      </c>
      <c r="O19" s="83" t="n">
        <f aca="false">'PT_COM-01'!$I$77</f>
        <v>46470</v>
      </c>
      <c r="P19" s="31" t="n">
        <f aca="false">IF($K19="",Dashboard!$C$7-$J19,$K19-$J19)</f>
        <v>19</v>
      </c>
      <c r="Q19" s="31" t="n">
        <f aca="false">IF($O19="",IF(Dashboard!$C$7&gt;$N19,Dashboard!$C$7-$N19,0),$O19-$N19)</f>
        <v>24</v>
      </c>
      <c r="R19" s="91" t="n">
        <f aca="false">'PT_COM-01'!$J$77</f>
        <v>0.059</v>
      </c>
      <c r="S19" s="153" t="str">
        <f aca="false">'PT_COM-01'!$K$77</f>
        <v>In Progress</v>
      </c>
      <c r="T19" s="46" t="str">
        <f aca="false">IF(AND($P19&lt;=0,$Q19&lt;=0),"Green",IF(MAX($P19,$Q19)&lt;=14,"Amber","Red"))</f>
        <v>Red</v>
      </c>
      <c r="U19" s="174" t="n">
        <f aca="false">$C19*(MAX($P19,$Q19)+ROW()/100000)</f>
        <v>24.00019</v>
      </c>
    </row>
    <row r="20" customFormat="false" ht="13.5" hidden="false" customHeight="true" outlineLevel="0" collapsed="false">
      <c r="A20" s="47" t="s">
        <v>296</v>
      </c>
      <c r="B20" s="154" t="str">
        <f aca="false">IFERROR(INDEX(Projects!$C$9:$C$16,MATCH($A20,Projects!$A$9:$A$16,0)),"")</f>
        <v>Commercial</v>
      </c>
      <c r="C20" s="155" t="n">
        <f aca="false">IF(Dashboard!$C$6="Corporate",1,IF(Dashboard!$C$6="Project",IF($A20=Dashboard!$M$6,1,0),IF($B20=Dashboard!$H$6,1,0)))</f>
        <v>1</v>
      </c>
      <c r="D20" s="47" t="s">
        <v>839</v>
      </c>
      <c r="E20" s="37" t="s">
        <v>831</v>
      </c>
      <c r="F20" s="52" t="s">
        <v>784</v>
      </c>
      <c r="G20" s="51" t="s">
        <v>506</v>
      </c>
      <c r="H20" s="37" t="s">
        <v>824</v>
      </c>
      <c r="I20" s="96" t="n">
        <v>46141</v>
      </c>
      <c r="J20" s="96" t="n">
        <v>46265</v>
      </c>
      <c r="K20" s="96" t="n">
        <f aca="false">'PT_COM-01'!$H$78</f>
        <v>46265</v>
      </c>
      <c r="L20" s="99" t="n">
        <f aca="false">'PT_COM-01'!$F$78</f>
        <v>14728000</v>
      </c>
      <c r="M20" s="99" t="n">
        <f aca="false">'PT_COM-01'!$G$78</f>
        <v>14728000</v>
      </c>
      <c r="N20" s="96" t="n">
        <v>46538</v>
      </c>
      <c r="O20" s="96" t="n">
        <f aca="false">'PT_COM-01'!$I$78</f>
        <v>0</v>
      </c>
      <c r="P20" s="49" t="n">
        <f aca="false">IF($K20="",Dashboard!$C$7-$J20,$K20-$J20)</f>
        <v>0</v>
      </c>
      <c r="Q20" s="49" t="n">
        <f aca="false">IF($O20="",IF(Dashboard!$C$7&gt;$N20,Dashboard!$C$7-$N20,0),$O20-$N20)</f>
        <v>0</v>
      </c>
      <c r="R20" s="102" t="n">
        <f aca="false">'PT_COM-01'!$J$78</f>
        <v>0.059</v>
      </c>
      <c r="S20" s="103" t="str">
        <f aca="false">'PT_COM-01'!$K$78</f>
        <v>In Progress</v>
      </c>
      <c r="T20" s="52" t="str">
        <f aca="false">IF(AND($P20&lt;=0,$Q20&lt;=0),"Green",IF(MAX($P20,$Q20)&lt;=14,"Amber","Red"))</f>
        <v>Green</v>
      </c>
      <c r="U20" s="175" t="n">
        <f aca="false">$C20*(MAX($P20,$Q20)+ROW()/100000)</f>
        <v>0.0002</v>
      </c>
    </row>
    <row r="21" customFormat="false" ht="13.5" hidden="false" customHeight="true" outlineLevel="0" collapsed="false">
      <c r="A21" s="149" t="s">
        <v>298</v>
      </c>
      <c r="B21" s="150" t="str">
        <f aca="false">IFERROR(INDEX(Projects!$C$9:$C$16,MATCH($A21,Projects!$A$9:$A$16,0)),"")</f>
        <v>Commercial</v>
      </c>
      <c r="C21" s="94" t="n">
        <f aca="false">IF(Dashboard!$C$6="Corporate",1,IF(Dashboard!$C$6="Project",IF($A21=Dashboard!$M$6,1,0),IF($B21=Dashboard!$H$6,1,0)))</f>
        <v>1</v>
      </c>
      <c r="D21" s="42" t="s">
        <v>840</v>
      </c>
      <c r="E21" s="30" t="s">
        <v>823</v>
      </c>
      <c r="F21" s="46" t="s">
        <v>780</v>
      </c>
      <c r="G21" s="45" t="s">
        <v>495</v>
      </c>
      <c r="H21" s="30" t="s">
        <v>824</v>
      </c>
      <c r="I21" s="169" t="n">
        <v>46163</v>
      </c>
      <c r="J21" s="169" t="n">
        <v>46203</v>
      </c>
      <c r="K21" s="83" t="n">
        <f aca="false">'PT_COM-02'!$H$75</f>
        <v>46207</v>
      </c>
      <c r="L21" s="86" t="n">
        <f aca="false">'PT_COM-02'!$F$75</f>
        <v>18096000</v>
      </c>
      <c r="M21" s="86" t="n">
        <f aca="false">'PT_COM-02'!$G$75</f>
        <v>18096000</v>
      </c>
      <c r="N21" s="169" t="n">
        <v>46295</v>
      </c>
      <c r="O21" s="83" t="n">
        <f aca="false">'PT_COM-02'!$I$75</f>
        <v>0</v>
      </c>
      <c r="P21" s="31" t="n">
        <f aca="false">IF($K21="",Dashboard!$C$7-$J21,$K21-$J21)</f>
        <v>4</v>
      </c>
      <c r="Q21" s="31" t="n">
        <f aca="false">IF($O21="",IF(Dashboard!$C$7&gt;$N21,Dashboard!$C$7-$N21,0),$O21-$N21)</f>
        <v>0</v>
      </c>
      <c r="R21" s="91" t="n">
        <f aca="false">'PT_COM-02'!$J$75</f>
        <v>0.062</v>
      </c>
      <c r="S21" s="153" t="str">
        <f aca="false">'PT_COM-02'!$K$75</f>
        <v>In Progress</v>
      </c>
      <c r="T21" s="46" t="str">
        <f aca="false">IF(AND($P21&lt;=0,$Q21&lt;=0),"Green",IF(MAX($P21,$Q21)&lt;=14,"Amber","Red"))</f>
        <v>Amber</v>
      </c>
      <c r="U21" s="174" t="n">
        <f aca="false">$C21*(MAX($P21,$Q21)+ROW()/100000)</f>
        <v>4.00021</v>
      </c>
    </row>
    <row r="22" customFormat="false" ht="13.5" hidden="false" customHeight="true" outlineLevel="0" collapsed="false">
      <c r="A22" s="47" t="s">
        <v>298</v>
      </c>
      <c r="B22" s="154" t="str">
        <f aca="false">IFERROR(INDEX(Projects!$C$9:$C$16,MATCH($A22,Projects!$A$9:$A$16,0)),"")</f>
        <v>Commercial</v>
      </c>
      <c r="C22" s="155" t="n">
        <f aca="false">IF(Dashboard!$C$6="Corporate",1,IF(Dashboard!$C$6="Project",IF($A22=Dashboard!$M$6,1,0),IF($B22=Dashboard!$H$6,1,0)))</f>
        <v>1</v>
      </c>
      <c r="D22" s="47" t="s">
        <v>841</v>
      </c>
      <c r="E22" s="37" t="s">
        <v>826</v>
      </c>
      <c r="F22" s="52" t="s">
        <v>780</v>
      </c>
      <c r="G22" s="51" t="s">
        <v>498</v>
      </c>
      <c r="H22" s="37" t="s">
        <v>824</v>
      </c>
      <c r="I22" s="96" t="n">
        <v>46166</v>
      </c>
      <c r="J22" s="96" t="n">
        <v>46234</v>
      </c>
      <c r="K22" s="96" t="n">
        <f aca="false">'PT_COM-02'!$H$76</f>
        <v>46231</v>
      </c>
      <c r="L22" s="99" t="n">
        <f aca="false">'PT_COM-02'!$F$76</f>
        <v>10608000</v>
      </c>
      <c r="M22" s="99" t="n">
        <f aca="false">'PT_COM-02'!$G$76</f>
        <v>10608000</v>
      </c>
      <c r="N22" s="96" t="n">
        <v>46387</v>
      </c>
      <c r="O22" s="96" t="n">
        <f aca="false">'PT_COM-02'!$I$76</f>
        <v>0</v>
      </c>
      <c r="P22" s="49" t="n">
        <f aca="false">IF($K22="",Dashboard!$C$7-$J22,$K22-$J22)</f>
        <v>-3</v>
      </c>
      <c r="Q22" s="49" t="n">
        <f aca="false">IF($O22="",IF(Dashboard!$C$7&gt;$N22,Dashboard!$C$7-$N22,0),$O22-$N22)</f>
        <v>0</v>
      </c>
      <c r="R22" s="102" t="n">
        <f aca="false">'PT_COM-02'!$J$76</f>
        <v>0.062</v>
      </c>
      <c r="S22" s="103" t="str">
        <f aca="false">'PT_COM-02'!$K$76</f>
        <v>In Progress</v>
      </c>
      <c r="T22" s="52" t="str">
        <f aca="false">IF(AND($P22&lt;=0,$Q22&lt;=0),"Green",IF(MAX($P22,$Q22)&lt;=14,"Amber","Red"))</f>
        <v>Green</v>
      </c>
      <c r="U22" s="175" t="n">
        <f aca="false">$C22*(MAX($P22,$Q22)+ROW()/100000)</f>
        <v>0.00022</v>
      </c>
    </row>
    <row r="23" customFormat="false" ht="13.5" hidden="false" customHeight="true" outlineLevel="0" collapsed="false">
      <c r="A23" s="149" t="s">
        <v>298</v>
      </c>
      <c r="B23" s="150" t="str">
        <f aca="false">IFERROR(INDEX(Projects!$C$9:$C$16,MATCH($A23,Projects!$A$9:$A$16,0)),"")</f>
        <v>Commercial</v>
      </c>
      <c r="C23" s="94" t="n">
        <f aca="false">IF(Dashboard!$C$6="Corporate",1,IF(Dashboard!$C$6="Project",IF($A23=Dashboard!$M$6,1,0),IF($B23=Dashboard!$H$6,1,0)))</f>
        <v>1</v>
      </c>
      <c r="D23" s="42" t="s">
        <v>842</v>
      </c>
      <c r="E23" s="30" t="s">
        <v>828</v>
      </c>
      <c r="F23" s="46" t="s">
        <v>780</v>
      </c>
      <c r="G23" s="45" t="s">
        <v>501</v>
      </c>
      <c r="H23" s="30" t="s">
        <v>824</v>
      </c>
      <c r="I23" s="169" t="n">
        <v>46169</v>
      </c>
      <c r="J23" s="169" t="n">
        <v>46265</v>
      </c>
      <c r="K23" s="83" t="n">
        <f aca="false">'PT_COM-02'!$H$77</f>
        <v>46284</v>
      </c>
      <c r="L23" s="86" t="n">
        <f aca="false">'PT_COM-02'!$F$77</f>
        <v>6489600</v>
      </c>
      <c r="M23" s="86" t="n">
        <f aca="false">'PT_COM-02'!$G$77</f>
        <v>6489600</v>
      </c>
      <c r="N23" s="169" t="n">
        <v>46477</v>
      </c>
      <c r="O23" s="83" t="n">
        <f aca="false">'PT_COM-02'!$I$77</f>
        <v>46501</v>
      </c>
      <c r="P23" s="31" t="n">
        <f aca="false">IF($K23="",Dashboard!$C$7-$J23,$K23-$J23)</f>
        <v>19</v>
      </c>
      <c r="Q23" s="31" t="n">
        <f aca="false">IF($O23="",IF(Dashboard!$C$7&gt;$N23,Dashboard!$C$7-$N23,0),$O23-$N23)</f>
        <v>24</v>
      </c>
      <c r="R23" s="91" t="n">
        <f aca="false">'PT_COM-02'!$J$77</f>
        <v>0.062</v>
      </c>
      <c r="S23" s="153" t="str">
        <f aca="false">'PT_COM-02'!$K$77</f>
        <v>In Progress</v>
      </c>
      <c r="T23" s="46" t="str">
        <f aca="false">IF(AND($P23&lt;=0,$Q23&lt;=0),"Green",IF(MAX($P23,$Q23)&lt;=14,"Amber","Red"))</f>
        <v>Red</v>
      </c>
      <c r="U23" s="174" t="n">
        <f aca="false">$C23*(MAX($P23,$Q23)+ROW()/100000)</f>
        <v>24.00023</v>
      </c>
    </row>
    <row r="24" customFormat="false" ht="13.5" hidden="false" customHeight="true" outlineLevel="0" collapsed="false">
      <c r="A24" s="47" t="s">
        <v>298</v>
      </c>
      <c r="B24" s="154" t="str">
        <f aca="false">IFERROR(INDEX(Projects!$C$9:$C$16,MATCH($A24,Projects!$A$9:$A$16,0)),"")</f>
        <v>Commercial</v>
      </c>
      <c r="C24" s="155" t="n">
        <f aca="false">IF(Dashboard!$C$6="Corporate",1,IF(Dashboard!$C$6="Project",IF($A24=Dashboard!$M$6,1,0),IF($B24=Dashboard!$H$6,1,0)))</f>
        <v>1</v>
      </c>
      <c r="D24" s="47" t="s">
        <v>843</v>
      </c>
      <c r="E24" s="37" t="s">
        <v>831</v>
      </c>
      <c r="F24" s="52" t="s">
        <v>784</v>
      </c>
      <c r="G24" s="51" t="s">
        <v>506</v>
      </c>
      <c r="H24" s="37" t="s">
        <v>824</v>
      </c>
      <c r="I24" s="96" t="n">
        <v>46172</v>
      </c>
      <c r="J24" s="96" t="n">
        <v>46295</v>
      </c>
      <c r="K24" s="96" t="n">
        <f aca="false">'PT_COM-02'!$H$78</f>
        <v>46295</v>
      </c>
      <c r="L24" s="99" t="n">
        <f aca="false">'PT_COM-02'!$F$78</f>
        <v>8736000</v>
      </c>
      <c r="M24" s="99" t="n">
        <f aca="false">'PT_COM-02'!$G$78</f>
        <v>8736000</v>
      </c>
      <c r="N24" s="96" t="n">
        <v>46568</v>
      </c>
      <c r="O24" s="96" t="n">
        <f aca="false">'PT_COM-02'!$I$78</f>
        <v>0</v>
      </c>
      <c r="P24" s="49" t="n">
        <f aca="false">IF($K24="",Dashboard!$C$7-$J24,$K24-$J24)</f>
        <v>0</v>
      </c>
      <c r="Q24" s="49" t="n">
        <f aca="false">IF($O24="",IF(Dashboard!$C$7&gt;$N24,Dashboard!$C$7-$N24,0),$O24-$N24)</f>
        <v>0</v>
      </c>
      <c r="R24" s="102" t="n">
        <f aca="false">'PT_COM-02'!$J$78</f>
        <v>0.062</v>
      </c>
      <c r="S24" s="103" t="str">
        <f aca="false">'PT_COM-02'!$K$78</f>
        <v>In Progress</v>
      </c>
      <c r="T24" s="52" t="str">
        <f aca="false">IF(AND($P24&lt;=0,$Q24&lt;=0),"Green",IF(MAX($P24,$Q24)&lt;=14,"Amber","Red"))</f>
        <v>Green</v>
      </c>
      <c r="U24" s="175" t="n">
        <f aca="false">$C24*(MAX($P24,$Q24)+ROW()/100000)</f>
        <v>0.00024</v>
      </c>
    </row>
    <row r="25" customFormat="false" ht="13.5" hidden="false" customHeight="true" outlineLevel="0" collapsed="false">
      <c r="A25" s="149" t="s">
        <v>300</v>
      </c>
      <c r="B25" s="150" t="str">
        <f aca="false">IFERROR(INDEX(Projects!$C$9:$C$16,MATCH($A25,Projects!$A$9:$A$16,0)),"")</f>
        <v>Mixed Use</v>
      </c>
      <c r="C25" s="94" t="n">
        <f aca="false">IF(Dashboard!$C$6="Corporate",1,IF(Dashboard!$C$6="Project",IF($A25=Dashboard!$M$6,1,0),IF($B25=Dashboard!$H$6,1,0)))</f>
        <v>1</v>
      </c>
      <c r="D25" s="42" t="s">
        <v>844</v>
      </c>
      <c r="E25" s="30" t="s">
        <v>823</v>
      </c>
      <c r="F25" s="46" t="s">
        <v>780</v>
      </c>
      <c r="G25" s="45" t="s">
        <v>495</v>
      </c>
      <c r="H25" s="30" t="s">
        <v>824</v>
      </c>
      <c r="I25" s="169" t="n">
        <v>46193</v>
      </c>
      <c r="J25" s="169" t="n">
        <v>46234</v>
      </c>
      <c r="K25" s="83" t="n">
        <f aca="false">'PT_MXU-01'!$H$75</f>
        <v>46238</v>
      </c>
      <c r="L25" s="86" t="n">
        <f aca="false">'PT_MXU-01'!$F$75</f>
        <v>27013500</v>
      </c>
      <c r="M25" s="86" t="n">
        <f aca="false">'PT_MXU-01'!$G$75</f>
        <v>27013500</v>
      </c>
      <c r="N25" s="169" t="n">
        <v>46326</v>
      </c>
      <c r="O25" s="83" t="n">
        <f aca="false">'PT_MXU-01'!$I$75</f>
        <v>0</v>
      </c>
      <c r="P25" s="31" t="n">
        <f aca="false">IF($K25="",Dashboard!$C$7-$J25,$K25-$J25)</f>
        <v>4</v>
      </c>
      <c r="Q25" s="31" t="n">
        <f aca="false">IF($O25="",IF(Dashboard!$C$7&gt;$N25,Dashboard!$C$7-$N25,0),$O25-$N25)</f>
        <v>0</v>
      </c>
      <c r="R25" s="91" t="n">
        <f aca="false">'PT_MXU-01'!$J$75</f>
        <v>0.029</v>
      </c>
      <c r="S25" s="153" t="str">
        <f aca="false">'PT_MXU-01'!$K$75</f>
        <v>In Progress</v>
      </c>
      <c r="T25" s="46" t="str">
        <f aca="false">IF(AND($P25&lt;=0,$Q25&lt;=0),"Green",IF(MAX($P25,$Q25)&lt;=14,"Amber","Red"))</f>
        <v>Amber</v>
      </c>
      <c r="U25" s="174" t="n">
        <f aca="false">$C25*(MAX($P25,$Q25)+ROW()/100000)</f>
        <v>4.00025</v>
      </c>
    </row>
    <row r="26" customFormat="false" ht="13.5" hidden="false" customHeight="true" outlineLevel="0" collapsed="false">
      <c r="A26" s="47" t="s">
        <v>300</v>
      </c>
      <c r="B26" s="154" t="str">
        <f aca="false">IFERROR(INDEX(Projects!$C$9:$C$16,MATCH($A26,Projects!$A$9:$A$16,0)),"")</f>
        <v>Mixed Use</v>
      </c>
      <c r="C26" s="155" t="n">
        <f aca="false">IF(Dashboard!$C$6="Corporate",1,IF(Dashboard!$C$6="Project",IF($A26=Dashboard!$M$6,1,0),IF($B26=Dashboard!$H$6,1,0)))</f>
        <v>1</v>
      </c>
      <c r="D26" s="47" t="s">
        <v>845</v>
      </c>
      <c r="E26" s="37" t="s">
        <v>826</v>
      </c>
      <c r="F26" s="52" t="s">
        <v>780</v>
      </c>
      <c r="G26" s="51" t="s">
        <v>498</v>
      </c>
      <c r="H26" s="37" t="s">
        <v>824</v>
      </c>
      <c r="I26" s="96" t="n">
        <v>46196</v>
      </c>
      <c r="J26" s="96" t="n">
        <v>46265</v>
      </c>
      <c r="K26" s="96" t="n">
        <f aca="false">'PT_MXU-01'!$H$76</f>
        <v>46262</v>
      </c>
      <c r="L26" s="99" t="n">
        <f aca="false">'PT_MXU-01'!$F$76</f>
        <v>15835500</v>
      </c>
      <c r="M26" s="99" t="n">
        <f aca="false">'PT_MXU-01'!$G$76</f>
        <v>15835500</v>
      </c>
      <c r="N26" s="96" t="n">
        <v>46418</v>
      </c>
      <c r="O26" s="96" t="n">
        <f aca="false">'PT_MXU-01'!$I$76</f>
        <v>0</v>
      </c>
      <c r="P26" s="49" t="n">
        <f aca="false">IF($K26="",Dashboard!$C$7-$J26,$K26-$J26)</f>
        <v>-3</v>
      </c>
      <c r="Q26" s="49" t="n">
        <f aca="false">IF($O26="",IF(Dashboard!$C$7&gt;$N26,Dashboard!$C$7-$N26,0),$O26-$N26)</f>
        <v>0</v>
      </c>
      <c r="R26" s="102" t="n">
        <f aca="false">'PT_MXU-01'!$J$76</f>
        <v>0.029</v>
      </c>
      <c r="S26" s="103" t="str">
        <f aca="false">'PT_MXU-01'!$K$76</f>
        <v>In Progress</v>
      </c>
      <c r="T26" s="52" t="str">
        <f aca="false">IF(AND($P26&lt;=0,$Q26&lt;=0),"Green",IF(MAX($P26,$Q26)&lt;=14,"Amber","Red"))</f>
        <v>Green</v>
      </c>
      <c r="U26" s="175" t="n">
        <f aca="false">$C26*(MAX($P26,$Q26)+ROW()/100000)</f>
        <v>0.00026</v>
      </c>
    </row>
    <row r="27" customFormat="false" ht="13.5" hidden="false" customHeight="true" outlineLevel="0" collapsed="false">
      <c r="A27" s="149" t="s">
        <v>300</v>
      </c>
      <c r="B27" s="150" t="str">
        <f aca="false">IFERROR(INDEX(Projects!$C$9:$C$16,MATCH($A27,Projects!$A$9:$A$16,0)),"")</f>
        <v>Mixed Use</v>
      </c>
      <c r="C27" s="94" t="n">
        <f aca="false">IF(Dashboard!$C$6="Corporate",1,IF(Dashboard!$C$6="Project",IF($A27=Dashboard!$M$6,1,0),IF($B27=Dashboard!$H$6,1,0)))</f>
        <v>1</v>
      </c>
      <c r="D27" s="42" t="s">
        <v>846</v>
      </c>
      <c r="E27" s="30" t="s">
        <v>828</v>
      </c>
      <c r="F27" s="46" t="s">
        <v>780</v>
      </c>
      <c r="G27" s="45" t="s">
        <v>501</v>
      </c>
      <c r="H27" s="30" t="s">
        <v>829</v>
      </c>
      <c r="I27" s="169" t="n">
        <v>46199</v>
      </c>
      <c r="J27" s="169" t="n">
        <v>46295</v>
      </c>
      <c r="K27" s="83" t="n">
        <f aca="false">'PT_MXU-01'!$H$77</f>
        <v>0</v>
      </c>
      <c r="L27" s="86" t="n">
        <f aca="false">'PT_MXU-01'!$F$77</f>
        <v>9687600</v>
      </c>
      <c r="M27" s="86" t="n">
        <f aca="false">'PT_MXU-01'!$G$77</f>
        <v>0</v>
      </c>
      <c r="N27" s="169" t="n">
        <v>46507</v>
      </c>
      <c r="O27" s="83" t="n">
        <f aca="false">'PT_MXU-01'!$I$77</f>
        <v>46531</v>
      </c>
      <c r="P27" s="31" t="n">
        <f aca="false">IF($K27="",Dashboard!$C$7-$J27,$K27-$J27)</f>
        <v>-30</v>
      </c>
      <c r="Q27" s="31" t="n">
        <f aca="false">IF($O27="",IF(Dashboard!$C$7&gt;$N27,Dashboard!$C$7-$N27,0),$O27-$N27)</f>
        <v>24</v>
      </c>
      <c r="R27" s="91" t="n">
        <f aca="false">'PT_MXU-01'!$J$77</f>
        <v>0</v>
      </c>
      <c r="S27" s="153" t="str">
        <f aca="false">'PT_MXU-01'!$K$77</f>
        <v>Tender Issued</v>
      </c>
      <c r="T27" s="46" t="str">
        <f aca="false">IF(AND($P27&lt;=0,$Q27&lt;=0),"Green",IF(MAX($P27,$Q27)&lt;=14,"Amber","Red"))</f>
        <v>Red</v>
      </c>
      <c r="U27" s="174" t="n">
        <f aca="false">$C27*(MAX($P27,$Q27)+ROW()/100000)</f>
        <v>24.00027</v>
      </c>
    </row>
    <row r="28" customFormat="false" ht="13.5" hidden="false" customHeight="true" outlineLevel="0" collapsed="false">
      <c r="A28" s="47" t="s">
        <v>300</v>
      </c>
      <c r="B28" s="154" t="str">
        <f aca="false">IFERROR(INDEX(Projects!$C$9:$C$16,MATCH($A28,Projects!$A$9:$A$16,0)),"")</f>
        <v>Mixed Use</v>
      </c>
      <c r="C28" s="155" t="n">
        <f aca="false">IF(Dashboard!$C$6="Corporate",1,IF(Dashboard!$C$6="Project",IF($A28=Dashboard!$M$6,1,0),IF($B28=Dashboard!$H$6,1,0)))</f>
        <v>1</v>
      </c>
      <c r="D28" s="47" t="s">
        <v>847</v>
      </c>
      <c r="E28" s="37" t="s">
        <v>831</v>
      </c>
      <c r="F28" s="52" t="s">
        <v>784</v>
      </c>
      <c r="G28" s="51" t="s">
        <v>506</v>
      </c>
      <c r="H28" s="37" t="s">
        <v>829</v>
      </c>
      <c r="I28" s="96" t="n">
        <v>46202</v>
      </c>
      <c r="J28" s="96" t="n">
        <v>46326</v>
      </c>
      <c r="K28" s="96" t="n">
        <f aca="false">'PT_MXU-01'!$H$78</f>
        <v>0</v>
      </c>
      <c r="L28" s="99" t="n">
        <f aca="false">'PT_MXU-01'!$F$78</f>
        <v>13041000</v>
      </c>
      <c r="M28" s="99" t="n">
        <f aca="false">'PT_MXU-01'!$G$78</f>
        <v>0</v>
      </c>
      <c r="N28" s="96" t="n">
        <v>46599</v>
      </c>
      <c r="O28" s="96" t="n">
        <f aca="false">'PT_MXU-01'!$I$78</f>
        <v>0</v>
      </c>
      <c r="P28" s="49" t="n">
        <f aca="false">IF($K28="",Dashboard!$C$7-$J28,$K28-$J28)</f>
        <v>-61</v>
      </c>
      <c r="Q28" s="49" t="n">
        <f aca="false">IF($O28="",IF(Dashboard!$C$7&gt;$N28,Dashboard!$C$7-$N28,0),$O28-$N28)</f>
        <v>0</v>
      </c>
      <c r="R28" s="102" t="n">
        <f aca="false">'PT_MXU-01'!$J$78</f>
        <v>0</v>
      </c>
      <c r="S28" s="103" t="str">
        <f aca="false">'PT_MXU-01'!$K$78</f>
        <v>Tender Issued</v>
      </c>
      <c r="T28" s="52" t="str">
        <f aca="false">IF(AND($P28&lt;=0,$Q28&lt;=0),"Green",IF(MAX($P28,$Q28)&lt;=14,"Amber","Red"))</f>
        <v>Green</v>
      </c>
      <c r="U28" s="175" t="n">
        <f aca="false">$C28*(MAX($P28,$Q28)+ROW()/100000)</f>
        <v>0.00028</v>
      </c>
    </row>
    <row r="29" customFormat="false" ht="13.5" hidden="false" customHeight="true" outlineLevel="0" collapsed="false">
      <c r="A29" s="149" t="s">
        <v>301</v>
      </c>
      <c r="B29" s="150" t="str">
        <f aca="false">IFERROR(INDEX(Projects!$C$9:$C$16,MATCH($A29,Projects!$A$9:$A$16,0)),"")</f>
        <v>Mixed Use</v>
      </c>
      <c r="C29" s="94" t="n">
        <f aca="false">IF(Dashboard!$C$6="Corporate",1,IF(Dashboard!$C$6="Project",IF($A29=Dashboard!$M$6,1,0),IF($B29=Dashboard!$H$6,1,0)))</f>
        <v>1</v>
      </c>
      <c r="D29" s="42" t="s">
        <v>848</v>
      </c>
      <c r="E29" s="30" t="s">
        <v>823</v>
      </c>
      <c r="F29" s="46" t="s">
        <v>780</v>
      </c>
      <c r="G29" s="45" t="s">
        <v>495</v>
      </c>
      <c r="H29" s="30" t="s">
        <v>824</v>
      </c>
      <c r="I29" s="169" t="n">
        <v>46163</v>
      </c>
      <c r="J29" s="169" t="n">
        <v>46203</v>
      </c>
      <c r="K29" s="83" t="n">
        <f aca="false">'PT_MXU-02'!$H$75</f>
        <v>46207</v>
      </c>
      <c r="L29" s="86" t="n">
        <f aca="false">'PT_MXU-02'!$F$75</f>
        <v>13876500</v>
      </c>
      <c r="M29" s="86" t="n">
        <f aca="false">'PT_MXU-02'!$G$75</f>
        <v>13876500</v>
      </c>
      <c r="N29" s="169" t="n">
        <v>46295</v>
      </c>
      <c r="O29" s="83" t="n">
        <f aca="false">'PT_MXU-02'!$I$75</f>
        <v>0</v>
      </c>
      <c r="P29" s="31" t="n">
        <f aca="false">IF($K29="",Dashboard!$C$7-$J29,$K29-$J29)</f>
        <v>4</v>
      </c>
      <c r="Q29" s="31" t="n">
        <f aca="false">IF($O29="",IF(Dashboard!$C$7&gt;$N29,Dashboard!$C$7-$N29,0),$O29-$N29)</f>
        <v>0</v>
      </c>
      <c r="R29" s="91" t="n">
        <f aca="false">'PT_MXU-02'!$J$75</f>
        <v>0.049</v>
      </c>
      <c r="S29" s="153" t="str">
        <f aca="false">'PT_MXU-02'!$K$75</f>
        <v>In Progress</v>
      </c>
      <c r="T29" s="46" t="str">
        <f aca="false">IF(AND($P29&lt;=0,$Q29&lt;=0),"Green",IF(MAX($P29,$Q29)&lt;=14,"Amber","Red"))</f>
        <v>Amber</v>
      </c>
      <c r="U29" s="174" t="n">
        <f aca="false">$C29*(MAX($P29,$Q29)+ROW()/100000)</f>
        <v>4.00029</v>
      </c>
    </row>
    <row r="30" customFormat="false" ht="13.5" hidden="false" customHeight="true" outlineLevel="0" collapsed="false">
      <c r="A30" s="47" t="s">
        <v>301</v>
      </c>
      <c r="B30" s="154" t="str">
        <f aca="false">IFERROR(INDEX(Projects!$C$9:$C$16,MATCH($A30,Projects!$A$9:$A$16,0)),"")</f>
        <v>Mixed Use</v>
      </c>
      <c r="C30" s="155" t="n">
        <f aca="false">IF(Dashboard!$C$6="Corporate",1,IF(Dashboard!$C$6="Project",IF($A30=Dashboard!$M$6,1,0),IF($B30=Dashboard!$H$6,1,0)))</f>
        <v>1</v>
      </c>
      <c r="D30" s="47" t="s">
        <v>849</v>
      </c>
      <c r="E30" s="37" t="s">
        <v>826</v>
      </c>
      <c r="F30" s="52" t="s">
        <v>780</v>
      </c>
      <c r="G30" s="51" t="s">
        <v>498</v>
      </c>
      <c r="H30" s="37" t="s">
        <v>824</v>
      </c>
      <c r="I30" s="96" t="n">
        <v>46166</v>
      </c>
      <c r="J30" s="96" t="n">
        <v>46234</v>
      </c>
      <c r="K30" s="96" t="n">
        <f aca="false">'PT_MXU-02'!$H$76</f>
        <v>46231</v>
      </c>
      <c r="L30" s="99" t="n">
        <f aca="false">'PT_MXU-02'!$F$76</f>
        <v>8134500</v>
      </c>
      <c r="M30" s="99" t="n">
        <f aca="false">'PT_MXU-02'!$G$76</f>
        <v>8134500</v>
      </c>
      <c r="N30" s="96" t="n">
        <v>46387</v>
      </c>
      <c r="O30" s="96" t="n">
        <f aca="false">'PT_MXU-02'!$I$76</f>
        <v>0</v>
      </c>
      <c r="P30" s="49" t="n">
        <f aca="false">IF($K30="",Dashboard!$C$7-$J30,$K30-$J30)</f>
        <v>-3</v>
      </c>
      <c r="Q30" s="49" t="n">
        <f aca="false">IF($O30="",IF(Dashboard!$C$7&gt;$N30,Dashboard!$C$7-$N30,0),$O30-$N30)</f>
        <v>0</v>
      </c>
      <c r="R30" s="102" t="n">
        <f aca="false">'PT_MXU-02'!$J$76</f>
        <v>0.049</v>
      </c>
      <c r="S30" s="103" t="str">
        <f aca="false">'PT_MXU-02'!$K$76</f>
        <v>In Progress</v>
      </c>
      <c r="T30" s="52" t="str">
        <f aca="false">IF(AND($P30&lt;=0,$Q30&lt;=0),"Green",IF(MAX($P30,$Q30)&lt;=14,"Amber","Red"))</f>
        <v>Green</v>
      </c>
      <c r="U30" s="175" t="n">
        <f aca="false">$C30*(MAX($P30,$Q30)+ROW()/100000)</f>
        <v>0.0003</v>
      </c>
    </row>
    <row r="31" customFormat="false" ht="13.5" hidden="false" customHeight="true" outlineLevel="0" collapsed="false">
      <c r="A31" s="149" t="s">
        <v>301</v>
      </c>
      <c r="B31" s="150" t="str">
        <f aca="false">IFERROR(INDEX(Projects!$C$9:$C$16,MATCH($A31,Projects!$A$9:$A$16,0)),"")</f>
        <v>Mixed Use</v>
      </c>
      <c r="C31" s="94" t="n">
        <f aca="false">IF(Dashboard!$C$6="Corporate",1,IF(Dashboard!$C$6="Project",IF($A31=Dashboard!$M$6,1,0),IF($B31=Dashboard!$H$6,1,0)))</f>
        <v>1</v>
      </c>
      <c r="D31" s="42" t="s">
        <v>850</v>
      </c>
      <c r="E31" s="30" t="s">
        <v>828</v>
      </c>
      <c r="F31" s="46" t="s">
        <v>780</v>
      </c>
      <c r="G31" s="45" t="s">
        <v>501</v>
      </c>
      <c r="H31" s="30" t="s">
        <v>824</v>
      </c>
      <c r="I31" s="169" t="n">
        <v>46169</v>
      </c>
      <c r="J31" s="169" t="n">
        <v>46265</v>
      </c>
      <c r="K31" s="83" t="n">
        <f aca="false">'PT_MXU-02'!$H$77</f>
        <v>46284</v>
      </c>
      <c r="L31" s="86" t="n">
        <f aca="false">'PT_MXU-02'!$F$77</f>
        <v>4976400</v>
      </c>
      <c r="M31" s="86" t="n">
        <f aca="false">'PT_MXU-02'!$G$77</f>
        <v>4976400</v>
      </c>
      <c r="N31" s="169" t="n">
        <v>46477</v>
      </c>
      <c r="O31" s="83" t="n">
        <f aca="false">'PT_MXU-02'!$I$77</f>
        <v>46501</v>
      </c>
      <c r="P31" s="31" t="n">
        <f aca="false">IF($K31="",Dashboard!$C$7-$J31,$K31-$J31)</f>
        <v>19</v>
      </c>
      <c r="Q31" s="31" t="n">
        <f aca="false">IF($O31="",IF(Dashboard!$C$7&gt;$N31,Dashboard!$C$7-$N31,0),$O31-$N31)</f>
        <v>24</v>
      </c>
      <c r="R31" s="91" t="n">
        <f aca="false">'PT_MXU-02'!$J$77</f>
        <v>0.049</v>
      </c>
      <c r="S31" s="153" t="str">
        <f aca="false">'PT_MXU-02'!$K$77</f>
        <v>In Progress</v>
      </c>
      <c r="T31" s="46" t="str">
        <f aca="false">IF(AND($P31&lt;=0,$Q31&lt;=0),"Green",IF(MAX($P31,$Q31)&lt;=14,"Amber","Red"))</f>
        <v>Red</v>
      </c>
      <c r="U31" s="174" t="n">
        <f aca="false">$C31*(MAX($P31,$Q31)+ROW()/100000)</f>
        <v>24.00031</v>
      </c>
    </row>
    <row r="32" customFormat="false" ht="13.5" hidden="false" customHeight="true" outlineLevel="0" collapsed="false">
      <c r="A32" s="47" t="s">
        <v>301</v>
      </c>
      <c r="B32" s="154" t="str">
        <f aca="false">IFERROR(INDEX(Projects!$C$9:$C$16,MATCH($A32,Projects!$A$9:$A$16,0)),"")</f>
        <v>Mixed Use</v>
      </c>
      <c r="C32" s="155" t="n">
        <f aca="false">IF(Dashboard!$C$6="Corporate",1,IF(Dashboard!$C$6="Project",IF($A32=Dashboard!$M$6,1,0),IF($B32=Dashboard!$H$6,1,0)))</f>
        <v>1</v>
      </c>
      <c r="D32" s="47" t="s">
        <v>851</v>
      </c>
      <c r="E32" s="37" t="s">
        <v>831</v>
      </c>
      <c r="F32" s="52" t="s">
        <v>784</v>
      </c>
      <c r="G32" s="51" t="s">
        <v>506</v>
      </c>
      <c r="H32" s="37" t="s">
        <v>824</v>
      </c>
      <c r="I32" s="96" t="n">
        <v>46172</v>
      </c>
      <c r="J32" s="96" t="n">
        <v>46295</v>
      </c>
      <c r="K32" s="96" t="n">
        <f aca="false">'PT_MXU-02'!$H$78</f>
        <v>46295</v>
      </c>
      <c r="L32" s="99" t="n">
        <f aca="false">'PT_MXU-02'!$F$78</f>
        <v>6699000</v>
      </c>
      <c r="M32" s="99" t="n">
        <f aca="false">'PT_MXU-02'!$G$78</f>
        <v>6699000</v>
      </c>
      <c r="N32" s="96" t="n">
        <v>46568</v>
      </c>
      <c r="O32" s="96" t="n">
        <f aca="false">'PT_MXU-02'!$I$78</f>
        <v>0</v>
      </c>
      <c r="P32" s="49" t="n">
        <f aca="false">IF($K32="",Dashboard!$C$7-$J32,$K32-$J32)</f>
        <v>0</v>
      </c>
      <c r="Q32" s="49" t="n">
        <f aca="false">IF($O32="",IF(Dashboard!$C$7&gt;$N32,Dashboard!$C$7-$N32,0),$O32-$N32)</f>
        <v>0</v>
      </c>
      <c r="R32" s="102" t="n">
        <f aca="false">'PT_MXU-02'!$J$78</f>
        <v>0.049</v>
      </c>
      <c r="S32" s="103" t="str">
        <f aca="false">'PT_MXU-02'!$K$78</f>
        <v>In Progress</v>
      </c>
      <c r="T32" s="52" t="str">
        <f aca="false">IF(AND($P32&lt;=0,$Q32&lt;=0),"Green",IF(MAX($P32,$Q32)&lt;=14,"Amber","Red"))</f>
        <v>Green</v>
      </c>
      <c r="U32" s="175" t="n">
        <f aca="false">$C32*(MAX($P32,$Q32)+ROW()/100000)</f>
        <v>0.00032</v>
      </c>
    </row>
    <row r="33" customFormat="false" ht="13.5" hidden="false" customHeight="true" outlineLevel="0" collapsed="false">
      <c r="A33" s="149" t="s">
        <v>303</v>
      </c>
      <c r="B33" s="150" t="str">
        <f aca="false">IFERROR(INDEX(Projects!$C$9:$C$16,MATCH($A33,Projects!$A$9:$A$16,0)),"")</f>
        <v>Land Development</v>
      </c>
      <c r="C33" s="94" t="n">
        <f aca="false">IF(Dashboard!$C$6="Corporate",1,IF(Dashboard!$C$6="Project",IF($A33=Dashboard!$M$6,1,0),IF($B33=Dashboard!$H$6,1,0)))</f>
        <v>1</v>
      </c>
      <c r="D33" s="42" t="s">
        <v>852</v>
      </c>
      <c r="E33" s="30" t="s">
        <v>823</v>
      </c>
      <c r="F33" s="46" t="s">
        <v>780</v>
      </c>
      <c r="G33" s="45" t="s">
        <v>495</v>
      </c>
      <c r="H33" s="30" t="s">
        <v>824</v>
      </c>
      <c r="I33" s="169" t="n">
        <v>46132</v>
      </c>
      <c r="J33" s="169" t="n">
        <v>46173</v>
      </c>
      <c r="K33" s="83" t="n">
        <f aca="false">'PT_LND-01'!$H$75</f>
        <v>46177</v>
      </c>
      <c r="L33" s="86" t="n">
        <f aca="false">'PT_LND-01'!$F$75</f>
        <v>20677000</v>
      </c>
      <c r="M33" s="86" t="n">
        <f aca="false">'PT_LND-01'!$G$75</f>
        <v>20677000</v>
      </c>
      <c r="N33" s="169" t="n">
        <v>46265</v>
      </c>
      <c r="O33" s="83" t="n">
        <f aca="false">'PT_LND-01'!$I$75</f>
        <v>0</v>
      </c>
      <c r="P33" s="31" t="n">
        <f aca="false">IF($K33="",Dashboard!$C$7-$J33,$K33-$J33)</f>
        <v>4</v>
      </c>
      <c r="Q33" s="31" t="n">
        <f aca="false">IF($O33="",IF(Dashboard!$C$7&gt;$N33,Dashboard!$C$7-$N33,0),$O33-$N33)</f>
        <v>0</v>
      </c>
      <c r="R33" s="91" t="n">
        <f aca="false">'PT_LND-01'!$J$75</f>
        <v>0.059</v>
      </c>
      <c r="S33" s="153" t="str">
        <f aca="false">'PT_LND-01'!$K$75</f>
        <v>In Progress</v>
      </c>
      <c r="T33" s="46" t="str">
        <f aca="false">IF(AND($P33&lt;=0,$Q33&lt;=0),"Green",IF(MAX($P33,$Q33)&lt;=14,"Amber","Red"))</f>
        <v>Amber</v>
      </c>
      <c r="U33" s="174" t="n">
        <f aca="false">$C33*(MAX($P33,$Q33)+ROW()/100000)</f>
        <v>4.00033</v>
      </c>
    </row>
    <row r="34" customFormat="false" ht="13.5" hidden="false" customHeight="true" outlineLevel="0" collapsed="false">
      <c r="A34" s="47" t="s">
        <v>303</v>
      </c>
      <c r="B34" s="154" t="str">
        <f aca="false">IFERROR(INDEX(Projects!$C$9:$C$16,MATCH($A34,Projects!$A$9:$A$16,0)),"")</f>
        <v>Land Development</v>
      </c>
      <c r="C34" s="155" t="n">
        <f aca="false">IF(Dashboard!$C$6="Corporate",1,IF(Dashboard!$C$6="Project",IF($A34=Dashboard!$M$6,1,0),IF($B34=Dashboard!$H$6,1,0)))</f>
        <v>1</v>
      </c>
      <c r="D34" s="47" t="s">
        <v>853</v>
      </c>
      <c r="E34" s="37" t="s">
        <v>826</v>
      </c>
      <c r="F34" s="52" t="s">
        <v>780</v>
      </c>
      <c r="G34" s="51" t="s">
        <v>498</v>
      </c>
      <c r="H34" s="37" t="s">
        <v>824</v>
      </c>
      <c r="I34" s="96" t="n">
        <v>46135</v>
      </c>
      <c r="J34" s="96" t="n">
        <v>46203</v>
      </c>
      <c r="K34" s="96" t="n">
        <f aca="false">'PT_LND-01'!$H$76</f>
        <v>46200</v>
      </c>
      <c r="L34" s="99" t="n">
        <f aca="false">'PT_LND-01'!$F$76</f>
        <v>12121000</v>
      </c>
      <c r="M34" s="99" t="n">
        <f aca="false">'PT_LND-01'!$G$76</f>
        <v>12121000</v>
      </c>
      <c r="N34" s="96" t="n">
        <v>46356</v>
      </c>
      <c r="O34" s="96" t="n">
        <f aca="false">'PT_LND-01'!$I$76</f>
        <v>0</v>
      </c>
      <c r="P34" s="49" t="n">
        <f aca="false">IF($K34="",Dashboard!$C$7-$J34,$K34-$J34)</f>
        <v>-3</v>
      </c>
      <c r="Q34" s="49" t="n">
        <f aca="false">IF($O34="",IF(Dashboard!$C$7&gt;$N34,Dashboard!$C$7-$N34,0),$O34-$N34)</f>
        <v>0</v>
      </c>
      <c r="R34" s="102" t="n">
        <f aca="false">'PT_LND-01'!$J$76</f>
        <v>0.059</v>
      </c>
      <c r="S34" s="103" t="str">
        <f aca="false">'PT_LND-01'!$K$76</f>
        <v>In Progress</v>
      </c>
      <c r="T34" s="52" t="str">
        <f aca="false">IF(AND($P34&lt;=0,$Q34&lt;=0),"Green",IF(MAX($P34,$Q34)&lt;=14,"Amber","Red"))</f>
        <v>Green</v>
      </c>
      <c r="U34" s="175" t="n">
        <f aca="false">$C34*(MAX($P34,$Q34)+ROW()/100000)</f>
        <v>0.00034</v>
      </c>
    </row>
    <row r="35" customFormat="false" ht="13.5" hidden="false" customHeight="true" outlineLevel="0" collapsed="false">
      <c r="A35" s="149" t="s">
        <v>303</v>
      </c>
      <c r="B35" s="150" t="str">
        <f aca="false">IFERROR(INDEX(Projects!$C$9:$C$16,MATCH($A35,Projects!$A$9:$A$16,0)),"")</f>
        <v>Land Development</v>
      </c>
      <c r="C35" s="94" t="n">
        <f aca="false">IF(Dashboard!$C$6="Corporate",1,IF(Dashboard!$C$6="Project",IF($A35=Dashboard!$M$6,1,0),IF($B35=Dashboard!$H$6,1,0)))</f>
        <v>1</v>
      </c>
      <c r="D35" s="42" t="s">
        <v>854</v>
      </c>
      <c r="E35" s="30" t="s">
        <v>828</v>
      </c>
      <c r="F35" s="46" t="s">
        <v>780</v>
      </c>
      <c r="G35" s="45" t="s">
        <v>501</v>
      </c>
      <c r="H35" s="30" t="s">
        <v>824</v>
      </c>
      <c r="I35" s="169" t="n">
        <v>46138</v>
      </c>
      <c r="J35" s="169" t="n">
        <v>46234</v>
      </c>
      <c r="K35" s="83" t="n">
        <f aca="false">'PT_LND-01'!$H$77</f>
        <v>46253</v>
      </c>
      <c r="L35" s="86" t="n">
        <f aca="false">'PT_LND-01'!$F$77</f>
        <v>7415200</v>
      </c>
      <c r="M35" s="86" t="n">
        <f aca="false">'PT_LND-01'!$G$77</f>
        <v>7415200</v>
      </c>
      <c r="N35" s="169" t="n">
        <v>46446</v>
      </c>
      <c r="O35" s="83" t="n">
        <f aca="false">'PT_LND-01'!$I$77</f>
        <v>46470</v>
      </c>
      <c r="P35" s="31" t="n">
        <f aca="false">IF($K35="",Dashboard!$C$7-$J35,$K35-$J35)</f>
        <v>19</v>
      </c>
      <c r="Q35" s="31" t="n">
        <f aca="false">IF($O35="",IF(Dashboard!$C$7&gt;$N35,Dashboard!$C$7-$N35,0),$O35-$N35)</f>
        <v>24</v>
      </c>
      <c r="R35" s="91" t="n">
        <f aca="false">'PT_LND-01'!$J$77</f>
        <v>0.059</v>
      </c>
      <c r="S35" s="153" t="str">
        <f aca="false">'PT_LND-01'!$K$77</f>
        <v>In Progress</v>
      </c>
      <c r="T35" s="46" t="str">
        <f aca="false">IF(AND($P35&lt;=0,$Q35&lt;=0),"Green",IF(MAX($P35,$Q35)&lt;=14,"Amber","Red"))</f>
        <v>Red</v>
      </c>
      <c r="U35" s="174" t="n">
        <f aca="false">$C35*(MAX($P35,$Q35)+ROW()/100000)</f>
        <v>24.00035</v>
      </c>
    </row>
    <row r="36" customFormat="false" ht="13.5" hidden="false" customHeight="true" outlineLevel="0" collapsed="false">
      <c r="A36" s="47" t="s">
        <v>303</v>
      </c>
      <c r="B36" s="154" t="str">
        <f aca="false">IFERROR(INDEX(Projects!$C$9:$C$16,MATCH($A36,Projects!$A$9:$A$16,0)),"")</f>
        <v>Land Development</v>
      </c>
      <c r="C36" s="155" t="n">
        <f aca="false">IF(Dashboard!$C$6="Corporate",1,IF(Dashboard!$C$6="Project",IF($A36=Dashboard!$M$6,1,0),IF($B36=Dashboard!$H$6,1,0)))</f>
        <v>1</v>
      </c>
      <c r="D36" s="47" t="s">
        <v>855</v>
      </c>
      <c r="E36" s="37" t="s">
        <v>831</v>
      </c>
      <c r="F36" s="52" t="s">
        <v>784</v>
      </c>
      <c r="G36" s="51" t="s">
        <v>506</v>
      </c>
      <c r="H36" s="37" t="s">
        <v>824</v>
      </c>
      <c r="I36" s="96" t="n">
        <v>46141</v>
      </c>
      <c r="J36" s="96" t="n">
        <v>46265</v>
      </c>
      <c r="K36" s="96" t="n">
        <f aca="false">'PT_LND-01'!$H$78</f>
        <v>46265</v>
      </c>
      <c r="L36" s="99" t="n">
        <f aca="false">'PT_LND-01'!$F$78</f>
        <v>9982000</v>
      </c>
      <c r="M36" s="99" t="n">
        <f aca="false">'PT_LND-01'!$G$78</f>
        <v>9982000</v>
      </c>
      <c r="N36" s="96" t="n">
        <v>46538</v>
      </c>
      <c r="O36" s="96" t="n">
        <f aca="false">'PT_LND-01'!$I$78</f>
        <v>0</v>
      </c>
      <c r="P36" s="49" t="n">
        <f aca="false">IF($K36="",Dashboard!$C$7-$J36,$K36-$J36)</f>
        <v>0</v>
      </c>
      <c r="Q36" s="49" t="n">
        <f aca="false">IF($O36="",IF(Dashboard!$C$7&gt;$N36,Dashboard!$C$7-$N36,0),$O36-$N36)</f>
        <v>0</v>
      </c>
      <c r="R36" s="102" t="n">
        <f aca="false">'PT_LND-01'!$J$78</f>
        <v>0.059</v>
      </c>
      <c r="S36" s="103" t="str">
        <f aca="false">'PT_LND-01'!$K$78</f>
        <v>In Progress</v>
      </c>
      <c r="T36" s="52" t="str">
        <f aca="false">IF(AND($P36&lt;=0,$Q36&lt;=0),"Green",IF(MAX($P36,$Q36)&lt;=14,"Amber","Red"))</f>
        <v>Green</v>
      </c>
      <c r="U36" s="175" t="n">
        <f aca="false">$C36*(MAX($P36,$Q36)+ROW()/100000)</f>
        <v>0.00036</v>
      </c>
    </row>
    <row r="37" customFormat="false" ht="13.5" hidden="false" customHeight="true" outlineLevel="0" collapsed="false">
      <c r="A37" s="149" t="s">
        <v>304</v>
      </c>
      <c r="B37" s="150" t="str">
        <f aca="false">IFERROR(INDEX(Projects!$C$9:$C$16,MATCH($A37,Projects!$A$9:$A$16,0)),"")</f>
        <v>Land Development</v>
      </c>
      <c r="C37" s="94" t="n">
        <f aca="false">IF(Dashboard!$C$6="Corporate",1,IF(Dashboard!$C$6="Project",IF($A37=Dashboard!$M$6,1,0),IF($B37=Dashboard!$H$6,1,0)))</f>
        <v>1</v>
      </c>
      <c r="D37" s="42" t="s">
        <v>856</v>
      </c>
      <c r="E37" s="30" t="s">
        <v>823</v>
      </c>
      <c r="F37" s="46" t="s">
        <v>780</v>
      </c>
      <c r="G37" s="45" t="s">
        <v>495</v>
      </c>
      <c r="H37" s="30" t="s">
        <v>824</v>
      </c>
      <c r="I37" s="169" t="n">
        <v>46163</v>
      </c>
      <c r="J37" s="169" t="n">
        <v>46203</v>
      </c>
      <c r="K37" s="83" t="n">
        <f aca="false">'PT_LND-02'!$H$75</f>
        <v>46207</v>
      </c>
      <c r="L37" s="86" t="n">
        <f aca="false">'PT_LND-02'!$F$75</f>
        <v>9925250</v>
      </c>
      <c r="M37" s="86" t="n">
        <f aca="false">'PT_LND-02'!$G$75</f>
        <v>9925250</v>
      </c>
      <c r="N37" s="169" t="n">
        <v>46295</v>
      </c>
      <c r="O37" s="83" t="n">
        <f aca="false">'PT_LND-02'!$I$75</f>
        <v>0</v>
      </c>
      <c r="P37" s="31" t="n">
        <f aca="false">IF($K37="",Dashboard!$C$7-$J37,$K37-$J37)</f>
        <v>4</v>
      </c>
      <c r="Q37" s="31" t="n">
        <f aca="false">IF($O37="",IF(Dashboard!$C$7&gt;$N37,Dashboard!$C$7-$N37,0),$O37-$N37)</f>
        <v>0</v>
      </c>
      <c r="R37" s="91" t="n">
        <f aca="false">'PT_LND-02'!$J$75</f>
        <v>0.055</v>
      </c>
      <c r="S37" s="153" t="str">
        <f aca="false">'PT_LND-02'!$K$75</f>
        <v>In Progress</v>
      </c>
      <c r="T37" s="46" t="str">
        <f aca="false">IF(AND($P37&lt;=0,$Q37&lt;=0),"Green",IF(MAX($P37,$Q37)&lt;=14,"Amber","Red"))</f>
        <v>Amber</v>
      </c>
      <c r="U37" s="174" t="n">
        <f aca="false">$C37*(MAX($P37,$Q37)+ROW()/100000)</f>
        <v>4.00037</v>
      </c>
    </row>
    <row r="38" customFormat="false" ht="13.5" hidden="false" customHeight="true" outlineLevel="0" collapsed="false">
      <c r="A38" s="47" t="s">
        <v>304</v>
      </c>
      <c r="B38" s="154" t="str">
        <f aca="false">IFERROR(INDEX(Projects!$C$9:$C$16,MATCH($A38,Projects!$A$9:$A$16,0)),"")</f>
        <v>Land Development</v>
      </c>
      <c r="C38" s="155" t="n">
        <f aca="false">IF(Dashboard!$C$6="Corporate",1,IF(Dashboard!$C$6="Project",IF($A38=Dashboard!$M$6,1,0),IF($B38=Dashboard!$H$6,1,0)))</f>
        <v>1</v>
      </c>
      <c r="D38" s="47" t="s">
        <v>857</v>
      </c>
      <c r="E38" s="37" t="s">
        <v>826</v>
      </c>
      <c r="F38" s="52" t="s">
        <v>780</v>
      </c>
      <c r="G38" s="51" t="s">
        <v>498</v>
      </c>
      <c r="H38" s="37" t="s">
        <v>824</v>
      </c>
      <c r="I38" s="96" t="n">
        <v>46166</v>
      </c>
      <c r="J38" s="96" t="n">
        <v>46234</v>
      </c>
      <c r="K38" s="96" t="n">
        <f aca="false">'PT_LND-02'!$H$76</f>
        <v>46231</v>
      </c>
      <c r="L38" s="99" t="n">
        <f aca="false">'PT_LND-02'!$F$76</f>
        <v>5818250</v>
      </c>
      <c r="M38" s="99" t="n">
        <f aca="false">'PT_LND-02'!$G$76</f>
        <v>5818250</v>
      </c>
      <c r="N38" s="96" t="n">
        <v>46387</v>
      </c>
      <c r="O38" s="96" t="n">
        <f aca="false">'PT_LND-02'!$I$76</f>
        <v>0</v>
      </c>
      <c r="P38" s="49" t="n">
        <f aca="false">IF($K38="",Dashboard!$C$7-$J38,$K38-$J38)</f>
        <v>-3</v>
      </c>
      <c r="Q38" s="49" t="n">
        <f aca="false">IF($O38="",IF(Dashboard!$C$7&gt;$N38,Dashboard!$C$7-$N38,0),$O38-$N38)</f>
        <v>0</v>
      </c>
      <c r="R38" s="102" t="n">
        <f aca="false">'PT_LND-02'!$J$76</f>
        <v>0.055</v>
      </c>
      <c r="S38" s="103" t="str">
        <f aca="false">'PT_LND-02'!$K$76</f>
        <v>In Progress</v>
      </c>
      <c r="T38" s="52" t="str">
        <f aca="false">IF(AND($P38&lt;=0,$Q38&lt;=0),"Green",IF(MAX($P38,$Q38)&lt;=14,"Amber","Red"))</f>
        <v>Green</v>
      </c>
      <c r="U38" s="175" t="n">
        <f aca="false">$C38*(MAX($P38,$Q38)+ROW()/100000)</f>
        <v>0.00038</v>
      </c>
    </row>
    <row r="39" customFormat="false" ht="13.5" hidden="false" customHeight="true" outlineLevel="0" collapsed="false">
      <c r="A39" s="149" t="s">
        <v>304</v>
      </c>
      <c r="B39" s="150" t="str">
        <f aca="false">IFERROR(INDEX(Projects!$C$9:$C$16,MATCH($A39,Projects!$A$9:$A$16,0)),"")</f>
        <v>Land Development</v>
      </c>
      <c r="C39" s="94" t="n">
        <f aca="false">IF(Dashboard!$C$6="Corporate",1,IF(Dashboard!$C$6="Project",IF($A39=Dashboard!$M$6,1,0),IF($B39=Dashboard!$H$6,1,0)))</f>
        <v>1</v>
      </c>
      <c r="D39" s="42" t="s">
        <v>858</v>
      </c>
      <c r="E39" s="30" t="s">
        <v>828</v>
      </c>
      <c r="F39" s="46" t="s">
        <v>780</v>
      </c>
      <c r="G39" s="45" t="s">
        <v>501</v>
      </c>
      <c r="H39" s="30" t="s">
        <v>829</v>
      </c>
      <c r="I39" s="169" t="n">
        <v>46169</v>
      </c>
      <c r="J39" s="169" t="n">
        <v>46265</v>
      </c>
      <c r="K39" s="83" t="n">
        <f aca="false">'PT_LND-02'!$H$77</f>
        <v>0</v>
      </c>
      <c r="L39" s="86" t="n">
        <f aca="false">'PT_LND-02'!$F$77</f>
        <v>3559400</v>
      </c>
      <c r="M39" s="86" t="n">
        <f aca="false">'PT_LND-02'!$G$77</f>
        <v>0</v>
      </c>
      <c r="N39" s="169" t="n">
        <v>46477</v>
      </c>
      <c r="O39" s="83" t="n">
        <f aca="false">'PT_LND-02'!$I$77</f>
        <v>46501</v>
      </c>
      <c r="P39" s="31" t="n">
        <f aca="false">IF($K39="",Dashboard!$C$7-$J39,$K39-$J39)</f>
        <v>0</v>
      </c>
      <c r="Q39" s="31" t="n">
        <f aca="false">IF($O39="",IF(Dashboard!$C$7&gt;$N39,Dashboard!$C$7-$N39,0),$O39-$N39)</f>
        <v>24</v>
      </c>
      <c r="R39" s="91" t="n">
        <f aca="false">'PT_LND-02'!$J$77</f>
        <v>0</v>
      </c>
      <c r="S39" s="153" t="str">
        <f aca="false">'PT_LND-02'!$K$77</f>
        <v>Tender Issued</v>
      </c>
      <c r="T39" s="46" t="str">
        <f aca="false">IF(AND($P39&lt;=0,$Q39&lt;=0),"Green",IF(MAX($P39,$Q39)&lt;=14,"Amber","Red"))</f>
        <v>Red</v>
      </c>
      <c r="U39" s="174" t="n">
        <f aca="false">$C39*(MAX($P39,$Q39)+ROW()/100000)</f>
        <v>24.00039</v>
      </c>
    </row>
    <row r="40" customFormat="false" ht="13.5" hidden="false" customHeight="true" outlineLevel="0" collapsed="false">
      <c r="A40" s="47" t="s">
        <v>304</v>
      </c>
      <c r="B40" s="154" t="str">
        <f aca="false">IFERROR(INDEX(Projects!$C$9:$C$16,MATCH($A40,Projects!$A$9:$A$16,0)),"")</f>
        <v>Land Development</v>
      </c>
      <c r="C40" s="155" t="n">
        <f aca="false">IF(Dashboard!$C$6="Corporate",1,IF(Dashboard!$C$6="Project",IF($A40=Dashboard!$M$6,1,0),IF($B40=Dashboard!$H$6,1,0)))</f>
        <v>1</v>
      </c>
      <c r="D40" s="47" t="s">
        <v>859</v>
      </c>
      <c r="E40" s="37" t="s">
        <v>831</v>
      </c>
      <c r="F40" s="52" t="s">
        <v>784</v>
      </c>
      <c r="G40" s="51" t="s">
        <v>506</v>
      </c>
      <c r="H40" s="37" t="s">
        <v>829</v>
      </c>
      <c r="I40" s="96" t="n">
        <v>46172</v>
      </c>
      <c r="J40" s="96" t="n">
        <v>46295</v>
      </c>
      <c r="K40" s="96" t="n">
        <f aca="false">'PT_LND-02'!$H$78</f>
        <v>0</v>
      </c>
      <c r="L40" s="99" t="n">
        <f aca="false">'PT_LND-02'!$F$78</f>
        <v>4791500</v>
      </c>
      <c r="M40" s="99" t="n">
        <f aca="false">'PT_LND-02'!$G$78</f>
        <v>0</v>
      </c>
      <c r="N40" s="96" t="n">
        <v>46568</v>
      </c>
      <c r="O40" s="96" t="n">
        <f aca="false">'PT_LND-02'!$I$78</f>
        <v>0</v>
      </c>
      <c r="P40" s="49" t="n">
        <f aca="false">IF($K40="",Dashboard!$C$7-$J40,$K40-$J40)</f>
        <v>-30</v>
      </c>
      <c r="Q40" s="49" t="n">
        <f aca="false">IF($O40="",IF(Dashboard!$C$7&gt;$N40,Dashboard!$C$7-$N40,0),$O40-$N40)</f>
        <v>0</v>
      </c>
      <c r="R40" s="102" t="n">
        <f aca="false">'PT_LND-02'!$J$78</f>
        <v>0</v>
      </c>
      <c r="S40" s="103" t="str">
        <f aca="false">'PT_LND-02'!$K$78</f>
        <v>Tender Issued</v>
      </c>
      <c r="T40" s="52" t="str">
        <f aca="false">IF(AND($P40&lt;=0,$Q40&lt;=0),"Green",IF(MAX($P40,$Q40)&lt;=14,"Amber","Red"))</f>
        <v>Green</v>
      </c>
      <c r="U40" s="175" t="n">
        <f aca="false">$C40*(MAX($P40,$Q40)+ROW()/100000)</f>
        <v>0.0004</v>
      </c>
    </row>
    <row r="41" customFormat="false" ht="15" hidden="false" customHeight="true" outlineLevel="0" collapsed="false">
      <c r="A41" s="27" t="s">
        <v>633</v>
      </c>
      <c r="B41" s="27"/>
      <c r="C41" s="27"/>
      <c r="D41" s="27"/>
      <c r="E41" s="27"/>
      <c r="F41" s="27"/>
      <c r="G41" s="27"/>
      <c r="H41" s="27"/>
      <c r="I41" s="27"/>
      <c r="J41" s="27"/>
      <c r="K41" s="27"/>
      <c r="L41" s="28" t="n">
        <f aca="false">SUMPRODUCT(Procurement_Register!$C$9:$C$40,$L$9:$L$40)</f>
        <v>344035445</v>
      </c>
      <c r="M41" s="28" t="n">
        <f aca="false">SUMPRODUCT(Procurement_Register!$C$9:$C$40,$M$9:$M$40)</f>
        <v>294762887</v>
      </c>
      <c r="N41" s="105"/>
      <c r="O41" s="105"/>
      <c r="P41" s="105"/>
      <c r="Q41" s="105"/>
      <c r="R41" s="105"/>
      <c r="S41" s="105"/>
      <c r="T41" s="105"/>
      <c r="U41" s="10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c r="U42" s="5"/>
    </row>
    <row r="43" customFormat="false" ht="19.5" hidden="false" customHeight="true" outlineLevel="0" collapsed="false">
      <c r="A43" s="13" t="s">
        <v>860</v>
      </c>
      <c r="B43" s="13"/>
      <c r="C43" s="13"/>
      <c r="D43" s="13"/>
      <c r="E43" s="13"/>
      <c r="F43" s="13"/>
      <c r="G43" s="13"/>
      <c r="H43" s="13"/>
      <c r="I43" s="13"/>
      <c r="J43" s="13"/>
      <c r="K43" s="13"/>
      <c r="L43" s="13"/>
      <c r="M43" s="13"/>
      <c r="N43" s="13"/>
      <c r="O43" s="13"/>
      <c r="P43" s="13"/>
      <c r="Q43" s="13"/>
      <c r="R43" s="13"/>
      <c r="S43" s="13"/>
      <c r="T43" s="13"/>
      <c r="U43" s="13"/>
    </row>
    <row r="44" customFormat="false" ht="15.75" hidden="false" customHeight="true" outlineLevel="0" collapsed="false">
      <c r="A44" s="53" t="s">
        <v>42</v>
      </c>
      <c r="B44" s="53"/>
      <c r="C44" s="53"/>
      <c r="D44" s="164" t="n">
        <f aca="false">SUMPRODUCT(Procurement_Register!$C$9:$C$40,$M$9:$M$40)</f>
        <v>294762887</v>
      </c>
      <c r="E44" s="164"/>
      <c r="F44" s="53" t="s">
        <v>46</v>
      </c>
      <c r="G44" s="53"/>
      <c r="H44" s="53"/>
      <c r="I44" s="164" t="n">
        <f aca="false">SUMPRODUCT(Procurement_Register!$C$9:$C$40,($F$9:$F$40="Yes")*1,($K$9:$K$40="")*1)</f>
        <v>4</v>
      </c>
      <c r="J44" s="164"/>
      <c r="K44" s="5"/>
      <c r="L44" s="5"/>
      <c r="M44" s="5"/>
      <c r="N44" s="53" t="s">
        <v>861</v>
      </c>
      <c r="O44" s="53"/>
      <c r="P44" s="53"/>
      <c r="Q44" s="143" t="n">
        <f aca="false">IF(Master_Tracker!$C$13=0,0,SUMPRODUCT(Procurement_Register!$C$9:$C$40,$M$9:$M$40)/Master_Tracker!$C$13)</f>
        <v>0.339601750798319</v>
      </c>
      <c r="R44" s="143"/>
      <c r="S44" s="5"/>
      <c r="T44" s="5"/>
      <c r="U44" s="5"/>
    </row>
    <row r="45" customFormat="false" ht="15.75" hidden="false" customHeight="true" outlineLevel="0" collapsed="false">
      <c r="A45" s="53" t="s">
        <v>862</v>
      </c>
      <c r="B45" s="53"/>
      <c r="C45" s="53"/>
      <c r="D45" s="143" t="n">
        <f aca="false">IF(SUMPRODUCT((Procurement_Register!$C$9:$C$40*($K$9:$K$40&lt;&gt;"")))=0,0,SUMPRODUCT((Procurement_Register!$C$9:$C$40*($K$9:$K$40&lt;&gt;"")),($P$9:$P$40&lt;=0)*1)/SUMPRODUCT((Procurement_Register!$C$9:$C$40*($K$9:$K$40&lt;&gt;""))))</f>
        <v>0.5</v>
      </c>
      <c r="E45" s="143"/>
      <c r="F45" s="53" t="s">
        <v>863</v>
      </c>
      <c r="G45" s="53"/>
      <c r="H45" s="53"/>
      <c r="I45" s="164" t="n">
        <f aca="false">SUMPRODUCT(Procurement_Register!$C$9:$C$40,($Q$9:$Q$40&gt;0)*1)</f>
        <v>8</v>
      </c>
      <c r="J45" s="164"/>
      <c r="K45" s="5"/>
      <c r="L45" s="5"/>
      <c r="M45" s="5"/>
      <c r="N45" s="53" t="s">
        <v>864</v>
      </c>
      <c r="O45" s="53"/>
      <c r="P45" s="53"/>
      <c r="Q45" s="170" t="n">
        <f aca="false">IF(SUMPRODUCT(Procurement_Register!$C$9:$C$40)=0,0,SUMPRODUCT(Procurement_Register!$C$9:$C$40,$Q$9:$Q$40)/SUMPRODUCT(Procurement_Register!$C$9:$C$40))</f>
        <v>6</v>
      </c>
      <c r="R45" s="170"/>
      <c r="S45" s="5"/>
      <c r="T45" s="5"/>
      <c r="U45" s="5"/>
    </row>
    <row r="46" customFormat="false" ht="15.75" hidden="false" customHeight="true" outlineLevel="0" collapsed="false">
      <c r="A46" s="53" t="s">
        <v>50</v>
      </c>
      <c r="B46" s="53"/>
      <c r="C46" s="53"/>
      <c r="D46" s="143" t="n">
        <f aca="false">IF(SUMPRODUCT(Procurement_Register!$C$9:$C$40)=0,0,SUMPRODUCT(Procurement_Register!$C$9:$C$40,($Q$9:$Q$40&lt;=0)*1)/SUMPRODUCT(Procurement_Register!$C$9:$C$40))</f>
        <v>0.75</v>
      </c>
      <c r="E46" s="143"/>
      <c r="F46" s="53" t="s">
        <v>865</v>
      </c>
      <c r="G46" s="53"/>
      <c r="H46" s="53"/>
      <c r="I46" s="26" t="n">
        <f aca="false">IF(SUMPRODUCT(Procurement_Register!$C$9:$C$40)=0,1,(SUMPRODUCT(Procurement_Register!$C$9:$C$40)-SUMPRODUCT(Procurement_Register!$C$9:$C$40,($Q$9:$Q$40&gt;0)*1)*0.5-SUMPRODUCT(Procurement_Register!$C$9:$C$40,($P$9:$P$40&gt;0)*1)*0.5)/SUMPRODUCT(Procurement_Register!$C$9:$C$40))</f>
        <v>0.671875</v>
      </c>
      <c r="J46" s="26"/>
      <c r="K46" s="5"/>
      <c r="L46" s="5"/>
      <c r="M46" s="5"/>
      <c r="N46" s="53" t="s">
        <v>866</v>
      </c>
      <c r="O46" s="53"/>
      <c r="P46" s="53"/>
      <c r="Q46" s="171" t="str">
        <f aca="false">IF(SUMPRODUCT(Procurement_Register!$C$9:$C$40,($F$9:$F$40="Yes")*1,($K$9:$K$40="")*1)=0,"Green",IF(SUMPRODUCT(Procurement_Register!$C$9:$C$40,($F$9:$F$40="Yes")*1,($K$9:$K$40="")*1)&lt;=3,"Amber","Red"))</f>
        <v>Red</v>
      </c>
      <c r="R46" s="171"/>
      <c r="S46" s="5"/>
      <c r="T46" s="5"/>
      <c r="U46" s="5"/>
    </row>
    <row r="47" customFormat="false" ht="15" hidden="false" customHeight="true" outlineLevel="0" collapsed="false">
      <c r="A47" s="5"/>
      <c r="B47" s="5"/>
      <c r="C47" s="5"/>
      <c r="D47" s="5"/>
      <c r="E47" s="5"/>
      <c r="F47" s="5"/>
      <c r="G47" s="5"/>
      <c r="H47" s="5"/>
      <c r="I47" s="5"/>
      <c r="J47" s="5"/>
      <c r="K47" s="5"/>
      <c r="L47" s="5"/>
      <c r="M47" s="5"/>
      <c r="N47" s="5"/>
      <c r="O47" s="5"/>
      <c r="P47" s="5"/>
      <c r="Q47" s="5"/>
      <c r="R47" s="5"/>
      <c r="S47" s="5"/>
      <c r="T47" s="5"/>
      <c r="U47" s="5"/>
    </row>
    <row r="48" customFormat="false" ht="25.5" hidden="false" customHeight="true" outlineLevel="0" collapsed="false">
      <c r="A48" s="58" t="s">
        <v>867</v>
      </c>
      <c r="B48" s="58"/>
      <c r="C48" s="58"/>
      <c r="D48" s="58"/>
      <c r="E48" s="58"/>
      <c r="F48" s="58"/>
      <c r="G48" s="58"/>
      <c r="H48" s="58"/>
      <c r="I48" s="58"/>
      <c r="J48" s="58"/>
      <c r="K48" s="58"/>
      <c r="L48" s="58"/>
      <c r="M48" s="58"/>
      <c r="N48" s="58"/>
      <c r="O48" s="58"/>
      <c r="P48" s="58"/>
      <c r="Q48" s="58"/>
      <c r="R48" s="58"/>
      <c r="S48" s="58"/>
      <c r="T48" s="58"/>
      <c r="U48" s="58"/>
    </row>
  </sheetData>
  <autoFilter ref="A8:U40"/>
  <mergeCells count="27">
    <mergeCell ref="A1:U1"/>
    <mergeCell ref="A2:U2"/>
    <mergeCell ref="A3:U3"/>
    <mergeCell ref="A4:U4"/>
    <mergeCell ref="A6:U6"/>
    <mergeCell ref="A7:U7"/>
    <mergeCell ref="A41:K41"/>
    <mergeCell ref="A43:U43"/>
    <mergeCell ref="A44:C44"/>
    <mergeCell ref="D44:E44"/>
    <mergeCell ref="F44:H44"/>
    <mergeCell ref="I44:J44"/>
    <mergeCell ref="N44:P44"/>
    <mergeCell ref="Q44:R44"/>
    <mergeCell ref="A45:C45"/>
    <mergeCell ref="D45:E45"/>
    <mergeCell ref="F45:H45"/>
    <mergeCell ref="I45:J45"/>
    <mergeCell ref="N45:P45"/>
    <mergeCell ref="Q45:R45"/>
    <mergeCell ref="A46:C46"/>
    <mergeCell ref="D46:E46"/>
    <mergeCell ref="F46:H46"/>
    <mergeCell ref="I46:J46"/>
    <mergeCell ref="N46:P46"/>
    <mergeCell ref="Q46:R46"/>
    <mergeCell ref="A48:U48"/>
  </mergeCells>
  <conditionalFormatting sqref="T9:T40">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S9:S40">
    <cfRule type="cellIs" priority="5" operator="equal" aboveAverage="0" equalAverage="0" bottom="0" percent="0" rank="0" text="" dxfId="0">
      <formula>"Completed"</formula>
    </cfRule>
    <cfRule type="cellIs" priority="6" operator="equal" aboveAverage="0" equalAverage="0" bottom="0" percent="0" rank="0" text="" dxfId="0">
      <formula>"In Progress"</formula>
    </cfRule>
    <cfRule type="cellIs" priority="7" operator="equal" aboveAverage="0" equalAverage="0" bottom="0" percent="0" rank="0" text="" dxfId="1">
      <formula>"Awarded"</formula>
    </cfRule>
    <cfRule type="cellIs" priority="8" operator="equal" aboveAverage="0" equalAverage="0" bottom="0" percent="0" rank="0" text="" dxfId="1">
      <formula>"Award Recommended"</formula>
    </cfRule>
    <cfRule type="cellIs" priority="9" operator="equal" aboveAverage="0" equalAverage="0" bottom="0" percent="0" rank="0" text="" dxfId="1">
      <formula>"Bid Evaluation"</formula>
    </cfRule>
    <cfRule type="cellIs" priority="10" operator="equal" aboveAverage="0" equalAverage="0" bottom="0" percent="0" rank="0" text="" dxfId="2">
      <formula>"Tender Preparation"</formula>
    </cfRule>
    <cfRule type="cellIs" priority="11" operator="equal" aboveAverage="0" equalAverage="0" bottom="0" percent="0" rank="0" text="" dxfId="2">
      <formula>"Tender Issued"</formula>
    </cfRule>
  </conditionalFormatting>
  <conditionalFormatting sqref="C9:C40">
    <cfRule type="cellIs" priority="12" operator="equal" aboveAverage="0" equalAverage="0" bottom="0" percent="0" rank="0" text="" dxfId="0">
      <formula>"1"</formula>
    </cfRule>
  </conditionalFormatting>
  <conditionalFormatting sqref="Q46:U46">
    <cfRule type="cellIs" priority="13" operator="equal" aboveAverage="0" equalAverage="0" bottom="0" percent="0" rank="0" text="" dxfId="0">
      <formula>"Green"</formula>
    </cfRule>
    <cfRule type="cellIs" priority="14" operator="equal" aboveAverage="0" equalAverage="0" bottom="0" percent="0" rank="0" text="" dxfId="1">
      <formula>"Amber"</formula>
    </cfRule>
    <cfRule type="cellIs" priority="15" operator="equal" aboveAverage="0" equalAverage="0" bottom="0" percent="0" rank="0" text="" dxfId="2">
      <formula>"Red"</formula>
    </cfRule>
  </conditionalFormatting>
  <dataValidations count="3">
    <dataValidation allowBlank="true" errorStyle="stop" operator="between" showDropDown="false" showErrorMessage="false" showInputMessage="false" sqref="S9:S40" type="list">
      <formula1>"Tender Preparation,Tender Issued,Bid Evaluation,Award Recommended,Awarded,In Progress,Completed"</formula1>
      <formula2>0</formula2>
    </dataValidation>
    <dataValidation allowBlank="true" errorStyle="stop" operator="between" showDropDown="false" showErrorMessage="false" showInputMessage="false" sqref="F9:F40" type="list">
      <formula1>"Yes,No"</formula1>
      <formula2>0</formula2>
    </dataValidation>
    <dataValidation allowBlank="true" errorStyle="stop" operator="between" showDropDown="false" showErrorMessage="false" showInputMessage="false" sqref="A9:A40"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R6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4" min="4" style="1" width="44"/>
    <col collapsed="false" customWidth="true" hidden="false" outlineLevel="0" max="5" min="5" style="1" width="17"/>
    <col collapsed="false" customWidth="true" hidden="false" outlineLevel="0" max="6" min="6" style="1" width="9"/>
    <col collapsed="false" customWidth="true" hidden="false" outlineLevel="0" max="10" min="7" style="1" width="10"/>
    <col collapsed="false" customWidth="true" hidden="false" outlineLevel="0" max="13" min="11" style="1" width="13"/>
    <col collapsed="false" customWidth="true" hidden="false" outlineLevel="0" max="14" min="14" style="1" width="12"/>
    <col collapsed="false" customWidth="true" hidden="false" outlineLevel="0" max="15" min="15" style="1" width="15"/>
    <col collapsed="false" customWidth="true" hidden="false" outlineLevel="0" max="16" min="16" style="1" width="7"/>
  </cols>
  <sheetData>
    <row r="1" customFormat="false" ht="7.5" hidden="false" customHeight="true" outlineLevel="0" collapsed="false">
      <c r="A1" s="2"/>
      <c r="B1" s="2"/>
      <c r="C1" s="2"/>
      <c r="D1" s="2"/>
      <c r="E1" s="2"/>
      <c r="F1" s="2"/>
      <c r="G1" s="2"/>
      <c r="H1" s="2"/>
      <c r="I1" s="2"/>
      <c r="J1" s="2"/>
      <c r="K1" s="2"/>
      <c r="L1" s="2"/>
      <c r="M1" s="2"/>
      <c r="N1" s="2"/>
      <c r="O1" s="2"/>
      <c r="P1" s="2"/>
      <c r="Q1" s="5"/>
      <c r="R1" s="5"/>
    </row>
    <row r="2" customFormat="false" ht="30" hidden="false" customHeight="true" outlineLevel="0" collapsed="false">
      <c r="A2" s="59" t="s">
        <v>868</v>
      </c>
      <c r="B2" s="59"/>
      <c r="C2" s="59"/>
      <c r="D2" s="59"/>
      <c r="E2" s="59"/>
      <c r="F2" s="59"/>
      <c r="G2" s="59"/>
      <c r="H2" s="59"/>
      <c r="I2" s="59"/>
      <c r="J2" s="59"/>
      <c r="K2" s="59"/>
      <c r="L2" s="59"/>
      <c r="M2" s="59"/>
      <c r="N2" s="59"/>
      <c r="O2" s="59"/>
      <c r="P2" s="59"/>
      <c r="Q2" s="5"/>
      <c r="R2" s="5"/>
    </row>
    <row r="3" customFormat="false" ht="16.5" hidden="false" customHeight="true" outlineLevel="0" collapsed="false">
      <c r="A3" s="60" t="s">
        <v>869</v>
      </c>
      <c r="B3" s="60"/>
      <c r="C3" s="60"/>
      <c r="D3" s="60"/>
      <c r="E3" s="60"/>
      <c r="F3" s="60"/>
      <c r="G3" s="60"/>
      <c r="H3" s="60"/>
      <c r="I3" s="60"/>
      <c r="J3" s="60"/>
      <c r="K3" s="60"/>
      <c r="L3" s="60"/>
      <c r="M3" s="60"/>
      <c r="N3" s="60"/>
      <c r="O3" s="60"/>
      <c r="P3" s="60"/>
      <c r="Q3" s="5"/>
      <c r="R3" s="5"/>
    </row>
    <row r="4" customFormat="false" ht="15" hidden="false" customHeight="true" outlineLevel="0" collapsed="false">
      <c r="A4" s="61" t="s">
        <v>870</v>
      </c>
      <c r="B4" s="61"/>
      <c r="C4" s="61"/>
      <c r="D4" s="61"/>
      <c r="E4" s="61"/>
      <c r="F4" s="61"/>
      <c r="G4" s="61"/>
      <c r="H4" s="61"/>
      <c r="I4" s="61"/>
      <c r="J4" s="61"/>
      <c r="K4" s="61"/>
      <c r="L4" s="61"/>
      <c r="M4" s="61"/>
      <c r="N4" s="61"/>
      <c r="O4" s="61"/>
      <c r="P4" s="61"/>
      <c r="Q4" s="5"/>
      <c r="R4" s="5"/>
    </row>
    <row r="5" customFormat="false" ht="15" hidden="false" customHeight="true" outlineLevel="0" collapsed="false">
      <c r="A5" s="5"/>
      <c r="B5" s="5"/>
      <c r="C5" s="5"/>
      <c r="D5" s="5"/>
      <c r="E5" s="5"/>
      <c r="F5" s="5"/>
      <c r="G5" s="5"/>
      <c r="H5" s="5"/>
      <c r="I5" s="5"/>
      <c r="J5" s="5"/>
      <c r="K5" s="5"/>
      <c r="L5" s="5"/>
      <c r="M5" s="5"/>
      <c r="N5" s="5"/>
      <c r="O5" s="5"/>
      <c r="P5" s="5"/>
      <c r="Q5" s="5"/>
      <c r="R5" s="5"/>
    </row>
    <row r="6" customFormat="false" ht="19.5" hidden="false" customHeight="true" outlineLevel="0" collapsed="false">
      <c r="A6" s="13" t="s">
        <v>871</v>
      </c>
      <c r="B6" s="13"/>
      <c r="C6" s="13"/>
      <c r="D6" s="13"/>
      <c r="E6" s="13"/>
      <c r="F6" s="13"/>
      <c r="G6" s="13"/>
      <c r="H6" s="13"/>
      <c r="I6" s="13"/>
      <c r="J6" s="13"/>
      <c r="K6" s="13"/>
      <c r="L6" s="13"/>
      <c r="M6" s="13"/>
      <c r="N6" s="13"/>
      <c r="O6" s="13"/>
      <c r="P6" s="13"/>
      <c r="Q6" s="5"/>
      <c r="R6" s="5"/>
    </row>
    <row r="7" customFormat="false" ht="15" hidden="false" customHeight="true" outlineLevel="0" collapsed="false">
      <c r="A7" s="5"/>
      <c r="B7" s="5"/>
      <c r="C7" s="5"/>
      <c r="D7" s="5"/>
      <c r="E7" s="5"/>
      <c r="F7" s="5"/>
      <c r="G7" s="5"/>
      <c r="H7" s="5"/>
      <c r="I7" s="5"/>
      <c r="J7" s="5"/>
      <c r="K7" s="5"/>
      <c r="L7" s="5"/>
      <c r="M7" s="5"/>
      <c r="N7" s="5"/>
      <c r="O7" s="5"/>
      <c r="P7" s="5"/>
      <c r="Q7" s="5"/>
      <c r="R7" s="5"/>
    </row>
    <row r="8" customFormat="false" ht="39.75" hidden="false" customHeight="true" outlineLevel="0" collapsed="false">
      <c r="A8" s="23" t="s">
        <v>256</v>
      </c>
      <c r="B8" s="23" t="s">
        <v>5</v>
      </c>
      <c r="C8" s="23" t="s">
        <v>289</v>
      </c>
      <c r="D8" s="23" t="s">
        <v>872</v>
      </c>
      <c r="E8" s="23" t="s">
        <v>873</v>
      </c>
      <c r="F8" s="23" t="s">
        <v>874</v>
      </c>
      <c r="G8" s="23" t="s">
        <v>875</v>
      </c>
      <c r="H8" s="23" t="s">
        <v>876</v>
      </c>
      <c r="I8" s="23" t="s">
        <v>877</v>
      </c>
      <c r="J8" s="23" t="s">
        <v>878</v>
      </c>
      <c r="K8" s="23" t="s">
        <v>879</v>
      </c>
      <c r="L8" s="23" t="s">
        <v>880</v>
      </c>
      <c r="M8" s="23" t="s">
        <v>881</v>
      </c>
      <c r="N8" s="23" t="s">
        <v>882</v>
      </c>
      <c r="O8" s="23" t="s">
        <v>883</v>
      </c>
      <c r="P8" s="23" t="s">
        <v>288</v>
      </c>
      <c r="Q8" s="5"/>
      <c r="R8" s="5"/>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30" t="s">
        <v>884</v>
      </c>
      <c r="E9" s="30" t="s">
        <v>885</v>
      </c>
      <c r="F9" s="46" t="s">
        <v>886</v>
      </c>
      <c r="G9" s="86" t="n">
        <f aca="false">'PT_RES-01'!$E$83</f>
        <v>2</v>
      </c>
      <c r="H9" s="86" t="n">
        <f aca="false">'PT_RES-01'!$F$83</f>
        <v>2</v>
      </c>
      <c r="I9" s="31" t="n">
        <f aca="false">$H9-$G9</f>
        <v>0</v>
      </c>
      <c r="J9" s="87" t="n">
        <f aca="false">IF($G9=0,1,$H9/$G9)</f>
        <v>1</v>
      </c>
      <c r="K9" s="92" t="n">
        <v>1379</v>
      </c>
      <c r="L9" s="86" t="n">
        <f aca="false">'PT_RES-01'!$H$83</f>
        <v>1394</v>
      </c>
      <c r="M9" s="86" t="n">
        <f aca="false">'PT_RES-01'!$I$83</f>
        <v>1340</v>
      </c>
      <c r="N9" s="87" t="n">
        <f aca="false">IF($L9=0,0,$M9/$L9)</f>
        <v>0.961262553802009</v>
      </c>
      <c r="O9" s="45" t="str">
        <f aca="false">IF($I9&gt;=0,"At Plan",IF($I9&gt;=-5,"Minor Shortfall","Critical Shortfall"))</f>
        <v>At Plan</v>
      </c>
      <c r="P9" s="46" t="str">
        <f aca="false">IF(AND($J9&gt;=0.95,$N9&gt;=0.85),"Green",IF(OR($J9&lt;0.8,$N9&lt;0.7),"Red","Amber"))</f>
        <v>Green</v>
      </c>
      <c r="Q9" s="5"/>
      <c r="R9" s="5"/>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37" t="s">
        <v>887</v>
      </c>
      <c r="E10" s="37" t="s">
        <v>885</v>
      </c>
      <c r="F10" s="52" t="s">
        <v>886</v>
      </c>
      <c r="G10" s="99" t="n">
        <f aca="false">'PT_RES-01'!$E$84</f>
        <v>1</v>
      </c>
      <c r="H10" s="99" t="n">
        <f aca="false">'PT_RES-01'!$F$84</f>
        <v>1</v>
      </c>
      <c r="I10" s="49" t="n">
        <f aca="false">$H10-$G10</f>
        <v>0</v>
      </c>
      <c r="J10" s="100" t="n">
        <f aca="false">IF($G10=0,1,$H10/$G10)</f>
        <v>1</v>
      </c>
      <c r="K10" s="99" t="n">
        <v>644</v>
      </c>
      <c r="L10" s="99" t="n">
        <f aca="false">'PT_RES-01'!$H$84</f>
        <v>650</v>
      </c>
      <c r="M10" s="99" t="n">
        <f aca="false">'PT_RES-01'!$I$84</f>
        <v>625</v>
      </c>
      <c r="N10" s="100" t="n">
        <f aca="false">IF($L10=0,0,$M10/$L10)</f>
        <v>0.961538461538462</v>
      </c>
      <c r="O10" s="51" t="str">
        <f aca="false">IF($I10&gt;=0,"At Plan",IF($I10&gt;=-5,"Minor Shortfall","Critical Shortfall"))</f>
        <v>At Plan</v>
      </c>
      <c r="P10" s="52" t="str">
        <f aca="false">IF(AND($J10&gt;=0.95,$N10&gt;=0.85),"Green",IF(OR($J10&lt;0.8,$N10&lt;0.7),"Red","Amber"))</f>
        <v>Green</v>
      </c>
      <c r="Q10" s="5"/>
      <c r="R10" s="5"/>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30" t="s">
        <v>888</v>
      </c>
      <c r="E11" s="30" t="s">
        <v>889</v>
      </c>
      <c r="F11" s="46" t="s">
        <v>890</v>
      </c>
      <c r="G11" s="86" t="n">
        <f aca="false">'PT_RES-01'!$E$85</f>
        <v>2</v>
      </c>
      <c r="H11" s="86" t="n">
        <f aca="false">'PT_RES-01'!$F$85</f>
        <v>2</v>
      </c>
      <c r="I11" s="31" t="n">
        <f aca="false">$H11-$G11</f>
        <v>0</v>
      </c>
      <c r="J11" s="87" t="n">
        <f aca="false">IF($G11=0,1,$H11/$G11)</f>
        <v>1</v>
      </c>
      <c r="K11" s="92" t="n">
        <v>1839</v>
      </c>
      <c r="L11" s="86" t="n">
        <f aca="false">'PT_RES-01'!$H$85</f>
        <v>1994</v>
      </c>
      <c r="M11" s="86" t="n">
        <f aca="false">'PT_RES-01'!$I$85</f>
        <v>1813</v>
      </c>
      <c r="N11" s="87" t="n">
        <f aca="false">IF($L11=0,0,$M11/$L11)</f>
        <v>0.909227683049148</v>
      </c>
      <c r="O11" s="45" t="str">
        <f aca="false">IF($I11&gt;=0,"At Plan",IF($I11&gt;=-5,"Minor Shortfall","Critical Shortfall"))</f>
        <v>At Plan</v>
      </c>
      <c r="P11" s="46" t="str">
        <f aca="false">IF(AND($J11&gt;=0.95,$N11&gt;=0.85),"Green",IF(OR($J11&lt;0.8,$N11&lt;0.7),"Red","Amber"))</f>
        <v>Green</v>
      </c>
      <c r="Q11" s="5"/>
      <c r="R11" s="5"/>
    </row>
    <row r="12" customFormat="false" ht="13.5" hidden="false" customHeight="true" outlineLevel="0" collapsed="false">
      <c r="A12" s="47" t="s">
        <v>8</v>
      </c>
      <c r="B12" s="154" t="str">
        <f aca="false">IFERROR(INDEX(Projects!$C$9:$C$16,MATCH($A12,Projects!$A$9:$A$16,0)),"")</f>
        <v>Residential</v>
      </c>
      <c r="C12" s="155" t="n">
        <f aca="false">IF(Dashboard!$C$6="Corporate",1,IF(Dashboard!$C$6="Project",IF($A12=Dashboard!$M$6,1,0),IF($B12=Dashboard!$H$6,1,0)))</f>
        <v>1</v>
      </c>
      <c r="D12" s="37" t="s">
        <v>891</v>
      </c>
      <c r="E12" s="37" t="s">
        <v>889</v>
      </c>
      <c r="F12" s="52" t="s">
        <v>890</v>
      </c>
      <c r="G12" s="99" t="n">
        <f aca="false">'PT_RES-01'!$E$86</f>
        <v>7</v>
      </c>
      <c r="H12" s="99" t="n">
        <f aca="false">'PT_RES-01'!$F$86</f>
        <v>7</v>
      </c>
      <c r="I12" s="49" t="n">
        <f aca="false">$H12-$G12</f>
        <v>0</v>
      </c>
      <c r="J12" s="100" t="n">
        <f aca="false">IF($G12=0,1,$H12/$G12)</f>
        <v>1</v>
      </c>
      <c r="K12" s="99" t="n">
        <v>6207</v>
      </c>
      <c r="L12" s="99" t="n">
        <f aca="false">'PT_RES-01'!$H$86</f>
        <v>6729</v>
      </c>
      <c r="M12" s="99" t="n">
        <f aca="false">'PT_RES-01'!$I$86</f>
        <v>6117</v>
      </c>
      <c r="N12" s="100" t="n">
        <f aca="false">IF($L12=0,0,$M12/$L12)</f>
        <v>0.909050378956754</v>
      </c>
      <c r="O12" s="51" t="str">
        <f aca="false">IF($I12&gt;=0,"At Plan",IF($I12&gt;=-5,"Minor Shortfall","Critical Shortfall"))</f>
        <v>At Plan</v>
      </c>
      <c r="P12" s="52" t="str">
        <f aca="false">IF(AND($J12&gt;=0.95,$N12&gt;=0.85),"Green",IF(OR($J12&lt;0.8,$N12&lt;0.7),"Red","Amber"))</f>
        <v>Green</v>
      </c>
      <c r="Q12" s="5"/>
      <c r="R12" s="5"/>
    </row>
    <row r="13" customFormat="false" ht="13.5" hidden="false" customHeight="true" outlineLevel="0" collapsed="false">
      <c r="A13" s="149" t="s">
        <v>8</v>
      </c>
      <c r="B13" s="150" t="str">
        <f aca="false">IFERROR(INDEX(Projects!$C$9:$C$16,MATCH($A13,Projects!$A$9:$A$16,0)),"")</f>
        <v>Residential</v>
      </c>
      <c r="C13" s="94" t="n">
        <f aca="false">IF(Dashboard!$C$6="Corporate",1,IF(Dashboard!$C$6="Project",IF($A13=Dashboard!$M$6,1,0),IF($B13=Dashboard!$H$6,1,0)))</f>
        <v>1</v>
      </c>
      <c r="D13" s="30" t="s">
        <v>892</v>
      </c>
      <c r="E13" s="30" t="s">
        <v>889</v>
      </c>
      <c r="F13" s="46" t="s">
        <v>890</v>
      </c>
      <c r="G13" s="86" t="n">
        <f aca="false">'PT_RES-01'!$E$87</f>
        <v>28</v>
      </c>
      <c r="H13" s="86" t="n">
        <f aca="false">'PT_RES-01'!$F$87</f>
        <v>27</v>
      </c>
      <c r="I13" s="31" t="n">
        <f aca="false">$H13-$G13</f>
        <v>-1</v>
      </c>
      <c r="J13" s="87" t="n">
        <f aca="false">IF($G13=0,1,$H13/$G13)</f>
        <v>0.964285714285714</v>
      </c>
      <c r="K13" s="92" t="n">
        <v>24370</v>
      </c>
      <c r="L13" s="86" t="n">
        <f aca="false">'PT_RES-01'!$H$87</f>
        <v>26450</v>
      </c>
      <c r="M13" s="86" t="n">
        <f aca="false">'PT_RES-01'!$I$87</f>
        <v>24045</v>
      </c>
      <c r="N13" s="87" t="n">
        <f aca="false">IF($L13=0,0,$M13/$L13)</f>
        <v>0.909073724007562</v>
      </c>
      <c r="O13" s="45" t="str">
        <f aca="false">IF($I13&gt;=0,"At Plan",IF($I13&gt;=-5,"Minor Shortfall","Critical Shortfall"))</f>
        <v>Minor Shortfall</v>
      </c>
      <c r="P13" s="46" t="str">
        <f aca="false">IF(AND($J13&gt;=0.95,$N13&gt;=0.85),"Green",IF(OR($J13&lt;0.8,$N13&lt;0.7),"Red","Amber"))</f>
        <v>Green</v>
      </c>
      <c r="Q13" s="5"/>
      <c r="R13" s="5"/>
    </row>
    <row r="14" customFormat="false" ht="13.5" hidden="false" customHeight="true" outlineLevel="0" collapsed="false">
      <c r="A14" s="47" t="s">
        <v>8</v>
      </c>
      <c r="B14" s="154" t="str">
        <f aca="false">IFERROR(INDEX(Projects!$C$9:$C$16,MATCH($A14,Projects!$A$9:$A$16,0)),"")</f>
        <v>Residential</v>
      </c>
      <c r="C14" s="155" t="n">
        <f aca="false">IF(Dashboard!$C$6="Corporate",1,IF(Dashboard!$C$6="Project",IF($A14=Dashboard!$M$6,1,0),IF($B14=Dashboard!$H$6,1,0)))</f>
        <v>1</v>
      </c>
      <c r="D14" s="37" t="s">
        <v>893</v>
      </c>
      <c r="E14" s="37" t="s">
        <v>889</v>
      </c>
      <c r="F14" s="52" t="s">
        <v>890</v>
      </c>
      <c r="G14" s="99" t="n">
        <f aca="false">'PT_RES-01'!$E$88</f>
        <v>13</v>
      </c>
      <c r="H14" s="99" t="n">
        <f aca="false">'PT_RES-01'!$F$88</f>
        <v>13</v>
      </c>
      <c r="I14" s="49" t="n">
        <f aca="false">$H14-$G14</f>
        <v>0</v>
      </c>
      <c r="J14" s="100" t="n">
        <f aca="false">IF($G14=0,1,$H14/$G14)</f>
        <v>1</v>
      </c>
      <c r="K14" s="99" t="n">
        <v>11541</v>
      </c>
      <c r="L14" s="99" t="n">
        <f aca="false">'PT_RES-01'!$H$88</f>
        <v>12511</v>
      </c>
      <c r="M14" s="99" t="n">
        <f aca="false">'PT_RES-01'!$I$88</f>
        <v>11374</v>
      </c>
      <c r="N14" s="100" t="n">
        <f aca="false">IF($L14=0,0,$M14/$L14)</f>
        <v>0.909119974422508</v>
      </c>
      <c r="O14" s="51" t="str">
        <f aca="false">IF($I14&gt;=0,"At Plan",IF($I14&gt;=-5,"Minor Shortfall","Critical Shortfall"))</f>
        <v>At Plan</v>
      </c>
      <c r="P14" s="52" t="str">
        <f aca="false">IF(AND($J14&gt;=0.95,$N14&gt;=0.85),"Green",IF(OR($J14&lt;0.8,$N14&lt;0.7),"Red","Amber"))</f>
        <v>Green</v>
      </c>
      <c r="Q14" s="5"/>
      <c r="R14" s="5"/>
    </row>
    <row r="15" customFormat="false" ht="13.5" hidden="false" customHeight="true" outlineLevel="0" collapsed="false">
      <c r="A15" s="149" t="s">
        <v>293</v>
      </c>
      <c r="B15" s="150" t="str">
        <f aca="false">IFERROR(INDEX(Projects!$C$9:$C$16,MATCH($A15,Projects!$A$9:$A$16,0)),"")</f>
        <v>Residential</v>
      </c>
      <c r="C15" s="94" t="n">
        <f aca="false">IF(Dashboard!$C$6="Corporate",1,IF(Dashboard!$C$6="Project",IF($A15=Dashboard!$M$6,1,0),IF($B15=Dashboard!$H$6,1,0)))</f>
        <v>1</v>
      </c>
      <c r="D15" s="30" t="s">
        <v>884</v>
      </c>
      <c r="E15" s="30" t="s">
        <v>885</v>
      </c>
      <c r="F15" s="46" t="s">
        <v>886</v>
      </c>
      <c r="G15" s="86" t="n">
        <f aca="false">'PT_RES-02'!$E$83</f>
        <v>1</v>
      </c>
      <c r="H15" s="86" t="n">
        <f aca="false">'PT_RES-02'!$F$83</f>
        <v>1</v>
      </c>
      <c r="I15" s="31" t="n">
        <f aca="false">$H15-$G15</f>
        <v>0</v>
      </c>
      <c r="J15" s="87" t="n">
        <f aca="false">IF($G15=0,1,$H15/$G15)</f>
        <v>1</v>
      </c>
      <c r="K15" s="92" t="n">
        <v>387</v>
      </c>
      <c r="L15" s="86" t="n">
        <f aca="false">'PT_RES-02'!$H$83</f>
        <v>366</v>
      </c>
      <c r="M15" s="86" t="n">
        <f aca="false">'PT_RES-02'!$I$83</f>
        <v>352</v>
      </c>
      <c r="N15" s="87" t="n">
        <f aca="false">IF($L15=0,0,$M15/$L15)</f>
        <v>0.961748633879781</v>
      </c>
      <c r="O15" s="45" t="str">
        <f aca="false">IF($I15&gt;=0,"At Plan",IF($I15&gt;=-5,"Minor Shortfall","Critical Shortfall"))</f>
        <v>At Plan</v>
      </c>
      <c r="P15" s="46" t="str">
        <f aca="false">IF(AND($J15&gt;=0.95,$N15&gt;=0.85),"Green",IF(OR($J15&lt;0.8,$N15&lt;0.7),"Red","Amber"))</f>
        <v>Green</v>
      </c>
      <c r="Q15" s="5"/>
      <c r="R15" s="5"/>
    </row>
    <row r="16" customFormat="false" ht="13.5" hidden="false" customHeight="true" outlineLevel="0" collapsed="false">
      <c r="A16" s="47" t="s">
        <v>293</v>
      </c>
      <c r="B16" s="154" t="str">
        <f aca="false">IFERROR(INDEX(Projects!$C$9:$C$16,MATCH($A16,Projects!$A$9:$A$16,0)),"")</f>
        <v>Residential</v>
      </c>
      <c r="C16" s="155" t="n">
        <f aca="false">IF(Dashboard!$C$6="Corporate",1,IF(Dashboard!$C$6="Project",IF($A16=Dashboard!$M$6,1,0),IF($B16=Dashboard!$H$6,1,0)))</f>
        <v>1</v>
      </c>
      <c r="D16" s="37" t="s">
        <v>887</v>
      </c>
      <c r="E16" s="37" t="s">
        <v>885</v>
      </c>
      <c r="F16" s="52" t="s">
        <v>886</v>
      </c>
      <c r="G16" s="99" t="n">
        <f aca="false">'PT_RES-02'!$E$84</f>
        <v>1</v>
      </c>
      <c r="H16" s="99" t="n">
        <f aca="false">'PT_RES-02'!$F$84</f>
        <v>0</v>
      </c>
      <c r="I16" s="49" t="n">
        <f aca="false">$H16-$G16</f>
        <v>-1</v>
      </c>
      <c r="J16" s="100" t="n">
        <f aca="false">IF($G16=0,1,$H16/$G16)</f>
        <v>0</v>
      </c>
      <c r="K16" s="99" t="n">
        <v>180</v>
      </c>
      <c r="L16" s="99" t="n">
        <f aca="false">'PT_RES-02'!$H$84</f>
        <v>171</v>
      </c>
      <c r="M16" s="99" t="n">
        <f aca="false">'PT_RES-02'!$I$84</f>
        <v>164</v>
      </c>
      <c r="N16" s="100" t="n">
        <f aca="false">IF($L16=0,0,$M16/$L16)</f>
        <v>0.95906432748538</v>
      </c>
      <c r="O16" s="51" t="str">
        <f aca="false">IF($I16&gt;=0,"At Plan",IF($I16&gt;=-5,"Minor Shortfall","Critical Shortfall"))</f>
        <v>Minor Shortfall</v>
      </c>
      <c r="P16" s="52" t="str">
        <f aca="false">IF(AND($J16&gt;=0.95,$N16&gt;=0.85),"Green",IF(OR($J16&lt;0.8,$N16&lt;0.7),"Red","Amber"))</f>
        <v>Red</v>
      </c>
      <c r="Q16" s="5"/>
      <c r="R16" s="5"/>
    </row>
    <row r="17" customFormat="false" ht="13.5" hidden="false" customHeight="true" outlineLevel="0" collapsed="false">
      <c r="A17" s="149" t="s">
        <v>293</v>
      </c>
      <c r="B17" s="150" t="str">
        <f aca="false">IFERROR(INDEX(Projects!$C$9:$C$16,MATCH($A17,Projects!$A$9:$A$16,0)),"")</f>
        <v>Residential</v>
      </c>
      <c r="C17" s="94" t="n">
        <f aca="false">IF(Dashboard!$C$6="Corporate",1,IF(Dashboard!$C$6="Project",IF($A17=Dashboard!$M$6,1,0),IF($B17=Dashboard!$H$6,1,0)))</f>
        <v>1</v>
      </c>
      <c r="D17" s="30" t="s">
        <v>888</v>
      </c>
      <c r="E17" s="30" t="s">
        <v>889</v>
      </c>
      <c r="F17" s="46" t="s">
        <v>890</v>
      </c>
      <c r="G17" s="86" t="n">
        <f aca="false">'PT_RES-02'!$E$85</f>
        <v>1</v>
      </c>
      <c r="H17" s="86" t="n">
        <f aca="false">'PT_RES-02'!$F$85</f>
        <v>1</v>
      </c>
      <c r="I17" s="31" t="n">
        <f aca="false">$H17-$G17</f>
        <v>0</v>
      </c>
      <c r="J17" s="87" t="n">
        <f aca="false">IF($G17=0,1,$H17/$G17)</f>
        <v>1</v>
      </c>
      <c r="K17" s="92" t="n">
        <v>515</v>
      </c>
      <c r="L17" s="86" t="n">
        <f aca="false">'PT_RES-02'!$H$85</f>
        <v>541</v>
      </c>
      <c r="M17" s="86" t="n">
        <f aca="false">'PT_RES-02'!$I$85</f>
        <v>492</v>
      </c>
      <c r="N17" s="87" t="n">
        <f aca="false">IF($L17=0,0,$M17/$L17)</f>
        <v>0.909426987060998</v>
      </c>
      <c r="O17" s="45" t="str">
        <f aca="false">IF($I17&gt;=0,"At Plan",IF($I17&gt;=-5,"Minor Shortfall","Critical Shortfall"))</f>
        <v>At Plan</v>
      </c>
      <c r="P17" s="46" t="str">
        <f aca="false">IF(AND($J17&gt;=0.95,$N17&gt;=0.85),"Green",IF(OR($J17&lt;0.8,$N17&lt;0.7),"Red","Amber"))</f>
        <v>Green</v>
      </c>
      <c r="Q17" s="5"/>
      <c r="R17" s="5"/>
    </row>
    <row r="18" customFormat="false" ht="13.5" hidden="false" customHeight="true" outlineLevel="0" collapsed="false">
      <c r="A18" s="47" t="s">
        <v>293</v>
      </c>
      <c r="B18" s="154" t="str">
        <f aca="false">IFERROR(INDEX(Projects!$C$9:$C$16,MATCH($A18,Projects!$A$9:$A$16,0)),"")</f>
        <v>Residential</v>
      </c>
      <c r="C18" s="155" t="n">
        <f aca="false">IF(Dashboard!$C$6="Corporate",1,IF(Dashboard!$C$6="Project",IF($A18=Dashboard!$M$6,1,0),IF($B18=Dashboard!$H$6,1,0)))</f>
        <v>1</v>
      </c>
      <c r="D18" s="37" t="s">
        <v>891</v>
      </c>
      <c r="E18" s="37" t="s">
        <v>889</v>
      </c>
      <c r="F18" s="52" t="s">
        <v>890</v>
      </c>
      <c r="G18" s="99" t="n">
        <f aca="false">'PT_RES-02'!$E$86</f>
        <v>3</v>
      </c>
      <c r="H18" s="99" t="n">
        <f aca="false">'PT_RES-02'!$F$86</f>
        <v>3</v>
      </c>
      <c r="I18" s="49" t="n">
        <f aca="false">$H18-$G18</f>
        <v>0</v>
      </c>
      <c r="J18" s="100" t="n">
        <f aca="false">IF($G18=0,1,$H18/$G18)</f>
        <v>1</v>
      </c>
      <c r="K18" s="99" t="n">
        <v>1740</v>
      </c>
      <c r="L18" s="99" t="n">
        <f aca="false">'PT_RES-02'!$H$86</f>
        <v>1826</v>
      </c>
      <c r="M18" s="99" t="n">
        <f aca="false">'PT_RES-02'!$I$86</f>
        <v>1660</v>
      </c>
      <c r="N18" s="100" t="n">
        <f aca="false">IF($L18=0,0,$M18/$L18)</f>
        <v>0.909090909090909</v>
      </c>
      <c r="O18" s="51" t="str">
        <f aca="false">IF($I18&gt;=0,"At Plan",IF($I18&gt;=-5,"Minor Shortfall","Critical Shortfall"))</f>
        <v>At Plan</v>
      </c>
      <c r="P18" s="52" t="str">
        <f aca="false">IF(AND($J18&gt;=0.95,$N18&gt;=0.85),"Green",IF(OR($J18&lt;0.8,$N18&lt;0.7),"Red","Amber"))</f>
        <v>Green</v>
      </c>
      <c r="Q18" s="5"/>
      <c r="R18" s="5"/>
    </row>
    <row r="19" customFormat="false" ht="13.5" hidden="false" customHeight="true" outlineLevel="0" collapsed="false">
      <c r="A19" s="149" t="s">
        <v>293</v>
      </c>
      <c r="B19" s="150" t="str">
        <f aca="false">IFERROR(INDEX(Projects!$C$9:$C$16,MATCH($A19,Projects!$A$9:$A$16,0)),"")</f>
        <v>Residential</v>
      </c>
      <c r="C19" s="94" t="n">
        <f aca="false">IF(Dashboard!$C$6="Corporate",1,IF(Dashboard!$C$6="Project",IF($A19=Dashboard!$M$6,1,0),IF($B19=Dashboard!$H$6,1,0)))</f>
        <v>1</v>
      </c>
      <c r="D19" s="30" t="s">
        <v>892</v>
      </c>
      <c r="E19" s="30" t="s">
        <v>889</v>
      </c>
      <c r="F19" s="46" t="s">
        <v>890</v>
      </c>
      <c r="G19" s="86" t="n">
        <f aca="false">'PT_RES-02'!$E$87</f>
        <v>13</v>
      </c>
      <c r="H19" s="86" t="n">
        <f aca="false">'PT_RES-02'!$F$87</f>
        <v>12</v>
      </c>
      <c r="I19" s="31" t="n">
        <f aca="false">$H19-$G19</f>
        <v>-1</v>
      </c>
      <c r="J19" s="87" t="n">
        <f aca="false">IF($G19=0,1,$H19/$G19)</f>
        <v>0.923076923076923</v>
      </c>
      <c r="K19" s="92" t="n">
        <v>6830</v>
      </c>
      <c r="L19" s="86" t="n">
        <f aca="false">'PT_RES-02'!$H$87</f>
        <v>7197</v>
      </c>
      <c r="M19" s="86" t="n">
        <f aca="false">'PT_RES-02'!$I$87</f>
        <v>6543</v>
      </c>
      <c r="N19" s="87" t="n">
        <f aca="false">IF($L19=0,0,$M19/$L19)</f>
        <v>0.909128803668195</v>
      </c>
      <c r="O19" s="45" t="str">
        <f aca="false">IF($I19&gt;=0,"At Plan",IF($I19&gt;=-5,"Minor Shortfall","Critical Shortfall"))</f>
        <v>Minor Shortfall</v>
      </c>
      <c r="P19" s="46" t="str">
        <f aca="false">IF(AND($J19&gt;=0.95,$N19&gt;=0.85),"Green",IF(OR($J19&lt;0.8,$N19&lt;0.7),"Red","Amber"))</f>
        <v>Amber</v>
      </c>
      <c r="Q19" s="5"/>
      <c r="R19" s="5"/>
    </row>
    <row r="20" customFormat="false" ht="13.5" hidden="false" customHeight="true" outlineLevel="0" collapsed="false">
      <c r="A20" s="47" t="s">
        <v>293</v>
      </c>
      <c r="B20" s="154" t="str">
        <f aca="false">IFERROR(INDEX(Projects!$C$9:$C$16,MATCH($A20,Projects!$A$9:$A$16,0)),"")</f>
        <v>Residential</v>
      </c>
      <c r="C20" s="155" t="n">
        <f aca="false">IF(Dashboard!$C$6="Corporate",1,IF(Dashboard!$C$6="Project",IF($A20=Dashboard!$M$6,1,0),IF($B20=Dashboard!$H$6,1,0)))</f>
        <v>1</v>
      </c>
      <c r="D20" s="37" t="s">
        <v>893</v>
      </c>
      <c r="E20" s="37" t="s">
        <v>889</v>
      </c>
      <c r="F20" s="52" t="s">
        <v>890</v>
      </c>
      <c r="G20" s="99" t="n">
        <f aca="false">'PT_RES-02'!$E$88</f>
        <v>6</v>
      </c>
      <c r="H20" s="99" t="n">
        <f aca="false">'PT_RES-02'!$F$88</f>
        <v>6</v>
      </c>
      <c r="I20" s="49" t="n">
        <f aca="false">$H20-$G20</f>
        <v>0</v>
      </c>
      <c r="J20" s="100" t="n">
        <f aca="false">IF($G20=0,1,$H20/$G20)</f>
        <v>1</v>
      </c>
      <c r="K20" s="99" t="n">
        <v>3235</v>
      </c>
      <c r="L20" s="99" t="n">
        <f aca="false">'PT_RES-02'!$H$88</f>
        <v>3396</v>
      </c>
      <c r="M20" s="99" t="n">
        <f aca="false">'PT_RES-02'!$I$88</f>
        <v>3087</v>
      </c>
      <c r="N20" s="100" t="n">
        <f aca="false">IF($L20=0,0,$M20/$L20)</f>
        <v>0.909010600706714</v>
      </c>
      <c r="O20" s="51" t="str">
        <f aca="false">IF($I20&gt;=0,"At Plan",IF($I20&gt;=-5,"Minor Shortfall","Critical Shortfall"))</f>
        <v>At Plan</v>
      </c>
      <c r="P20" s="52" t="str">
        <f aca="false">IF(AND($J20&gt;=0.95,$N20&gt;=0.85),"Green",IF(OR($J20&lt;0.8,$N20&lt;0.7),"Red","Amber"))</f>
        <v>Green</v>
      </c>
      <c r="Q20" s="5"/>
      <c r="R20" s="5"/>
    </row>
    <row r="21" customFormat="false" ht="13.5" hidden="false" customHeight="true" outlineLevel="0" collapsed="false">
      <c r="A21" s="149" t="s">
        <v>296</v>
      </c>
      <c r="B21" s="150" t="str">
        <f aca="false">IFERROR(INDEX(Projects!$C$9:$C$16,MATCH($A21,Projects!$A$9:$A$16,0)),"")</f>
        <v>Commercial</v>
      </c>
      <c r="C21" s="94" t="n">
        <f aca="false">IF(Dashboard!$C$6="Corporate",1,IF(Dashboard!$C$6="Project",IF($A21=Dashboard!$M$6,1,0),IF($B21=Dashboard!$H$6,1,0)))</f>
        <v>1</v>
      </c>
      <c r="D21" s="30" t="s">
        <v>884</v>
      </c>
      <c r="E21" s="30" t="s">
        <v>885</v>
      </c>
      <c r="F21" s="46" t="s">
        <v>886</v>
      </c>
      <c r="G21" s="86" t="n">
        <f aca="false">'PT_COM-01'!$E$83</f>
        <v>3</v>
      </c>
      <c r="H21" s="86" t="n">
        <f aca="false">'PT_COM-01'!$F$83</f>
        <v>3</v>
      </c>
      <c r="I21" s="31" t="n">
        <f aca="false">$H21-$G21</f>
        <v>0</v>
      </c>
      <c r="J21" s="87" t="n">
        <f aca="false">IF($G21=0,1,$H21/$G21)</f>
        <v>1</v>
      </c>
      <c r="K21" s="92" t="n">
        <v>2997</v>
      </c>
      <c r="L21" s="86" t="n">
        <f aca="false">'PT_COM-01'!$H$83</f>
        <v>3172</v>
      </c>
      <c r="M21" s="86" t="n">
        <f aca="false">'PT_COM-01'!$I$83</f>
        <v>3050</v>
      </c>
      <c r="N21" s="87" t="n">
        <f aca="false">IF($L21=0,0,$M21/$L21)</f>
        <v>0.961538461538462</v>
      </c>
      <c r="O21" s="45" t="str">
        <f aca="false">IF($I21&gt;=0,"At Plan",IF($I21&gt;=-5,"Minor Shortfall","Critical Shortfall"))</f>
        <v>At Plan</v>
      </c>
      <c r="P21" s="46" t="str">
        <f aca="false">IF(AND($J21&gt;=0.95,$N21&gt;=0.85),"Green",IF(OR($J21&lt;0.8,$N21&lt;0.7),"Red","Amber"))</f>
        <v>Green</v>
      </c>
      <c r="Q21" s="5"/>
      <c r="R21" s="5"/>
    </row>
    <row r="22" customFormat="false" ht="13.5" hidden="false" customHeight="true" outlineLevel="0" collapsed="false">
      <c r="A22" s="47" t="s">
        <v>296</v>
      </c>
      <c r="B22" s="154" t="str">
        <f aca="false">IFERROR(INDEX(Projects!$C$9:$C$16,MATCH($A22,Projects!$A$9:$A$16,0)),"")</f>
        <v>Commercial</v>
      </c>
      <c r="C22" s="155" t="n">
        <f aca="false">IF(Dashboard!$C$6="Corporate",1,IF(Dashboard!$C$6="Project",IF($A22=Dashboard!$M$6,1,0),IF($B22=Dashboard!$H$6,1,0)))</f>
        <v>1</v>
      </c>
      <c r="D22" s="37" t="s">
        <v>887</v>
      </c>
      <c r="E22" s="37" t="s">
        <v>885</v>
      </c>
      <c r="F22" s="52" t="s">
        <v>886</v>
      </c>
      <c r="G22" s="99" t="n">
        <f aca="false">'PT_COM-01'!$E$84</f>
        <v>2</v>
      </c>
      <c r="H22" s="99" t="n">
        <f aca="false">'PT_COM-01'!$F$84</f>
        <v>2</v>
      </c>
      <c r="I22" s="49" t="n">
        <f aca="false">$H22-$G22</f>
        <v>0</v>
      </c>
      <c r="J22" s="100" t="n">
        <f aca="false">IF($G22=0,1,$H22/$G22)</f>
        <v>1</v>
      </c>
      <c r="K22" s="99" t="n">
        <v>1399</v>
      </c>
      <c r="L22" s="99" t="n">
        <f aca="false">'PT_COM-01'!$H$84</f>
        <v>1480</v>
      </c>
      <c r="M22" s="99" t="n">
        <f aca="false">'PT_COM-01'!$I$84</f>
        <v>1423</v>
      </c>
      <c r="N22" s="100" t="n">
        <f aca="false">IF($L22=0,0,$M22/$L22)</f>
        <v>0.961486486486487</v>
      </c>
      <c r="O22" s="51" t="str">
        <f aca="false">IF($I22&gt;=0,"At Plan",IF($I22&gt;=-5,"Minor Shortfall","Critical Shortfall"))</f>
        <v>At Plan</v>
      </c>
      <c r="P22" s="52" t="str">
        <f aca="false">IF(AND($J22&gt;=0.95,$N22&gt;=0.85),"Green",IF(OR($J22&lt;0.8,$N22&lt;0.7),"Red","Amber"))</f>
        <v>Green</v>
      </c>
      <c r="Q22" s="5"/>
      <c r="R22" s="5"/>
    </row>
    <row r="23" customFormat="false" ht="13.5" hidden="false" customHeight="true" outlineLevel="0" collapsed="false">
      <c r="A23" s="149" t="s">
        <v>296</v>
      </c>
      <c r="B23" s="150" t="str">
        <f aca="false">IFERROR(INDEX(Projects!$C$9:$C$16,MATCH($A23,Projects!$A$9:$A$16,0)),"")</f>
        <v>Commercial</v>
      </c>
      <c r="C23" s="94" t="n">
        <f aca="false">IF(Dashboard!$C$6="Corporate",1,IF(Dashboard!$C$6="Project",IF($A23=Dashboard!$M$6,1,0),IF($B23=Dashboard!$H$6,1,0)))</f>
        <v>1</v>
      </c>
      <c r="D23" s="30" t="s">
        <v>888</v>
      </c>
      <c r="E23" s="30" t="s">
        <v>889</v>
      </c>
      <c r="F23" s="46" t="s">
        <v>890</v>
      </c>
      <c r="G23" s="86" t="n">
        <f aca="false">'PT_COM-01'!$E$85</f>
        <v>5</v>
      </c>
      <c r="H23" s="86" t="n">
        <f aca="false">'PT_COM-01'!$F$85</f>
        <v>5</v>
      </c>
      <c r="I23" s="31" t="n">
        <f aca="false">$H23-$G23</f>
        <v>0</v>
      </c>
      <c r="J23" s="87" t="n">
        <f aca="false">IF($G23=0,1,$H23/$G23)</f>
        <v>1</v>
      </c>
      <c r="K23" s="92" t="n">
        <v>3996</v>
      </c>
      <c r="L23" s="86" t="n">
        <f aca="false">'PT_COM-01'!$H$85</f>
        <v>4434</v>
      </c>
      <c r="M23" s="86" t="n">
        <f aca="false">'PT_COM-01'!$I$85</f>
        <v>4031</v>
      </c>
      <c r="N23" s="87" t="n">
        <f aca="false">IF($L23=0,0,$M23/$L23)</f>
        <v>0.909111411817772</v>
      </c>
      <c r="O23" s="45" t="str">
        <f aca="false">IF($I23&gt;=0,"At Plan",IF($I23&gt;=-5,"Minor Shortfall","Critical Shortfall"))</f>
        <v>At Plan</v>
      </c>
      <c r="P23" s="46" t="str">
        <f aca="false">IF(AND($J23&gt;=0.95,$N23&gt;=0.85),"Green",IF(OR($J23&lt;0.8,$N23&lt;0.7),"Red","Amber"))</f>
        <v>Green</v>
      </c>
      <c r="Q23" s="5"/>
      <c r="R23" s="5"/>
    </row>
    <row r="24" customFormat="false" ht="13.5" hidden="false" customHeight="true" outlineLevel="0" collapsed="false">
      <c r="A24" s="47" t="s">
        <v>296</v>
      </c>
      <c r="B24" s="154" t="str">
        <f aca="false">IFERROR(INDEX(Projects!$C$9:$C$16,MATCH($A24,Projects!$A$9:$A$16,0)),"")</f>
        <v>Commercial</v>
      </c>
      <c r="C24" s="155" t="n">
        <f aca="false">IF(Dashboard!$C$6="Corporate",1,IF(Dashboard!$C$6="Project",IF($A24=Dashboard!$M$6,1,0),IF($B24=Dashboard!$H$6,1,0)))</f>
        <v>1</v>
      </c>
      <c r="D24" s="37" t="s">
        <v>891</v>
      </c>
      <c r="E24" s="37" t="s">
        <v>889</v>
      </c>
      <c r="F24" s="52" t="s">
        <v>890</v>
      </c>
      <c r="G24" s="99" t="n">
        <f aca="false">'PT_COM-01'!$E$86</f>
        <v>15</v>
      </c>
      <c r="H24" s="99" t="n">
        <f aca="false">'PT_COM-01'!$F$86</f>
        <v>15</v>
      </c>
      <c r="I24" s="49" t="n">
        <f aca="false">$H24-$G24</f>
        <v>0</v>
      </c>
      <c r="J24" s="100" t="n">
        <f aca="false">IF($G24=0,1,$H24/$G24)</f>
        <v>1</v>
      </c>
      <c r="K24" s="99" t="n">
        <v>13486</v>
      </c>
      <c r="L24" s="99" t="n">
        <f aca="false">'PT_COM-01'!$H$86</f>
        <v>14967</v>
      </c>
      <c r="M24" s="99" t="n">
        <f aca="false">'PT_COM-01'!$I$86</f>
        <v>13606</v>
      </c>
      <c r="N24" s="100" t="n">
        <f aca="false">IF($L24=0,0,$M24/$L24)</f>
        <v>0.909066613215741</v>
      </c>
      <c r="O24" s="51" t="str">
        <f aca="false">IF($I24&gt;=0,"At Plan",IF($I24&gt;=-5,"Minor Shortfall","Critical Shortfall"))</f>
        <v>At Plan</v>
      </c>
      <c r="P24" s="52" t="str">
        <f aca="false">IF(AND($J24&gt;=0.95,$N24&gt;=0.85),"Green",IF(OR($J24&lt;0.8,$N24&lt;0.7),"Red","Amber"))</f>
        <v>Green</v>
      </c>
      <c r="Q24" s="5"/>
      <c r="R24" s="5"/>
    </row>
    <row r="25" customFormat="false" ht="13.5" hidden="false" customHeight="true" outlineLevel="0" collapsed="false">
      <c r="A25" s="149" t="s">
        <v>296</v>
      </c>
      <c r="B25" s="150" t="str">
        <f aca="false">IFERROR(INDEX(Projects!$C$9:$C$16,MATCH($A25,Projects!$A$9:$A$16,0)),"")</f>
        <v>Commercial</v>
      </c>
      <c r="C25" s="94" t="n">
        <f aca="false">IF(Dashboard!$C$6="Corporate",1,IF(Dashboard!$C$6="Project",IF($A25=Dashboard!$M$6,1,0),IF($B25=Dashboard!$H$6,1,0)))</f>
        <v>1</v>
      </c>
      <c r="D25" s="30" t="s">
        <v>892</v>
      </c>
      <c r="E25" s="30" t="s">
        <v>889</v>
      </c>
      <c r="F25" s="46" t="s">
        <v>890</v>
      </c>
      <c r="G25" s="86" t="n">
        <f aca="false">'PT_COM-01'!$E$87</f>
        <v>60</v>
      </c>
      <c r="H25" s="86" t="n">
        <f aca="false">'PT_COM-01'!$F$87</f>
        <v>61</v>
      </c>
      <c r="I25" s="31" t="n">
        <f aca="false">$H25-$G25</f>
        <v>1</v>
      </c>
      <c r="J25" s="87" t="n">
        <f aca="false">IF($G25=0,1,$H25/$G25)</f>
        <v>1.01666666666667</v>
      </c>
      <c r="K25" s="92" t="n">
        <v>52946</v>
      </c>
      <c r="L25" s="86" t="n">
        <f aca="false">'PT_COM-01'!$H$87</f>
        <v>58717</v>
      </c>
      <c r="M25" s="86" t="n">
        <f aca="false">'PT_COM-01'!$I$87</f>
        <v>53379</v>
      </c>
      <c r="N25" s="87" t="n">
        <f aca="false">IF($L25=0,0,$M25/$L25)</f>
        <v>0.909089360832468</v>
      </c>
      <c r="O25" s="45" t="str">
        <f aca="false">IF($I25&gt;=0,"At Plan",IF($I25&gt;=-5,"Minor Shortfall","Critical Shortfall"))</f>
        <v>At Plan</v>
      </c>
      <c r="P25" s="46" t="str">
        <f aca="false">IF(AND($J25&gt;=0.95,$N25&gt;=0.85),"Green",IF(OR($J25&lt;0.8,$N25&lt;0.7),"Red","Amber"))</f>
        <v>Green</v>
      </c>
      <c r="Q25" s="5"/>
      <c r="R25" s="5"/>
    </row>
    <row r="26" customFormat="false" ht="13.5" hidden="false" customHeight="true" outlineLevel="0" collapsed="false">
      <c r="A26" s="47" t="s">
        <v>296</v>
      </c>
      <c r="B26" s="154" t="str">
        <f aca="false">IFERROR(INDEX(Projects!$C$9:$C$16,MATCH($A26,Projects!$A$9:$A$16,0)),"")</f>
        <v>Commercial</v>
      </c>
      <c r="C26" s="155" t="n">
        <f aca="false">IF(Dashboard!$C$6="Corporate",1,IF(Dashboard!$C$6="Project",IF($A26=Dashboard!$M$6,1,0),IF($B26=Dashboard!$H$6,1,0)))</f>
        <v>1</v>
      </c>
      <c r="D26" s="37" t="s">
        <v>893</v>
      </c>
      <c r="E26" s="37" t="s">
        <v>889</v>
      </c>
      <c r="F26" s="52" t="s">
        <v>890</v>
      </c>
      <c r="G26" s="99" t="n">
        <f aca="false">'PT_COM-01'!$E$88</f>
        <v>28</v>
      </c>
      <c r="H26" s="99" t="n">
        <f aca="false">'PT_COM-01'!$F$88</f>
        <v>29</v>
      </c>
      <c r="I26" s="49" t="n">
        <f aca="false">$H26-$G26</f>
        <v>1</v>
      </c>
      <c r="J26" s="100" t="n">
        <f aca="false">IF($G26=0,1,$H26/$G26)</f>
        <v>1.03571428571429</v>
      </c>
      <c r="K26" s="99" t="n">
        <v>25074</v>
      </c>
      <c r="L26" s="99" t="n">
        <f aca="false">'PT_COM-01'!$H$88</f>
        <v>27828</v>
      </c>
      <c r="M26" s="99" t="n">
        <f aca="false">'PT_COM-01'!$I$88</f>
        <v>25298</v>
      </c>
      <c r="N26" s="100" t="n">
        <f aca="false">IF($L26=0,0,$M26/$L26)</f>
        <v>0.909084375449188</v>
      </c>
      <c r="O26" s="51" t="str">
        <f aca="false">IF($I26&gt;=0,"At Plan",IF($I26&gt;=-5,"Minor Shortfall","Critical Shortfall"))</f>
        <v>At Plan</v>
      </c>
      <c r="P26" s="52" t="str">
        <f aca="false">IF(AND($J26&gt;=0.95,$N26&gt;=0.85),"Green",IF(OR($J26&lt;0.8,$N26&lt;0.7),"Red","Amber"))</f>
        <v>Green</v>
      </c>
      <c r="Q26" s="5"/>
      <c r="R26" s="5"/>
    </row>
    <row r="27" customFormat="false" ht="13.5" hidden="false" customHeight="true" outlineLevel="0" collapsed="false">
      <c r="A27" s="149" t="s">
        <v>298</v>
      </c>
      <c r="B27" s="150" t="str">
        <f aca="false">IFERROR(INDEX(Projects!$C$9:$C$16,MATCH($A27,Projects!$A$9:$A$16,0)),"")</f>
        <v>Commercial</v>
      </c>
      <c r="C27" s="94" t="n">
        <f aca="false">IF(Dashboard!$C$6="Corporate",1,IF(Dashboard!$C$6="Project",IF($A27=Dashboard!$M$6,1,0),IF($B27=Dashboard!$H$6,1,0)))</f>
        <v>1</v>
      </c>
      <c r="D27" s="30" t="s">
        <v>884</v>
      </c>
      <c r="E27" s="30" t="s">
        <v>885</v>
      </c>
      <c r="F27" s="46" t="s">
        <v>886</v>
      </c>
      <c r="G27" s="86" t="n">
        <f aca="false">'PT_COM-02'!$E$83</f>
        <v>3</v>
      </c>
      <c r="H27" s="86" t="n">
        <f aca="false">'PT_COM-02'!$F$83</f>
        <v>3</v>
      </c>
      <c r="I27" s="31" t="n">
        <f aca="false">$H27-$G27</f>
        <v>0</v>
      </c>
      <c r="J27" s="87" t="n">
        <f aca="false">IF($G27=0,1,$H27/$G27)</f>
        <v>1</v>
      </c>
      <c r="K27" s="92" t="n">
        <v>1812</v>
      </c>
      <c r="L27" s="86" t="n">
        <f aca="false">'PT_COM-02'!$H$83</f>
        <v>1959</v>
      </c>
      <c r="M27" s="86" t="n">
        <f aca="false">'PT_COM-02'!$I$83</f>
        <v>1884</v>
      </c>
      <c r="N27" s="87" t="n">
        <f aca="false">IF($L27=0,0,$M27/$L27)</f>
        <v>0.961715160796325</v>
      </c>
      <c r="O27" s="45" t="str">
        <f aca="false">IF($I27&gt;=0,"At Plan",IF($I27&gt;=-5,"Minor Shortfall","Critical Shortfall"))</f>
        <v>At Plan</v>
      </c>
      <c r="P27" s="46" t="str">
        <f aca="false">IF(AND($J27&gt;=0.95,$N27&gt;=0.85),"Green",IF(OR($J27&lt;0.8,$N27&lt;0.7),"Red","Amber"))</f>
        <v>Green</v>
      </c>
      <c r="Q27" s="5"/>
      <c r="R27" s="5"/>
    </row>
    <row r="28" customFormat="false" ht="13.5" hidden="false" customHeight="true" outlineLevel="0" collapsed="false">
      <c r="A28" s="47" t="s">
        <v>298</v>
      </c>
      <c r="B28" s="154" t="str">
        <f aca="false">IFERROR(INDEX(Projects!$C$9:$C$16,MATCH($A28,Projects!$A$9:$A$16,0)),"")</f>
        <v>Commercial</v>
      </c>
      <c r="C28" s="155" t="n">
        <f aca="false">IF(Dashboard!$C$6="Corporate",1,IF(Dashboard!$C$6="Project",IF($A28=Dashboard!$M$6,1,0),IF($B28=Dashboard!$H$6,1,0)))</f>
        <v>1</v>
      </c>
      <c r="D28" s="37" t="s">
        <v>887</v>
      </c>
      <c r="E28" s="37" t="s">
        <v>885</v>
      </c>
      <c r="F28" s="52" t="s">
        <v>886</v>
      </c>
      <c r="G28" s="99" t="n">
        <f aca="false">'PT_COM-02'!$E$84</f>
        <v>1</v>
      </c>
      <c r="H28" s="99" t="n">
        <f aca="false">'PT_COM-02'!$F$84</f>
        <v>1</v>
      </c>
      <c r="I28" s="49" t="n">
        <f aca="false">$H28-$G28</f>
        <v>0</v>
      </c>
      <c r="J28" s="100" t="n">
        <f aca="false">IF($G28=0,1,$H28/$G28)</f>
        <v>1</v>
      </c>
      <c r="K28" s="99" t="n">
        <v>845</v>
      </c>
      <c r="L28" s="99" t="n">
        <f aca="false">'PT_COM-02'!$H$84</f>
        <v>914</v>
      </c>
      <c r="M28" s="99" t="n">
        <f aca="false">'PT_COM-02'!$I$84</f>
        <v>879</v>
      </c>
      <c r="N28" s="100" t="n">
        <f aca="false">IF($L28=0,0,$M28/$L28)</f>
        <v>0.961706783369803</v>
      </c>
      <c r="O28" s="51" t="str">
        <f aca="false">IF($I28&gt;=0,"At Plan",IF($I28&gt;=-5,"Minor Shortfall","Critical Shortfall"))</f>
        <v>At Plan</v>
      </c>
      <c r="P28" s="52" t="str">
        <f aca="false">IF(AND($J28&gt;=0.95,$N28&gt;=0.85),"Green",IF(OR($J28&lt;0.8,$N28&lt;0.7),"Red","Amber"))</f>
        <v>Green</v>
      </c>
      <c r="Q28" s="5"/>
      <c r="R28" s="5"/>
    </row>
    <row r="29" customFormat="false" ht="13.5" hidden="false" customHeight="true" outlineLevel="0" collapsed="false">
      <c r="A29" s="149" t="s">
        <v>298</v>
      </c>
      <c r="B29" s="150" t="str">
        <f aca="false">IFERROR(INDEX(Projects!$C$9:$C$16,MATCH($A29,Projects!$A$9:$A$16,0)),"")</f>
        <v>Commercial</v>
      </c>
      <c r="C29" s="94" t="n">
        <f aca="false">IF(Dashboard!$C$6="Corporate",1,IF(Dashboard!$C$6="Project",IF($A29=Dashboard!$M$6,1,0),IF($B29=Dashboard!$H$6,1,0)))</f>
        <v>1</v>
      </c>
      <c r="D29" s="30" t="s">
        <v>888</v>
      </c>
      <c r="E29" s="30" t="s">
        <v>889</v>
      </c>
      <c r="F29" s="46" t="s">
        <v>890</v>
      </c>
      <c r="G29" s="86" t="n">
        <f aca="false">'PT_COM-02'!$E$85</f>
        <v>3</v>
      </c>
      <c r="H29" s="86" t="n">
        <f aca="false">'PT_COM-02'!$F$85</f>
        <v>4</v>
      </c>
      <c r="I29" s="31" t="n">
        <f aca="false">$H29-$G29</f>
        <v>1</v>
      </c>
      <c r="J29" s="87" t="n">
        <f aca="false">IF($G29=0,1,$H29/$G29)</f>
        <v>1.33333333333333</v>
      </c>
      <c r="K29" s="92" t="n">
        <v>2416</v>
      </c>
      <c r="L29" s="86" t="n">
        <f aca="false">'PT_COM-02'!$H$85</f>
        <v>2710</v>
      </c>
      <c r="M29" s="86" t="n">
        <f aca="false">'PT_COM-02'!$I$85</f>
        <v>2464</v>
      </c>
      <c r="N29" s="87" t="n">
        <f aca="false">IF($L29=0,0,$M29/$L29)</f>
        <v>0.909225092250923</v>
      </c>
      <c r="O29" s="45" t="str">
        <f aca="false">IF($I29&gt;=0,"At Plan",IF($I29&gt;=-5,"Minor Shortfall","Critical Shortfall"))</f>
        <v>At Plan</v>
      </c>
      <c r="P29" s="46" t="str">
        <f aca="false">IF(AND($J29&gt;=0.95,$N29&gt;=0.85),"Green",IF(OR($J29&lt;0.8,$N29&lt;0.7),"Red","Amber"))</f>
        <v>Green</v>
      </c>
      <c r="Q29" s="5"/>
      <c r="R29" s="5"/>
    </row>
    <row r="30" customFormat="false" ht="13.5" hidden="false" customHeight="true" outlineLevel="0" collapsed="false">
      <c r="A30" s="47" t="s">
        <v>298</v>
      </c>
      <c r="B30" s="154" t="str">
        <f aca="false">IFERROR(INDEX(Projects!$C$9:$C$16,MATCH($A30,Projects!$A$9:$A$16,0)),"")</f>
        <v>Commercial</v>
      </c>
      <c r="C30" s="155" t="n">
        <f aca="false">IF(Dashboard!$C$6="Corporate",1,IF(Dashboard!$C$6="Project",IF($A30=Dashboard!$M$6,1,0),IF($B30=Dashboard!$H$6,1,0)))</f>
        <v>1</v>
      </c>
      <c r="D30" s="37" t="s">
        <v>891</v>
      </c>
      <c r="E30" s="37" t="s">
        <v>889</v>
      </c>
      <c r="F30" s="52" t="s">
        <v>890</v>
      </c>
      <c r="G30" s="99" t="n">
        <f aca="false">'PT_COM-02'!$E$86</f>
        <v>12</v>
      </c>
      <c r="H30" s="99" t="n">
        <f aca="false">'PT_COM-02'!$F$86</f>
        <v>12</v>
      </c>
      <c r="I30" s="49" t="n">
        <f aca="false">$H30-$G30</f>
        <v>0</v>
      </c>
      <c r="J30" s="100" t="n">
        <f aca="false">IF($G30=0,1,$H30/$G30)</f>
        <v>1</v>
      </c>
      <c r="K30" s="99" t="n">
        <v>8153</v>
      </c>
      <c r="L30" s="99" t="n">
        <f aca="false">'PT_COM-02'!$H$86</f>
        <v>9148</v>
      </c>
      <c r="M30" s="99" t="n">
        <f aca="false">'PT_COM-02'!$I$86</f>
        <v>8316</v>
      </c>
      <c r="N30" s="100" t="n">
        <f aca="false">IF($L30=0,0,$M30/$L30)</f>
        <v>0.909051158723218</v>
      </c>
      <c r="O30" s="51" t="str">
        <f aca="false">IF($I30&gt;=0,"At Plan",IF($I30&gt;=-5,"Minor Shortfall","Critical Shortfall"))</f>
        <v>At Plan</v>
      </c>
      <c r="P30" s="52" t="str">
        <f aca="false">IF(AND($J30&gt;=0.95,$N30&gt;=0.85),"Green",IF(OR($J30&lt;0.8,$N30&lt;0.7),"Red","Amber"))</f>
        <v>Green</v>
      </c>
      <c r="Q30" s="5"/>
      <c r="R30" s="5"/>
    </row>
    <row r="31" customFormat="false" ht="13.5" hidden="false" customHeight="true" outlineLevel="0" collapsed="false">
      <c r="A31" s="149" t="s">
        <v>298</v>
      </c>
      <c r="B31" s="150" t="str">
        <f aca="false">IFERROR(INDEX(Projects!$C$9:$C$16,MATCH($A31,Projects!$A$9:$A$16,0)),"")</f>
        <v>Commercial</v>
      </c>
      <c r="C31" s="94" t="n">
        <f aca="false">IF(Dashboard!$C$6="Corporate",1,IF(Dashboard!$C$6="Project",IF($A31=Dashboard!$M$6,1,0),IF($B31=Dashboard!$H$6,1,0)))</f>
        <v>1</v>
      </c>
      <c r="D31" s="30" t="s">
        <v>892</v>
      </c>
      <c r="E31" s="30" t="s">
        <v>889</v>
      </c>
      <c r="F31" s="46" t="s">
        <v>890</v>
      </c>
      <c r="G31" s="86" t="n">
        <f aca="false">'PT_COM-02'!$E$87</f>
        <v>45</v>
      </c>
      <c r="H31" s="86" t="n">
        <f aca="false">'PT_COM-02'!$F$87</f>
        <v>46</v>
      </c>
      <c r="I31" s="31" t="n">
        <f aca="false">$H31-$G31</f>
        <v>1</v>
      </c>
      <c r="J31" s="87" t="n">
        <f aca="false">IF($G31=0,1,$H31/$G31)</f>
        <v>1.02222222222222</v>
      </c>
      <c r="K31" s="92" t="n">
        <v>32006</v>
      </c>
      <c r="L31" s="86" t="n">
        <f aca="false">'PT_COM-02'!$H$87</f>
        <v>35852</v>
      </c>
      <c r="M31" s="86" t="n">
        <f aca="false">'PT_COM-02'!$I$87</f>
        <v>32593</v>
      </c>
      <c r="N31" s="87" t="n">
        <f aca="false">IF($L31=0,0,$M31/$L31)</f>
        <v>0.909098516121834</v>
      </c>
      <c r="O31" s="45" t="str">
        <f aca="false">IF($I31&gt;=0,"At Plan",IF($I31&gt;=-5,"Minor Shortfall","Critical Shortfall"))</f>
        <v>At Plan</v>
      </c>
      <c r="P31" s="46" t="str">
        <f aca="false">IF(AND($J31&gt;=0.95,$N31&gt;=0.85),"Green",IF(OR($J31&lt;0.8,$N31&lt;0.7),"Red","Amber"))</f>
        <v>Green</v>
      </c>
      <c r="Q31" s="5"/>
      <c r="R31" s="5"/>
    </row>
    <row r="32" customFormat="false" ht="13.5" hidden="false" customHeight="true" outlineLevel="0" collapsed="false">
      <c r="A32" s="47" t="s">
        <v>298</v>
      </c>
      <c r="B32" s="154" t="str">
        <f aca="false">IFERROR(INDEX(Projects!$C$9:$C$16,MATCH($A32,Projects!$A$9:$A$16,0)),"")</f>
        <v>Commercial</v>
      </c>
      <c r="C32" s="155" t="n">
        <f aca="false">IF(Dashboard!$C$6="Corporate",1,IF(Dashboard!$C$6="Project",IF($A32=Dashboard!$M$6,1,0),IF($B32=Dashboard!$H$6,1,0)))</f>
        <v>1</v>
      </c>
      <c r="D32" s="37" t="s">
        <v>893</v>
      </c>
      <c r="E32" s="37" t="s">
        <v>889</v>
      </c>
      <c r="F32" s="52" t="s">
        <v>890</v>
      </c>
      <c r="G32" s="99" t="n">
        <f aca="false">'PT_COM-02'!$E$88</f>
        <v>22</v>
      </c>
      <c r="H32" s="99" t="n">
        <f aca="false">'PT_COM-02'!$F$88</f>
        <v>22</v>
      </c>
      <c r="I32" s="49" t="n">
        <f aca="false">$H32-$G32</f>
        <v>0</v>
      </c>
      <c r="J32" s="100" t="n">
        <f aca="false">IF($G32=0,1,$H32/$G32)</f>
        <v>1</v>
      </c>
      <c r="K32" s="99" t="n">
        <v>15158</v>
      </c>
      <c r="L32" s="99" t="n">
        <f aca="false">'PT_COM-02'!$H$88</f>
        <v>17007</v>
      </c>
      <c r="M32" s="99" t="n">
        <f aca="false">'PT_COM-02'!$I$88</f>
        <v>15461</v>
      </c>
      <c r="N32" s="100" t="n">
        <f aca="false">IF($L32=0,0,$M32/$L32)</f>
        <v>0.909096254483448</v>
      </c>
      <c r="O32" s="51" t="str">
        <f aca="false">IF($I32&gt;=0,"At Plan",IF($I32&gt;=-5,"Minor Shortfall","Critical Shortfall"))</f>
        <v>At Plan</v>
      </c>
      <c r="P32" s="52" t="str">
        <f aca="false">IF(AND($J32&gt;=0.95,$N32&gt;=0.85),"Green",IF(OR($J32&lt;0.8,$N32&lt;0.7),"Red","Amber"))</f>
        <v>Green</v>
      </c>
      <c r="Q32" s="5"/>
      <c r="R32" s="5"/>
    </row>
    <row r="33" customFormat="false" ht="13.5" hidden="false" customHeight="true" outlineLevel="0" collapsed="false">
      <c r="A33" s="149" t="s">
        <v>300</v>
      </c>
      <c r="B33" s="150" t="str">
        <f aca="false">IFERROR(INDEX(Projects!$C$9:$C$16,MATCH($A33,Projects!$A$9:$A$16,0)),"")</f>
        <v>Mixed Use</v>
      </c>
      <c r="C33" s="94" t="n">
        <f aca="false">IF(Dashboard!$C$6="Corporate",1,IF(Dashboard!$C$6="Project",IF($A33=Dashboard!$M$6,1,0),IF($B33=Dashboard!$H$6,1,0)))</f>
        <v>1</v>
      </c>
      <c r="D33" s="30" t="s">
        <v>884</v>
      </c>
      <c r="E33" s="30" t="s">
        <v>885</v>
      </c>
      <c r="F33" s="46" t="s">
        <v>886</v>
      </c>
      <c r="G33" s="86" t="n">
        <f aca="false">'PT_MXU-01'!$E$83</f>
        <v>2</v>
      </c>
      <c r="H33" s="86" t="n">
        <f aca="false">'PT_MXU-01'!$F$83</f>
        <v>2</v>
      </c>
      <c r="I33" s="31" t="n">
        <f aca="false">$H33-$G33</f>
        <v>0</v>
      </c>
      <c r="J33" s="87" t="n">
        <f aca="false">IF($G33=0,1,$H33/$G33)</f>
        <v>1</v>
      </c>
      <c r="K33" s="92" t="n">
        <v>1315</v>
      </c>
      <c r="L33" s="86" t="n">
        <f aca="false">'PT_MXU-01'!$H$83</f>
        <v>1318</v>
      </c>
      <c r="M33" s="86" t="n">
        <f aca="false">'PT_MXU-01'!$I$83</f>
        <v>1267</v>
      </c>
      <c r="N33" s="87" t="n">
        <f aca="false">IF($L33=0,0,$M33/$L33)</f>
        <v>0.961305007587254</v>
      </c>
      <c r="O33" s="45" t="str">
        <f aca="false">IF($I33&gt;=0,"At Plan",IF($I33&gt;=-5,"Minor Shortfall","Critical Shortfall"))</f>
        <v>At Plan</v>
      </c>
      <c r="P33" s="46" t="str">
        <f aca="false">IF(AND($J33&gt;=0.95,$N33&gt;=0.85),"Green",IF(OR($J33&lt;0.8,$N33&lt;0.7),"Red","Amber"))</f>
        <v>Green</v>
      </c>
      <c r="Q33" s="5"/>
      <c r="R33" s="5"/>
    </row>
    <row r="34" customFormat="false" ht="13.5" hidden="false" customHeight="true" outlineLevel="0" collapsed="false">
      <c r="A34" s="47" t="s">
        <v>300</v>
      </c>
      <c r="B34" s="154" t="str">
        <f aca="false">IFERROR(INDEX(Projects!$C$9:$C$16,MATCH($A34,Projects!$A$9:$A$16,0)),"")</f>
        <v>Mixed Use</v>
      </c>
      <c r="C34" s="155" t="n">
        <f aca="false">IF(Dashboard!$C$6="Corporate",1,IF(Dashboard!$C$6="Project",IF($A34=Dashboard!$M$6,1,0),IF($B34=Dashboard!$H$6,1,0)))</f>
        <v>1</v>
      </c>
      <c r="D34" s="37" t="s">
        <v>887</v>
      </c>
      <c r="E34" s="37" t="s">
        <v>885</v>
      </c>
      <c r="F34" s="52" t="s">
        <v>886</v>
      </c>
      <c r="G34" s="99" t="n">
        <f aca="false">'PT_MXU-01'!$E$84</f>
        <v>1</v>
      </c>
      <c r="H34" s="99" t="n">
        <f aca="false">'PT_MXU-01'!$F$84</f>
        <v>1</v>
      </c>
      <c r="I34" s="49" t="n">
        <f aca="false">$H34-$G34</f>
        <v>0</v>
      </c>
      <c r="J34" s="100" t="n">
        <f aca="false">IF($G34=0,1,$H34/$G34)</f>
        <v>1</v>
      </c>
      <c r="K34" s="99" t="n">
        <v>614</v>
      </c>
      <c r="L34" s="99" t="n">
        <f aca="false">'PT_MXU-01'!$H$84</f>
        <v>615</v>
      </c>
      <c r="M34" s="99" t="n">
        <f aca="false">'PT_MXU-01'!$I$84</f>
        <v>591</v>
      </c>
      <c r="N34" s="100" t="n">
        <f aca="false">IF($L34=0,0,$M34/$L34)</f>
        <v>0.960975609756098</v>
      </c>
      <c r="O34" s="51" t="str">
        <f aca="false">IF($I34&gt;=0,"At Plan",IF($I34&gt;=-5,"Minor Shortfall","Critical Shortfall"))</f>
        <v>At Plan</v>
      </c>
      <c r="P34" s="52" t="str">
        <f aca="false">IF(AND($J34&gt;=0.95,$N34&gt;=0.85),"Green",IF(OR($J34&lt;0.8,$N34&lt;0.7),"Red","Amber"))</f>
        <v>Green</v>
      </c>
      <c r="Q34" s="5"/>
      <c r="R34" s="5"/>
    </row>
    <row r="35" customFormat="false" ht="13.5" hidden="false" customHeight="true" outlineLevel="0" collapsed="false">
      <c r="A35" s="149" t="s">
        <v>300</v>
      </c>
      <c r="B35" s="150" t="str">
        <f aca="false">IFERROR(INDEX(Projects!$C$9:$C$16,MATCH($A35,Projects!$A$9:$A$16,0)),"")</f>
        <v>Mixed Use</v>
      </c>
      <c r="C35" s="94" t="n">
        <f aca="false">IF(Dashboard!$C$6="Corporate",1,IF(Dashboard!$C$6="Project",IF($A35=Dashboard!$M$6,1,0),IF($B35=Dashboard!$H$6,1,0)))</f>
        <v>1</v>
      </c>
      <c r="D35" s="30" t="s">
        <v>888</v>
      </c>
      <c r="E35" s="30" t="s">
        <v>889</v>
      </c>
      <c r="F35" s="46" t="s">
        <v>890</v>
      </c>
      <c r="G35" s="86" t="n">
        <f aca="false">'PT_MXU-01'!$E$85</f>
        <v>3</v>
      </c>
      <c r="H35" s="86" t="n">
        <f aca="false">'PT_MXU-01'!$F$85</f>
        <v>3</v>
      </c>
      <c r="I35" s="31" t="n">
        <f aca="false">$H35-$G35</f>
        <v>0</v>
      </c>
      <c r="J35" s="87" t="n">
        <f aca="false">IF($G35=0,1,$H35/$G35)</f>
        <v>1</v>
      </c>
      <c r="K35" s="92" t="n">
        <v>1753</v>
      </c>
      <c r="L35" s="86" t="n">
        <f aca="false">'PT_MXU-01'!$H$85</f>
        <v>1893</v>
      </c>
      <c r="M35" s="86" t="n">
        <f aca="false">'PT_MXU-01'!$I$85</f>
        <v>1721</v>
      </c>
      <c r="N35" s="87" t="n">
        <f aca="false">IF($L35=0,0,$M35/$L35)</f>
        <v>0.909138932910724</v>
      </c>
      <c r="O35" s="45" t="str">
        <f aca="false">IF($I35&gt;=0,"At Plan",IF($I35&gt;=-5,"Minor Shortfall","Critical Shortfall"))</f>
        <v>At Plan</v>
      </c>
      <c r="P35" s="46" t="str">
        <f aca="false">IF(AND($J35&gt;=0.95,$N35&gt;=0.85),"Green",IF(OR($J35&lt;0.8,$N35&lt;0.7),"Red","Amber"))</f>
        <v>Green</v>
      </c>
      <c r="Q35" s="5"/>
      <c r="R35" s="5"/>
    </row>
    <row r="36" customFormat="false" ht="13.5" hidden="false" customHeight="true" outlineLevel="0" collapsed="false">
      <c r="A36" s="47" t="s">
        <v>300</v>
      </c>
      <c r="B36" s="154" t="str">
        <f aca="false">IFERROR(INDEX(Projects!$C$9:$C$16,MATCH($A36,Projects!$A$9:$A$16,0)),"")</f>
        <v>Mixed Use</v>
      </c>
      <c r="C36" s="155" t="n">
        <f aca="false">IF(Dashboard!$C$6="Corporate",1,IF(Dashboard!$C$6="Project",IF($A36=Dashboard!$M$6,1,0),IF($B36=Dashboard!$H$6,1,0)))</f>
        <v>1</v>
      </c>
      <c r="D36" s="37" t="s">
        <v>891</v>
      </c>
      <c r="E36" s="37" t="s">
        <v>889</v>
      </c>
      <c r="F36" s="52" t="s">
        <v>890</v>
      </c>
      <c r="G36" s="99" t="n">
        <f aca="false">'PT_MXU-01'!$E$86</f>
        <v>11</v>
      </c>
      <c r="H36" s="99" t="n">
        <f aca="false">'PT_MXU-01'!$F$86</f>
        <v>11</v>
      </c>
      <c r="I36" s="49" t="n">
        <f aca="false">$H36-$G36</f>
        <v>0</v>
      </c>
      <c r="J36" s="100" t="n">
        <f aca="false">IF($G36=0,1,$H36/$G36)</f>
        <v>1</v>
      </c>
      <c r="K36" s="99" t="n">
        <v>5917</v>
      </c>
      <c r="L36" s="99" t="n">
        <f aca="false">'PT_MXU-01'!$H$86</f>
        <v>6389</v>
      </c>
      <c r="M36" s="99" t="n">
        <f aca="false">'PT_MXU-01'!$I$86</f>
        <v>5808</v>
      </c>
      <c r="N36" s="100" t="n">
        <f aca="false">IF($L36=0,0,$M36/$L36)</f>
        <v>0.909062451087807</v>
      </c>
      <c r="O36" s="51" t="str">
        <f aca="false">IF($I36&gt;=0,"At Plan",IF($I36&gt;=-5,"Minor Shortfall","Critical Shortfall"))</f>
        <v>At Plan</v>
      </c>
      <c r="P36" s="52" t="str">
        <f aca="false">IF(AND($J36&gt;=0.95,$N36&gt;=0.85),"Green",IF(OR($J36&lt;0.8,$N36&lt;0.7),"Red","Amber"))</f>
        <v>Green</v>
      </c>
      <c r="Q36" s="5"/>
      <c r="R36" s="5"/>
    </row>
    <row r="37" customFormat="false" ht="13.5" hidden="false" customHeight="true" outlineLevel="0" collapsed="false">
      <c r="A37" s="149" t="s">
        <v>300</v>
      </c>
      <c r="B37" s="150" t="str">
        <f aca="false">IFERROR(INDEX(Projects!$C$9:$C$16,MATCH($A37,Projects!$A$9:$A$16,0)),"")</f>
        <v>Mixed Use</v>
      </c>
      <c r="C37" s="94" t="n">
        <f aca="false">IF(Dashboard!$C$6="Corporate",1,IF(Dashboard!$C$6="Project",IF($A37=Dashboard!$M$6,1,0),IF($B37=Dashboard!$H$6,1,0)))</f>
        <v>1</v>
      </c>
      <c r="D37" s="30" t="s">
        <v>892</v>
      </c>
      <c r="E37" s="30" t="s">
        <v>889</v>
      </c>
      <c r="F37" s="46" t="s">
        <v>890</v>
      </c>
      <c r="G37" s="86" t="n">
        <f aca="false">'PT_MXU-01'!$E$87</f>
        <v>44</v>
      </c>
      <c r="H37" s="86" t="n">
        <f aca="false">'PT_MXU-01'!$F$87</f>
        <v>43</v>
      </c>
      <c r="I37" s="31" t="n">
        <f aca="false">$H37-$G37</f>
        <v>-1</v>
      </c>
      <c r="J37" s="87" t="n">
        <f aca="false">IF($G37=0,1,$H37/$G37)</f>
        <v>0.977272727272727</v>
      </c>
      <c r="K37" s="92" t="n">
        <v>23231</v>
      </c>
      <c r="L37" s="86" t="n">
        <f aca="false">'PT_MXU-01'!$H$87</f>
        <v>25123</v>
      </c>
      <c r="M37" s="86" t="n">
        <f aca="false">'PT_MXU-01'!$I$87</f>
        <v>22839</v>
      </c>
      <c r="N37" s="87" t="n">
        <f aca="false">IF($L37=0,0,$M37/$L37)</f>
        <v>0.90908729053059</v>
      </c>
      <c r="O37" s="45" t="str">
        <f aca="false">IF($I37&gt;=0,"At Plan",IF($I37&gt;=-5,"Minor Shortfall","Critical Shortfall"))</f>
        <v>Minor Shortfall</v>
      </c>
      <c r="P37" s="46" t="str">
        <f aca="false">IF(AND($J37&gt;=0.95,$N37&gt;=0.85),"Green",IF(OR($J37&lt;0.8,$N37&lt;0.7),"Red","Amber"))</f>
        <v>Green</v>
      </c>
      <c r="Q37" s="5"/>
      <c r="R37" s="5"/>
    </row>
    <row r="38" customFormat="false" ht="13.5" hidden="false" customHeight="true" outlineLevel="0" collapsed="false">
      <c r="A38" s="47" t="s">
        <v>300</v>
      </c>
      <c r="B38" s="154" t="str">
        <f aca="false">IFERROR(INDEX(Projects!$C$9:$C$16,MATCH($A38,Projects!$A$9:$A$16,0)),"")</f>
        <v>Mixed Use</v>
      </c>
      <c r="C38" s="155" t="n">
        <f aca="false">IF(Dashboard!$C$6="Corporate",1,IF(Dashboard!$C$6="Project",IF($A38=Dashboard!$M$6,1,0),IF($B38=Dashboard!$H$6,1,0)))</f>
        <v>1</v>
      </c>
      <c r="D38" s="37" t="s">
        <v>893</v>
      </c>
      <c r="E38" s="37" t="s">
        <v>889</v>
      </c>
      <c r="F38" s="52" t="s">
        <v>890</v>
      </c>
      <c r="G38" s="99" t="n">
        <f aca="false">'PT_MXU-01'!$E$88</f>
        <v>21</v>
      </c>
      <c r="H38" s="99" t="n">
        <f aca="false">'PT_MXU-01'!$F$88</f>
        <v>20</v>
      </c>
      <c r="I38" s="49" t="n">
        <f aca="false">$H38-$G38</f>
        <v>-1</v>
      </c>
      <c r="J38" s="100" t="n">
        <f aca="false">IF($G38=0,1,$H38/$G38)</f>
        <v>0.952380952380952</v>
      </c>
      <c r="K38" s="99" t="n">
        <v>11002</v>
      </c>
      <c r="L38" s="99" t="n">
        <f aca="false">'PT_MXU-01'!$H$88</f>
        <v>11879</v>
      </c>
      <c r="M38" s="99" t="n">
        <f aca="false">'PT_MXU-01'!$I$88</f>
        <v>10799</v>
      </c>
      <c r="N38" s="100" t="n">
        <f aca="false">IF($L38=0,0,$M38/$L38)</f>
        <v>0.909083256166344</v>
      </c>
      <c r="O38" s="51" t="str">
        <f aca="false">IF($I38&gt;=0,"At Plan",IF($I38&gt;=-5,"Minor Shortfall","Critical Shortfall"))</f>
        <v>Minor Shortfall</v>
      </c>
      <c r="P38" s="52" t="str">
        <f aca="false">IF(AND($J38&gt;=0.95,$N38&gt;=0.85),"Green",IF(OR($J38&lt;0.8,$N38&lt;0.7),"Red","Amber"))</f>
        <v>Green</v>
      </c>
      <c r="Q38" s="5"/>
      <c r="R38" s="5"/>
    </row>
    <row r="39" customFormat="false" ht="13.5" hidden="false" customHeight="true" outlineLevel="0" collapsed="false">
      <c r="A39" s="149" t="s">
        <v>301</v>
      </c>
      <c r="B39" s="150" t="str">
        <f aca="false">IFERROR(INDEX(Projects!$C$9:$C$16,MATCH($A39,Projects!$A$9:$A$16,0)),"")</f>
        <v>Mixed Use</v>
      </c>
      <c r="C39" s="94" t="n">
        <f aca="false">IF(Dashboard!$C$6="Corporate",1,IF(Dashboard!$C$6="Project",IF($A39=Dashboard!$M$6,1,0),IF($B39=Dashboard!$H$6,1,0)))</f>
        <v>1</v>
      </c>
      <c r="D39" s="30" t="s">
        <v>884</v>
      </c>
      <c r="E39" s="30" t="s">
        <v>885</v>
      </c>
      <c r="F39" s="46" t="s">
        <v>886</v>
      </c>
      <c r="G39" s="86" t="n">
        <f aca="false">'PT_MXU-02'!$E$83</f>
        <v>2</v>
      </c>
      <c r="H39" s="86" t="n">
        <f aca="false">'PT_MXU-02'!$F$83</f>
        <v>2</v>
      </c>
      <c r="I39" s="31" t="n">
        <f aca="false">$H39-$G39</f>
        <v>0</v>
      </c>
      <c r="J39" s="87" t="n">
        <f aca="false">IF($G39=0,1,$H39/$G39)</f>
        <v>1</v>
      </c>
      <c r="K39" s="92" t="n">
        <v>1104</v>
      </c>
      <c r="L39" s="86" t="n">
        <f aca="false">'PT_MXU-02'!$H$83</f>
        <v>1190</v>
      </c>
      <c r="M39" s="86" t="n">
        <f aca="false">'PT_MXU-02'!$I$83</f>
        <v>1144</v>
      </c>
      <c r="N39" s="87" t="n">
        <f aca="false">IF($L39=0,0,$M39/$L39)</f>
        <v>0.961344537815126</v>
      </c>
      <c r="O39" s="45" t="str">
        <f aca="false">IF($I39&gt;=0,"At Plan",IF($I39&gt;=-5,"Minor Shortfall","Critical Shortfall"))</f>
        <v>At Plan</v>
      </c>
      <c r="P39" s="46" t="str">
        <f aca="false">IF(AND($J39&gt;=0.95,$N39&gt;=0.85),"Green",IF(OR($J39&lt;0.8,$N39&lt;0.7),"Red","Amber"))</f>
        <v>Green</v>
      </c>
      <c r="Q39" s="5"/>
      <c r="R39" s="5"/>
    </row>
    <row r="40" customFormat="false" ht="13.5" hidden="false" customHeight="true" outlineLevel="0" collapsed="false">
      <c r="A40" s="47" t="s">
        <v>301</v>
      </c>
      <c r="B40" s="154" t="str">
        <f aca="false">IFERROR(INDEX(Projects!$C$9:$C$16,MATCH($A40,Projects!$A$9:$A$16,0)),"")</f>
        <v>Mixed Use</v>
      </c>
      <c r="C40" s="155" t="n">
        <f aca="false">IF(Dashboard!$C$6="Corporate",1,IF(Dashboard!$C$6="Project",IF($A40=Dashboard!$M$6,1,0),IF($B40=Dashboard!$H$6,1,0)))</f>
        <v>1</v>
      </c>
      <c r="D40" s="37" t="s">
        <v>887</v>
      </c>
      <c r="E40" s="37" t="s">
        <v>885</v>
      </c>
      <c r="F40" s="52" t="s">
        <v>886</v>
      </c>
      <c r="G40" s="99" t="n">
        <f aca="false">'PT_MXU-02'!$E$84</f>
        <v>1</v>
      </c>
      <c r="H40" s="99" t="n">
        <f aca="false">'PT_MXU-02'!$F$84</f>
        <v>1</v>
      </c>
      <c r="I40" s="49" t="n">
        <f aca="false">$H40-$G40</f>
        <v>0</v>
      </c>
      <c r="J40" s="100" t="n">
        <f aca="false">IF($G40=0,1,$H40/$G40)</f>
        <v>1</v>
      </c>
      <c r="K40" s="99" t="n">
        <v>515</v>
      </c>
      <c r="L40" s="99" t="n">
        <f aca="false">'PT_MXU-02'!$H$84</f>
        <v>555</v>
      </c>
      <c r="M40" s="99" t="n">
        <f aca="false">'PT_MXU-02'!$I$84</f>
        <v>534</v>
      </c>
      <c r="N40" s="100" t="n">
        <f aca="false">IF($L40=0,0,$M40/$L40)</f>
        <v>0.962162162162162</v>
      </c>
      <c r="O40" s="51" t="str">
        <f aca="false">IF($I40&gt;=0,"At Plan",IF($I40&gt;=-5,"Minor Shortfall","Critical Shortfall"))</f>
        <v>At Plan</v>
      </c>
      <c r="P40" s="52" t="str">
        <f aca="false">IF(AND($J40&gt;=0.95,$N40&gt;=0.85),"Green",IF(OR($J40&lt;0.8,$N40&lt;0.7),"Red","Amber"))</f>
        <v>Green</v>
      </c>
      <c r="Q40" s="5"/>
      <c r="R40" s="5"/>
    </row>
    <row r="41" customFormat="false" ht="13.5" hidden="false" customHeight="true" outlineLevel="0" collapsed="false">
      <c r="A41" s="149" t="s">
        <v>301</v>
      </c>
      <c r="B41" s="150" t="str">
        <f aca="false">IFERROR(INDEX(Projects!$C$9:$C$16,MATCH($A41,Projects!$A$9:$A$16,0)),"")</f>
        <v>Mixed Use</v>
      </c>
      <c r="C41" s="94" t="n">
        <f aca="false">IF(Dashboard!$C$6="Corporate",1,IF(Dashboard!$C$6="Project",IF($A41=Dashboard!$M$6,1,0),IF($B41=Dashboard!$H$6,1,0)))</f>
        <v>1</v>
      </c>
      <c r="D41" s="30" t="s">
        <v>888</v>
      </c>
      <c r="E41" s="30" t="s">
        <v>889</v>
      </c>
      <c r="F41" s="46" t="s">
        <v>890</v>
      </c>
      <c r="G41" s="86" t="n">
        <f aca="false">'PT_MXU-02'!$E$85</f>
        <v>2</v>
      </c>
      <c r="H41" s="86" t="n">
        <f aca="false">'PT_MXU-02'!$F$85</f>
        <v>2</v>
      </c>
      <c r="I41" s="31" t="n">
        <f aca="false">$H41-$G41</f>
        <v>0</v>
      </c>
      <c r="J41" s="87" t="n">
        <f aca="false">IF($G41=0,1,$H41/$G41)</f>
        <v>1</v>
      </c>
      <c r="K41" s="92" t="n">
        <v>1472</v>
      </c>
      <c r="L41" s="86" t="n">
        <f aca="false">'PT_MXU-02'!$H$85</f>
        <v>1648</v>
      </c>
      <c r="M41" s="86" t="n">
        <f aca="false">'PT_MXU-02'!$I$85</f>
        <v>1498</v>
      </c>
      <c r="N41" s="87" t="n">
        <f aca="false">IF($L41=0,0,$M41/$L41)</f>
        <v>0.908980582524272</v>
      </c>
      <c r="O41" s="45" t="str">
        <f aca="false">IF($I41&gt;=0,"At Plan",IF($I41&gt;=-5,"Minor Shortfall","Critical Shortfall"))</f>
        <v>At Plan</v>
      </c>
      <c r="P41" s="46" t="str">
        <f aca="false">IF(AND($J41&gt;=0.95,$N41&gt;=0.85),"Green",IF(OR($J41&lt;0.8,$N41&lt;0.7),"Red","Amber"))</f>
        <v>Green</v>
      </c>
      <c r="Q41" s="5"/>
      <c r="R41" s="5"/>
    </row>
    <row r="42" customFormat="false" ht="13.5" hidden="false" customHeight="true" outlineLevel="0" collapsed="false">
      <c r="A42" s="47" t="s">
        <v>301</v>
      </c>
      <c r="B42" s="154" t="str">
        <f aca="false">IFERROR(INDEX(Projects!$C$9:$C$16,MATCH($A42,Projects!$A$9:$A$16,0)),"")</f>
        <v>Mixed Use</v>
      </c>
      <c r="C42" s="155" t="n">
        <f aca="false">IF(Dashboard!$C$6="Corporate",1,IF(Dashboard!$C$6="Project",IF($A42=Dashboard!$M$6,1,0),IF($B42=Dashboard!$H$6,1,0)))</f>
        <v>1</v>
      </c>
      <c r="D42" s="37" t="s">
        <v>891</v>
      </c>
      <c r="E42" s="37" t="s">
        <v>889</v>
      </c>
      <c r="F42" s="52" t="s">
        <v>890</v>
      </c>
      <c r="G42" s="99" t="n">
        <f aca="false">'PT_MXU-02'!$E$86</f>
        <v>7</v>
      </c>
      <c r="H42" s="99" t="n">
        <f aca="false">'PT_MXU-02'!$F$86</f>
        <v>7</v>
      </c>
      <c r="I42" s="49" t="n">
        <f aca="false">$H42-$G42</f>
        <v>0</v>
      </c>
      <c r="J42" s="100" t="n">
        <f aca="false">IF($G42=0,1,$H42/$G42)</f>
        <v>1</v>
      </c>
      <c r="K42" s="99" t="n">
        <v>4967</v>
      </c>
      <c r="L42" s="99" t="n">
        <f aca="false">'PT_MXU-02'!$H$86</f>
        <v>5563</v>
      </c>
      <c r="M42" s="99" t="n">
        <f aca="false">'PT_MXU-02'!$I$86</f>
        <v>5057</v>
      </c>
      <c r="N42" s="100" t="n">
        <f aca="false">IF($L42=0,0,$M42/$L42)</f>
        <v>0.909041883875607</v>
      </c>
      <c r="O42" s="51" t="str">
        <f aca="false">IF($I42&gt;=0,"At Plan",IF($I42&gt;=-5,"Minor Shortfall","Critical Shortfall"))</f>
        <v>At Plan</v>
      </c>
      <c r="P42" s="52" t="str">
        <f aca="false">IF(AND($J42&gt;=0.95,$N42&gt;=0.85),"Green",IF(OR($J42&lt;0.8,$N42&lt;0.7),"Red","Amber"))</f>
        <v>Green</v>
      </c>
      <c r="Q42" s="5"/>
      <c r="R42" s="5"/>
    </row>
    <row r="43" customFormat="false" ht="13.5" hidden="false" customHeight="true" outlineLevel="0" collapsed="false">
      <c r="A43" s="149" t="s">
        <v>301</v>
      </c>
      <c r="B43" s="150" t="str">
        <f aca="false">IFERROR(INDEX(Projects!$C$9:$C$16,MATCH($A43,Projects!$A$9:$A$16,0)),"")</f>
        <v>Mixed Use</v>
      </c>
      <c r="C43" s="94" t="n">
        <f aca="false">IF(Dashboard!$C$6="Corporate",1,IF(Dashboard!$C$6="Project",IF($A43=Dashboard!$M$6,1,0),IF($B43=Dashboard!$H$6,1,0)))</f>
        <v>1</v>
      </c>
      <c r="D43" s="30" t="s">
        <v>892</v>
      </c>
      <c r="E43" s="30" t="s">
        <v>889</v>
      </c>
      <c r="F43" s="46" t="s">
        <v>890</v>
      </c>
      <c r="G43" s="86" t="n">
        <f aca="false">'PT_MXU-02'!$E$87</f>
        <v>28</v>
      </c>
      <c r="H43" s="86" t="n">
        <f aca="false">'PT_MXU-02'!$F$87</f>
        <v>28</v>
      </c>
      <c r="I43" s="31" t="n">
        <f aca="false">$H43-$G43</f>
        <v>0</v>
      </c>
      <c r="J43" s="87" t="n">
        <f aca="false">IF($G43=0,1,$H43/$G43)</f>
        <v>1</v>
      </c>
      <c r="K43" s="92" t="n">
        <v>19498</v>
      </c>
      <c r="L43" s="86" t="n">
        <f aca="false">'PT_MXU-02'!$H$87</f>
        <v>21806</v>
      </c>
      <c r="M43" s="86" t="n">
        <f aca="false">'PT_MXU-02'!$I$87</f>
        <v>19824</v>
      </c>
      <c r="N43" s="87" t="n">
        <f aca="false">IF($L43=0,0,$M43/$L43)</f>
        <v>0.90910758506833</v>
      </c>
      <c r="O43" s="45" t="str">
        <f aca="false">IF($I43&gt;=0,"At Plan",IF($I43&gt;=-5,"Minor Shortfall","Critical Shortfall"))</f>
        <v>At Plan</v>
      </c>
      <c r="P43" s="46" t="str">
        <f aca="false">IF(AND($J43&gt;=0.95,$N43&gt;=0.85),"Green",IF(OR($J43&lt;0.8,$N43&lt;0.7),"Red","Amber"))</f>
        <v>Green</v>
      </c>
      <c r="Q43" s="5"/>
      <c r="R43" s="5"/>
    </row>
    <row r="44" customFormat="false" ht="13.5" hidden="false" customHeight="true" outlineLevel="0" collapsed="false">
      <c r="A44" s="47" t="s">
        <v>301</v>
      </c>
      <c r="B44" s="154" t="str">
        <f aca="false">IFERROR(INDEX(Projects!$C$9:$C$16,MATCH($A44,Projects!$A$9:$A$16,0)),"")</f>
        <v>Mixed Use</v>
      </c>
      <c r="C44" s="155" t="n">
        <f aca="false">IF(Dashboard!$C$6="Corporate",1,IF(Dashboard!$C$6="Project",IF($A44=Dashboard!$M$6,1,0),IF($B44=Dashboard!$H$6,1,0)))</f>
        <v>1</v>
      </c>
      <c r="D44" s="37" t="s">
        <v>893</v>
      </c>
      <c r="E44" s="37" t="s">
        <v>889</v>
      </c>
      <c r="F44" s="52" t="s">
        <v>890</v>
      </c>
      <c r="G44" s="99" t="n">
        <f aca="false">'PT_MXU-02'!$E$88</f>
        <v>13</v>
      </c>
      <c r="H44" s="99" t="n">
        <f aca="false">'PT_MXU-02'!$F$88</f>
        <v>13</v>
      </c>
      <c r="I44" s="49" t="n">
        <f aca="false">$H44-$G44</f>
        <v>0</v>
      </c>
      <c r="J44" s="100" t="n">
        <f aca="false">IF($G44=0,1,$H44/$G44)</f>
        <v>1</v>
      </c>
      <c r="K44" s="99" t="n">
        <v>9234</v>
      </c>
      <c r="L44" s="99" t="n">
        <f aca="false">'PT_MXU-02'!$H$88</f>
        <v>10342</v>
      </c>
      <c r="M44" s="99" t="n">
        <f aca="false">'PT_MXU-02'!$I$88</f>
        <v>9402</v>
      </c>
      <c r="N44" s="100" t="n">
        <f aca="false">IF($L44=0,0,$M44/$L44)</f>
        <v>0.909108489653839</v>
      </c>
      <c r="O44" s="51" t="str">
        <f aca="false">IF($I44&gt;=0,"At Plan",IF($I44&gt;=-5,"Minor Shortfall","Critical Shortfall"))</f>
        <v>At Plan</v>
      </c>
      <c r="P44" s="52" t="str">
        <f aca="false">IF(AND($J44&gt;=0.95,$N44&gt;=0.85),"Green",IF(OR($J44&lt;0.8,$N44&lt;0.7),"Red","Amber"))</f>
        <v>Green</v>
      </c>
      <c r="Q44" s="5"/>
      <c r="R44" s="5"/>
    </row>
    <row r="45" customFormat="false" ht="13.5" hidden="false" customHeight="true" outlineLevel="0" collapsed="false">
      <c r="A45" s="149" t="s">
        <v>303</v>
      </c>
      <c r="B45" s="150" t="str">
        <f aca="false">IFERROR(INDEX(Projects!$C$9:$C$16,MATCH($A45,Projects!$A$9:$A$16,0)),"")</f>
        <v>Land Development</v>
      </c>
      <c r="C45" s="94" t="n">
        <f aca="false">IF(Dashboard!$C$6="Corporate",1,IF(Dashboard!$C$6="Project",IF($A45=Dashboard!$M$6,1,0),IF($B45=Dashboard!$H$6,1,0)))</f>
        <v>1</v>
      </c>
      <c r="D45" s="30" t="s">
        <v>884</v>
      </c>
      <c r="E45" s="30" t="s">
        <v>885</v>
      </c>
      <c r="F45" s="46" t="s">
        <v>886</v>
      </c>
      <c r="G45" s="86" t="n">
        <f aca="false">'PT_LND-01'!$E$83</f>
        <v>2</v>
      </c>
      <c r="H45" s="86" t="n">
        <f aca="false">'PT_LND-01'!$F$83</f>
        <v>2</v>
      </c>
      <c r="I45" s="31" t="n">
        <f aca="false">$H45-$G45</f>
        <v>0</v>
      </c>
      <c r="J45" s="87" t="n">
        <f aca="false">IF($G45=0,1,$H45/$G45)</f>
        <v>1</v>
      </c>
      <c r="K45" s="92" t="n">
        <v>1975</v>
      </c>
      <c r="L45" s="86" t="n">
        <f aca="false">'PT_LND-01'!$H$83</f>
        <v>2136</v>
      </c>
      <c r="M45" s="86" t="n">
        <f aca="false">'PT_LND-01'!$I$83</f>
        <v>2054</v>
      </c>
      <c r="N45" s="87" t="n">
        <f aca="false">IF($L45=0,0,$M45/$L45)</f>
        <v>0.961610486891386</v>
      </c>
      <c r="O45" s="45" t="str">
        <f aca="false">IF($I45&gt;=0,"At Plan",IF($I45&gt;=-5,"Minor Shortfall","Critical Shortfall"))</f>
        <v>At Plan</v>
      </c>
      <c r="P45" s="46" t="str">
        <f aca="false">IF(AND($J45&gt;=0.95,$N45&gt;=0.85),"Green",IF(OR($J45&lt;0.8,$N45&lt;0.7),"Red","Amber"))</f>
        <v>Green</v>
      </c>
      <c r="Q45" s="5"/>
      <c r="R45" s="5"/>
    </row>
    <row r="46" customFormat="false" ht="13.5" hidden="false" customHeight="true" outlineLevel="0" collapsed="false">
      <c r="A46" s="47" t="s">
        <v>303</v>
      </c>
      <c r="B46" s="154" t="str">
        <f aca="false">IFERROR(INDEX(Projects!$C$9:$C$16,MATCH($A46,Projects!$A$9:$A$16,0)),"")</f>
        <v>Land Development</v>
      </c>
      <c r="C46" s="155" t="n">
        <f aca="false">IF(Dashboard!$C$6="Corporate",1,IF(Dashboard!$C$6="Project",IF($A46=Dashboard!$M$6,1,0),IF($B46=Dashboard!$H$6,1,0)))</f>
        <v>1</v>
      </c>
      <c r="D46" s="37" t="s">
        <v>887</v>
      </c>
      <c r="E46" s="37" t="s">
        <v>885</v>
      </c>
      <c r="F46" s="52" t="s">
        <v>886</v>
      </c>
      <c r="G46" s="99" t="n">
        <f aca="false">'PT_LND-01'!$E$84</f>
        <v>1</v>
      </c>
      <c r="H46" s="99" t="n">
        <f aca="false">'PT_LND-01'!$F$84</f>
        <v>1</v>
      </c>
      <c r="I46" s="49" t="n">
        <f aca="false">$H46-$G46</f>
        <v>0</v>
      </c>
      <c r="J46" s="100" t="n">
        <f aca="false">IF($G46=0,1,$H46/$G46)</f>
        <v>1</v>
      </c>
      <c r="K46" s="99" t="n">
        <v>922</v>
      </c>
      <c r="L46" s="99" t="n">
        <f aca="false">'PT_LND-01'!$H$84</f>
        <v>997</v>
      </c>
      <c r="M46" s="99" t="n">
        <f aca="false">'PT_LND-01'!$I$84</f>
        <v>959</v>
      </c>
      <c r="N46" s="100" t="n">
        <f aca="false">IF($L46=0,0,$M46/$L46)</f>
        <v>0.961885656970913</v>
      </c>
      <c r="O46" s="51" t="str">
        <f aca="false">IF($I46&gt;=0,"At Plan",IF($I46&gt;=-5,"Minor Shortfall","Critical Shortfall"))</f>
        <v>At Plan</v>
      </c>
      <c r="P46" s="52" t="str">
        <f aca="false">IF(AND($J46&gt;=0.95,$N46&gt;=0.85),"Green",IF(OR($J46&lt;0.8,$N46&lt;0.7),"Red","Amber"))</f>
        <v>Green</v>
      </c>
      <c r="Q46" s="5"/>
      <c r="R46" s="5"/>
    </row>
    <row r="47" customFormat="false" ht="13.5" hidden="false" customHeight="true" outlineLevel="0" collapsed="false">
      <c r="A47" s="149" t="s">
        <v>303</v>
      </c>
      <c r="B47" s="150" t="str">
        <f aca="false">IFERROR(INDEX(Projects!$C$9:$C$16,MATCH($A47,Projects!$A$9:$A$16,0)),"")</f>
        <v>Land Development</v>
      </c>
      <c r="C47" s="94" t="n">
        <f aca="false">IF(Dashboard!$C$6="Corporate",1,IF(Dashboard!$C$6="Project",IF($A47=Dashboard!$M$6,1,0),IF($B47=Dashboard!$H$6,1,0)))</f>
        <v>1</v>
      </c>
      <c r="D47" s="30" t="s">
        <v>888</v>
      </c>
      <c r="E47" s="30" t="s">
        <v>889</v>
      </c>
      <c r="F47" s="46" t="s">
        <v>890</v>
      </c>
      <c r="G47" s="86" t="n">
        <f aca="false">'PT_LND-01'!$E$85</f>
        <v>3</v>
      </c>
      <c r="H47" s="86" t="n">
        <f aca="false">'PT_LND-01'!$F$85</f>
        <v>3</v>
      </c>
      <c r="I47" s="31" t="n">
        <f aca="false">$H47-$G47</f>
        <v>0</v>
      </c>
      <c r="J47" s="87" t="n">
        <f aca="false">IF($G47=0,1,$H47/$G47)</f>
        <v>1</v>
      </c>
      <c r="K47" s="92" t="n">
        <v>2634</v>
      </c>
      <c r="L47" s="86" t="n">
        <f aca="false">'PT_LND-01'!$H$85</f>
        <v>2955</v>
      </c>
      <c r="M47" s="86" t="n">
        <f aca="false">'PT_LND-01'!$I$85</f>
        <v>2686</v>
      </c>
      <c r="N47" s="87" t="n">
        <f aca="false">IF($L47=0,0,$M47/$L47)</f>
        <v>0.908967851099831</v>
      </c>
      <c r="O47" s="45" t="str">
        <f aca="false">IF($I47&gt;=0,"At Plan",IF($I47&gt;=-5,"Minor Shortfall","Critical Shortfall"))</f>
        <v>At Plan</v>
      </c>
      <c r="P47" s="46" t="str">
        <f aca="false">IF(AND($J47&gt;=0.95,$N47&gt;=0.85),"Green",IF(OR($J47&lt;0.8,$N47&lt;0.7),"Red","Amber"))</f>
        <v>Green</v>
      </c>
      <c r="Q47" s="5"/>
      <c r="R47" s="5"/>
    </row>
    <row r="48" customFormat="false" ht="13.5" hidden="false" customHeight="true" outlineLevel="0" collapsed="false">
      <c r="A48" s="47" t="s">
        <v>303</v>
      </c>
      <c r="B48" s="154" t="str">
        <f aca="false">IFERROR(INDEX(Projects!$C$9:$C$16,MATCH($A48,Projects!$A$9:$A$16,0)),"")</f>
        <v>Land Development</v>
      </c>
      <c r="C48" s="155" t="n">
        <f aca="false">IF(Dashboard!$C$6="Corporate",1,IF(Dashboard!$C$6="Project",IF($A48=Dashboard!$M$6,1,0),IF($B48=Dashboard!$H$6,1,0)))</f>
        <v>1</v>
      </c>
      <c r="D48" s="37" t="s">
        <v>891</v>
      </c>
      <c r="E48" s="37" t="s">
        <v>889</v>
      </c>
      <c r="F48" s="52" t="s">
        <v>890</v>
      </c>
      <c r="G48" s="99" t="n">
        <f aca="false">'PT_LND-01'!$E$86</f>
        <v>10</v>
      </c>
      <c r="H48" s="99" t="n">
        <f aca="false">'PT_LND-01'!$F$86</f>
        <v>10</v>
      </c>
      <c r="I48" s="49" t="n">
        <f aca="false">$H48-$G48</f>
        <v>0</v>
      </c>
      <c r="J48" s="100" t="n">
        <f aca="false">IF($G48=0,1,$H48/$G48)</f>
        <v>1</v>
      </c>
      <c r="K48" s="99" t="n">
        <v>8888</v>
      </c>
      <c r="L48" s="99" t="n">
        <f aca="false">'PT_LND-01'!$H$86</f>
        <v>9973</v>
      </c>
      <c r="M48" s="99" t="n">
        <f aca="false">'PT_LND-01'!$I$86</f>
        <v>9066</v>
      </c>
      <c r="N48" s="100" t="n">
        <f aca="false">IF($L48=0,0,$M48/$L48)</f>
        <v>0.909054447006919</v>
      </c>
      <c r="O48" s="51" t="str">
        <f aca="false">IF($I48&gt;=0,"At Plan",IF($I48&gt;=-5,"Minor Shortfall","Critical Shortfall"))</f>
        <v>At Plan</v>
      </c>
      <c r="P48" s="52" t="str">
        <f aca="false">IF(AND($J48&gt;=0.95,$N48&gt;=0.85),"Green",IF(OR($J48&lt;0.8,$N48&lt;0.7),"Red","Amber"))</f>
        <v>Green</v>
      </c>
      <c r="Q48" s="5"/>
      <c r="R48" s="5"/>
    </row>
    <row r="49" customFormat="false" ht="13.5" hidden="false" customHeight="true" outlineLevel="0" collapsed="false">
      <c r="A49" s="149" t="s">
        <v>303</v>
      </c>
      <c r="B49" s="150" t="str">
        <f aca="false">IFERROR(INDEX(Projects!$C$9:$C$16,MATCH($A49,Projects!$A$9:$A$16,0)),"")</f>
        <v>Land Development</v>
      </c>
      <c r="C49" s="94" t="n">
        <f aca="false">IF(Dashboard!$C$6="Corporate",1,IF(Dashboard!$C$6="Project",IF($A49=Dashboard!$M$6,1,0),IF($B49=Dashboard!$H$6,1,0)))</f>
        <v>1</v>
      </c>
      <c r="D49" s="30" t="s">
        <v>892</v>
      </c>
      <c r="E49" s="30" t="s">
        <v>889</v>
      </c>
      <c r="F49" s="46" t="s">
        <v>890</v>
      </c>
      <c r="G49" s="86" t="n">
        <f aca="false">'PT_LND-01'!$E$87</f>
        <v>40</v>
      </c>
      <c r="H49" s="86" t="n">
        <f aca="false">'PT_LND-01'!$F$87</f>
        <v>40</v>
      </c>
      <c r="I49" s="31" t="n">
        <f aca="false">$H49-$G49</f>
        <v>0</v>
      </c>
      <c r="J49" s="87" t="n">
        <f aca="false">IF($G49=0,1,$H49/$G49)</f>
        <v>1</v>
      </c>
      <c r="K49" s="92" t="n">
        <v>34895</v>
      </c>
      <c r="L49" s="86" t="n">
        <f aca="false">'PT_LND-01'!$H$87</f>
        <v>39088</v>
      </c>
      <c r="M49" s="86" t="n">
        <f aca="false">'PT_LND-01'!$I$87</f>
        <v>35535</v>
      </c>
      <c r="N49" s="87" t="n">
        <f aca="false">IF($L49=0,0,$M49/$L49)</f>
        <v>0.909102537863283</v>
      </c>
      <c r="O49" s="45" t="str">
        <f aca="false">IF($I49&gt;=0,"At Plan",IF($I49&gt;=-5,"Minor Shortfall","Critical Shortfall"))</f>
        <v>At Plan</v>
      </c>
      <c r="P49" s="46" t="str">
        <f aca="false">IF(AND($J49&gt;=0.95,$N49&gt;=0.85),"Green",IF(OR($J49&lt;0.8,$N49&lt;0.7),"Red","Amber"))</f>
        <v>Green</v>
      </c>
      <c r="Q49" s="5"/>
      <c r="R49" s="5"/>
    </row>
    <row r="50" customFormat="false" ht="13.5" hidden="false" customHeight="true" outlineLevel="0" collapsed="false">
      <c r="A50" s="47" t="s">
        <v>303</v>
      </c>
      <c r="B50" s="154" t="str">
        <f aca="false">IFERROR(INDEX(Projects!$C$9:$C$16,MATCH($A50,Projects!$A$9:$A$16,0)),"")</f>
        <v>Land Development</v>
      </c>
      <c r="C50" s="155" t="n">
        <f aca="false">IF(Dashboard!$C$6="Corporate",1,IF(Dashboard!$C$6="Project",IF($A50=Dashboard!$M$6,1,0),IF($B50=Dashboard!$H$6,1,0)))</f>
        <v>1</v>
      </c>
      <c r="D50" s="37" t="s">
        <v>893</v>
      </c>
      <c r="E50" s="37" t="s">
        <v>889</v>
      </c>
      <c r="F50" s="52" t="s">
        <v>890</v>
      </c>
      <c r="G50" s="99" t="n">
        <f aca="false">'PT_LND-01'!$E$88</f>
        <v>19</v>
      </c>
      <c r="H50" s="99" t="n">
        <f aca="false">'PT_LND-01'!$F$88</f>
        <v>19</v>
      </c>
      <c r="I50" s="49" t="n">
        <f aca="false">$H50-$G50</f>
        <v>0</v>
      </c>
      <c r="J50" s="100" t="n">
        <f aca="false">IF($G50=0,1,$H50/$G50)</f>
        <v>1</v>
      </c>
      <c r="K50" s="99" t="n">
        <v>16526</v>
      </c>
      <c r="L50" s="99" t="n">
        <f aca="false">'PT_LND-01'!$H$88</f>
        <v>18542</v>
      </c>
      <c r="M50" s="99" t="n">
        <f aca="false">'PT_LND-01'!$I$88</f>
        <v>16856</v>
      </c>
      <c r="N50" s="100" t="n">
        <f aca="false">IF($L50=0,0,$M50/$L50)</f>
        <v>0.90907129759465</v>
      </c>
      <c r="O50" s="51" t="str">
        <f aca="false">IF($I50&gt;=0,"At Plan",IF($I50&gt;=-5,"Minor Shortfall","Critical Shortfall"))</f>
        <v>At Plan</v>
      </c>
      <c r="P50" s="52" t="str">
        <f aca="false">IF(AND($J50&gt;=0.95,$N50&gt;=0.85),"Green",IF(OR($J50&lt;0.8,$N50&lt;0.7),"Red","Amber"))</f>
        <v>Green</v>
      </c>
      <c r="Q50" s="5"/>
      <c r="R50" s="5"/>
    </row>
    <row r="51" customFormat="false" ht="13.5" hidden="false" customHeight="true" outlineLevel="0" collapsed="false">
      <c r="A51" s="149" t="s">
        <v>304</v>
      </c>
      <c r="B51" s="150" t="str">
        <f aca="false">IFERROR(INDEX(Projects!$C$9:$C$16,MATCH($A51,Projects!$A$9:$A$16,0)),"")</f>
        <v>Land Development</v>
      </c>
      <c r="C51" s="94" t="n">
        <f aca="false">IF(Dashboard!$C$6="Corporate",1,IF(Dashboard!$C$6="Project",IF($A51=Dashboard!$M$6,1,0),IF($B51=Dashboard!$H$6,1,0)))</f>
        <v>1</v>
      </c>
      <c r="D51" s="30" t="s">
        <v>884</v>
      </c>
      <c r="E51" s="30" t="s">
        <v>885</v>
      </c>
      <c r="F51" s="46" t="s">
        <v>886</v>
      </c>
      <c r="G51" s="86" t="n">
        <f aca="false">'PT_LND-02'!$E$83</f>
        <v>1</v>
      </c>
      <c r="H51" s="86" t="n">
        <f aca="false">'PT_LND-02'!$F$83</f>
        <v>1</v>
      </c>
      <c r="I51" s="31" t="n">
        <f aca="false">$H51-$G51</f>
        <v>0</v>
      </c>
      <c r="J51" s="87" t="n">
        <f aca="false">IF($G51=0,1,$H51/$G51)</f>
        <v>1</v>
      </c>
      <c r="K51" s="92" t="n">
        <v>863</v>
      </c>
      <c r="L51" s="86" t="n">
        <f aca="false">'PT_LND-02'!$H$83</f>
        <v>903</v>
      </c>
      <c r="M51" s="86" t="n">
        <f aca="false">'PT_LND-02'!$I$83</f>
        <v>868</v>
      </c>
      <c r="N51" s="87" t="n">
        <f aca="false">IF($L51=0,0,$M51/$L51)</f>
        <v>0.961240310077519</v>
      </c>
      <c r="O51" s="45" t="str">
        <f aca="false">IF($I51&gt;=0,"At Plan",IF($I51&gt;=-5,"Minor Shortfall","Critical Shortfall"))</f>
        <v>At Plan</v>
      </c>
      <c r="P51" s="46" t="str">
        <f aca="false">IF(AND($J51&gt;=0.95,$N51&gt;=0.85),"Green",IF(OR($J51&lt;0.8,$N51&lt;0.7),"Red","Amber"))</f>
        <v>Green</v>
      </c>
      <c r="Q51" s="5"/>
      <c r="R51" s="5"/>
    </row>
    <row r="52" customFormat="false" ht="13.5" hidden="false" customHeight="true" outlineLevel="0" collapsed="false">
      <c r="A52" s="47" t="s">
        <v>304</v>
      </c>
      <c r="B52" s="154" t="str">
        <f aca="false">IFERROR(INDEX(Projects!$C$9:$C$16,MATCH($A52,Projects!$A$9:$A$16,0)),"")</f>
        <v>Land Development</v>
      </c>
      <c r="C52" s="155" t="n">
        <f aca="false">IF(Dashboard!$C$6="Corporate",1,IF(Dashboard!$C$6="Project",IF($A52=Dashboard!$M$6,1,0),IF($B52=Dashboard!$H$6,1,0)))</f>
        <v>1</v>
      </c>
      <c r="D52" s="37" t="s">
        <v>887</v>
      </c>
      <c r="E52" s="37" t="s">
        <v>885</v>
      </c>
      <c r="F52" s="52" t="s">
        <v>886</v>
      </c>
      <c r="G52" s="99" t="n">
        <f aca="false">'PT_LND-02'!$E$84</f>
        <v>1</v>
      </c>
      <c r="H52" s="99" t="n">
        <f aca="false">'PT_LND-02'!$F$84</f>
        <v>1</v>
      </c>
      <c r="I52" s="49" t="n">
        <f aca="false">$H52-$G52</f>
        <v>0</v>
      </c>
      <c r="J52" s="100" t="n">
        <f aca="false">IF($G52=0,1,$H52/$G52)</f>
        <v>1</v>
      </c>
      <c r="K52" s="99" t="n">
        <v>403</v>
      </c>
      <c r="L52" s="99" t="n">
        <f aca="false">'PT_LND-02'!$H$84</f>
        <v>421</v>
      </c>
      <c r="M52" s="99" t="n">
        <f aca="false">'PT_LND-02'!$I$84</f>
        <v>405</v>
      </c>
      <c r="N52" s="100" t="n">
        <f aca="false">IF($L52=0,0,$M52/$L52)</f>
        <v>0.961995249406176</v>
      </c>
      <c r="O52" s="51" t="str">
        <f aca="false">IF($I52&gt;=0,"At Plan",IF($I52&gt;=-5,"Minor Shortfall","Critical Shortfall"))</f>
        <v>At Plan</v>
      </c>
      <c r="P52" s="52" t="str">
        <f aca="false">IF(AND($J52&gt;=0.95,$N52&gt;=0.85),"Green",IF(OR($J52&lt;0.8,$N52&lt;0.7),"Red","Amber"))</f>
        <v>Green</v>
      </c>
      <c r="Q52" s="5"/>
      <c r="R52" s="5"/>
    </row>
    <row r="53" customFormat="false" ht="13.5" hidden="false" customHeight="true" outlineLevel="0" collapsed="false">
      <c r="A53" s="149" t="s">
        <v>304</v>
      </c>
      <c r="B53" s="150" t="str">
        <f aca="false">IFERROR(INDEX(Projects!$C$9:$C$16,MATCH($A53,Projects!$A$9:$A$16,0)),"")</f>
        <v>Land Development</v>
      </c>
      <c r="C53" s="94" t="n">
        <f aca="false">IF(Dashboard!$C$6="Corporate",1,IF(Dashboard!$C$6="Project",IF($A53=Dashboard!$M$6,1,0),IF($B53=Dashboard!$H$6,1,0)))</f>
        <v>1</v>
      </c>
      <c r="D53" s="30" t="s">
        <v>888</v>
      </c>
      <c r="E53" s="30" t="s">
        <v>889</v>
      </c>
      <c r="F53" s="46" t="s">
        <v>890</v>
      </c>
      <c r="G53" s="86" t="n">
        <f aca="false">'PT_LND-02'!$E$85</f>
        <v>2</v>
      </c>
      <c r="H53" s="86" t="n">
        <f aca="false">'PT_LND-02'!$F$85</f>
        <v>2</v>
      </c>
      <c r="I53" s="31" t="n">
        <f aca="false">$H53-$G53</f>
        <v>0</v>
      </c>
      <c r="J53" s="87" t="n">
        <f aca="false">IF($G53=0,1,$H53/$G53)</f>
        <v>1</v>
      </c>
      <c r="K53" s="92" t="n">
        <v>1151</v>
      </c>
      <c r="L53" s="86" t="n">
        <f aca="false">'PT_LND-02'!$H$85</f>
        <v>1269</v>
      </c>
      <c r="M53" s="86" t="n">
        <f aca="false">'PT_LND-02'!$I$85</f>
        <v>1154</v>
      </c>
      <c r="N53" s="87" t="n">
        <f aca="false">IF($L53=0,0,$M53/$L53)</f>
        <v>0.909377462568952</v>
      </c>
      <c r="O53" s="45" t="str">
        <f aca="false">IF($I53&gt;=0,"At Plan",IF($I53&gt;=-5,"Minor Shortfall","Critical Shortfall"))</f>
        <v>At Plan</v>
      </c>
      <c r="P53" s="46" t="str">
        <f aca="false">IF(AND($J53&gt;=0.95,$N53&gt;=0.85),"Green",IF(OR($J53&lt;0.8,$N53&lt;0.7),"Red","Amber"))</f>
        <v>Green</v>
      </c>
      <c r="Q53" s="5"/>
      <c r="R53" s="5"/>
    </row>
    <row r="54" customFormat="false" ht="13.5" hidden="false" customHeight="true" outlineLevel="0" collapsed="false">
      <c r="A54" s="47" t="s">
        <v>304</v>
      </c>
      <c r="B54" s="154" t="str">
        <f aca="false">IFERROR(INDEX(Projects!$C$9:$C$16,MATCH($A54,Projects!$A$9:$A$16,0)),"")</f>
        <v>Land Development</v>
      </c>
      <c r="C54" s="155" t="n">
        <f aca="false">IF(Dashboard!$C$6="Corporate",1,IF(Dashboard!$C$6="Project",IF($A54=Dashboard!$M$6,1,0),IF($B54=Dashboard!$H$6,1,0)))</f>
        <v>1</v>
      </c>
      <c r="D54" s="37" t="s">
        <v>891</v>
      </c>
      <c r="E54" s="37" t="s">
        <v>889</v>
      </c>
      <c r="F54" s="52" t="s">
        <v>890</v>
      </c>
      <c r="G54" s="99" t="n">
        <f aca="false">'PT_LND-02'!$E$86</f>
        <v>6</v>
      </c>
      <c r="H54" s="99" t="n">
        <f aca="false">'PT_LND-02'!$F$86</f>
        <v>6</v>
      </c>
      <c r="I54" s="49" t="n">
        <f aca="false">$H54-$G54</f>
        <v>0</v>
      </c>
      <c r="J54" s="100" t="n">
        <f aca="false">IF($G54=0,1,$H54/$G54)</f>
        <v>1</v>
      </c>
      <c r="K54" s="99" t="n">
        <v>3884</v>
      </c>
      <c r="L54" s="99" t="n">
        <f aca="false">'PT_LND-02'!$H$86</f>
        <v>4283</v>
      </c>
      <c r="M54" s="99" t="n">
        <f aca="false">'PT_LND-02'!$I$86</f>
        <v>3894</v>
      </c>
      <c r="N54" s="100" t="n">
        <f aca="false">IF($L54=0,0,$M54/$L54)</f>
        <v>0.909175811347187</v>
      </c>
      <c r="O54" s="51" t="str">
        <f aca="false">IF($I54&gt;=0,"At Plan",IF($I54&gt;=-5,"Minor Shortfall","Critical Shortfall"))</f>
        <v>At Plan</v>
      </c>
      <c r="P54" s="52" t="str">
        <f aca="false">IF(AND($J54&gt;=0.95,$N54&gt;=0.85),"Green",IF(OR($J54&lt;0.8,$N54&lt;0.7),"Red","Amber"))</f>
        <v>Green</v>
      </c>
      <c r="Q54" s="5"/>
      <c r="R54" s="5"/>
    </row>
    <row r="55" customFormat="false" ht="13.5" hidden="false" customHeight="true" outlineLevel="0" collapsed="false">
      <c r="A55" s="149" t="s">
        <v>304</v>
      </c>
      <c r="B55" s="150" t="str">
        <f aca="false">IFERROR(INDEX(Projects!$C$9:$C$16,MATCH($A55,Projects!$A$9:$A$16,0)),"")</f>
        <v>Land Development</v>
      </c>
      <c r="C55" s="94" t="n">
        <f aca="false">IF(Dashboard!$C$6="Corporate",1,IF(Dashboard!$C$6="Project",IF($A55=Dashboard!$M$6,1,0),IF($B55=Dashboard!$H$6,1,0)))</f>
        <v>1</v>
      </c>
      <c r="D55" s="30" t="s">
        <v>892</v>
      </c>
      <c r="E55" s="30" t="s">
        <v>889</v>
      </c>
      <c r="F55" s="46" t="s">
        <v>890</v>
      </c>
      <c r="G55" s="86" t="n">
        <f aca="false">'PT_LND-02'!$E$87</f>
        <v>22</v>
      </c>
      <c r="H55" s="86" t="n">
        <f aca="false">'PT_LND-02'!$F$87</f>
        <v>22</v>
      </c>
      <c r="I55" s="31" t="n">
        <f aca="false">$H55-$G55</f>
        <v>0</v>
      </c>
      <c r="J55" s="87" t="n">
        <f aca="false">IF($G55=0,1,$H55/$G55)</f>
        <v>1</v>
      </c>
      <c r="K55" s="92" t="n">
        <v>15250</v>
      </c>
      <c r="L55" s="86" t="n">
        <f aca="false">'PT_LND-02'!$H$87</f>
        <v>16815</v>
      </c>
      <c r="M55" s="86" t="n">
        <f aca="false">'PT_LND-02'!$I$87</f>
        <v>15286</v>
      </c>
      <c r="N55" s="87" t="n">
        <f aca="false">IF($L55=0,0,$M55/$L55)</f>
        <v>0.909069283377936</v>
      </c>
      <c r="O55" s="45" t="str">
        <f aca="false">IF($I55&gt;=0,"At Plan",IF($I55&gt;=-5,"Minor Shortfall","Critical Shortfall"))</f>
        <v>At Plan</v>
      </c>
      <c r="P55" s="46" t="str">
        <f aca="false">IF(AND($J55&gt;=0.95,$N55&gt;=0.85),"Green",IF(OR($J55&lt;0.8,$N55&lt;0.7),"Red","Amber"))</f>
        <v>Green</v>
      </c>
      <c r="Q55" s="5"/>
      <c r="R55" s="5"/>
    </row>
    <row r="56" customFormat="false" ht="13.5" hidden="false" customHeight="true" outlineLevel="0" collapsed="false">
      <c r="A56" s="47" t="s">
        <v>304</v>
      </c>
      <c r="B56" s="154" t="str">
        <f aca="false">IFERROR(INDEX(Projects!$C$9:$C$16,MATCH($A56,Projects!$A$9:$A$16,0)),"")</f>
        <v>Land Development</v>
      </c>
      <c r="C56" s="155" t="n">
        <f aca="false">IF(Dashboard!$C$6="Corporate",1,IF(Dashboard!$C$6="Project",IF($A56=Dashboard!$M$6,1,0),IF($B56=Dashboard!$H$6,1,0)))</f>
        <v>1</v>
      </c>
      <c r="D56" s="37" t="s">
        <v>893</v>
      </c>
      <c r="E56" s="37" t="s">
        <v>889</v>
      </c>
      <c r="F56" s="52" t="s">
        <v>890</v>
      </c>
      <c r="G56" s="99" t="n">
        <f aca="false">'PT_LND-02'!$E$88</f>
        <v>10</v>
      </c>
      <c r="H56" s="99" t="n">
        <f aca="false">'PT_LND-02'!$F$88</f>
        <v>10</v>
      </c>
      <c r="I56" s="49" t="n">
        <f aca="false">$H56-$G56</f>
        <v>0</v>
      </c>
      <c r="J56" s="100" t="n">
        <f aca="false">IF($G56=0,1,$H56/$G56)</f>
        <v>1</v>
      </c>
      <c r="K56" s="99" t="n">
        <v>7222</v>
      </c>
      <c r="L56" s="99" t="n">
        <f aca="false">'PT_LND-02'!$H$88</f>
        <v>7965</v>
      </c>
      <c r="M56" s="99" t="n">
        <f aca="false">'PT_LND-02'!$I$88</f>
        <v>7241</v>
      </c>
      <c r="N56" s="100" t="n">
        <f aca="false">IF($L56=0,0,$M56/$L56)</f>
        <v>0.909102322661645</v>
      </c>
      <c r="O56" s="51" t="str">
        <f aca="false">IF($I56&gt;=0,"At Plan",IF($I56&gt;=-5,"Minor Shortfall","Critical Shortfall"))</f>
        <v>At Plan</v>
      </c>
      <c r="P56" s="52" t="str">
        <f aca="false">IF(AND($J56&gt;=0.95,$N56&gt;=0.85),"Green",IF(OR($J56&lt;0.8,$N56&lt;0.7),"Red","Amber"))</f>
        <v>Green</v>
      </c>
      <c r="Q56" s="5"/>
      <c r="R56" s="5"/>
    </row>
    <row r="57" customFormat="false" ht="15" hidden="false" customHeight="true" outlineLevel="0" collapsed="false">
      <c r="A57" s="27" t="s">
        <v>633</v>
      </c>
      <c r="B57" s="27"/>
      <c r="C57" s="27"/>
      <c r="D57" s="27"/>
      <c r="E57" s="27"/>
      <c r="F57" s="27"/>
      <c r="G57" s="28" t="n">
        <f aca="false">SUMPRODUCT(Manpower_Register!$C$9:$C$56,$G$9:$G$56)</f>
        <v>529</v>
      </c>
      <c r="H57" s="28" t="n">
        <f aca="false">SUMPRODUCT(Manpower_Register!$C$9:$C$56,$H$9:$H$56)</f>
        <v>528</v>
      </c>
      <c r="I57" s="28" t="n">
        <f aca="false">SUMPRODUCT(Manpower_Register!$C$9:$C$56,$I$9:$I$56)</f>
        <v>-1</v>
      </c>
      <c r="J57" s="104" t="n">
        <f aca="false">IF($G57=0,1,$H57/$G57)</f>
        <v>0.998109640831758</v>
      </c>
      <c r="K57" s="28" t="n">
        <f aca="false">SUMPRODUCT(Manpower_Register!$C$9:$C$56,$K$9:$K$56)</f>
        <v>394390</v>
      </c>
      <c r="L57" s="28" t="n">
        <f aca="false">SUMPRODUCT(Manpower_Register!$C$9:$C$56,$L$9:$L$56)</f>
        <v>435081</v>
      </c>
      <c r="M57" s="28" t="n">
        <f aca="false">SUMPRODUCT(Manpower_Register!$C$9:$C$56,$M$9:$M$56)</f>
        <v>396484</v>
      </c>
      <c r="N57" s="104" t="n">
        <f aca="false">IF($L57=0,0,$M57/$L57)</f>
        <v>0.911287783194394</v>
      </c>
      <c r="O57" s="105"/>
      <c r="P57" s="145" t="str">
        <f aca="false">IF(AND($J57&gt;=0.95,$N57&gt;=0.85),"Green",IF(OR($J57&lt;0.8,$N57&lt;0.7),"Red","Amber"))</f>
        <v>Green</v>
      </c>
      <c r="Q57" s="5"/>
      <c r="R57" s="5"/>
    </row>
    <row r="58" customFormat="false" ht="15" hidden="false" customHeight="true" outlineLevel="0" collapsed="false">
      <c r="A58" s="5"/>
      <c r="B58" s="5"/>
      <c r="C58" s="5"/>
      <c r="D58" s="5"/>
      <c r="E58" s="5"/>
      <c r="F58" s="5"/>
      <c r="G58" s="5"/>
      <c r="H58" s="5"/>
      <c r="I58" s="5"/>
      <c r="J58" s="5"/>
      <c r="K58" s="5"/>
      <c r="L58" s="5"/>
      <c r="M58" s="5"/>
      <c r="N58" s="5"/>
      <c r="O58" s="5"/>
      <c r="P58" s="5"/>
      <c r="Q58" s="5"/>
      <c r="R58" s="5"/>
    </row>
    <row r="59" customFormat="false" ht="19.5" hidden="false" customHeight="true" outlineLevel="0" collapsed="false">
      <c r="A59" s="13" t="s">
        <v>894</v>
      </c>
      <c r="B59" s="13"/>
      <c r="C59" s="13"/>
      <c r="D59" s="13"/>
      <c r="E59" s="13"/>
      <c r="F59" s="13"/>
      <c r="G59" s="13"/>
      <c r="H59" s="13"/>
      <c r="I59" s="13"/>
      <c r="J59" s="13"/>
      <c r="K59" s="13"/>
      <c r="L59" s="13"/>
      <c r="M59" s="13"/>
      <c r="N59" s="13"/>
      <c r="O59" s="13"/>
      <c r="P59" s="13"/>
      <c r="Q59" s="5"/>
      <c r="R59" s="5"/>
    </row>
    <row r="60" customFormat="false" ht="15.75" hidden="false" customHeight="true" outlineLevel="0" collapsed="false">
      <c r="A60" s="53" t="s">
        <v>895</v>
      </c>
      <c r="B60" s="53"/>
      <c r="C60" s="53"/>
      <c r="D60" s="164" t="n">
        <f aca="false">SUMPRODUCT(Manpower_Register!$C$9:$C$56,($F$9:$F$56="Direct")*1,$G$9:$G$56)</f>
        <v>504</v>
      </c>
      <c r="E60" s="164"/>
      <c r="F60" s="53" t="s">
        <v>896</v>
      </c>
      <c r="G60" s="53"/>
      <c r="H60" s="53"/>
      <c r="I60" s="164" t="n">
        <f aca="false">SUMPRODUCT(Manpower_Register!$C$9:$C$56,($F$9:$F$56="Direct")*1,$H$9:$H$56)</f>
        <v>504</v>
      </c>
      <c r="J60" s="164"/>
      <c r="K60" s="5"/>
      <c r="L60" s="5"/>
      <c r="M60" s="5"/>
      <c r="N60" s="53" t="s">
        <v>897</v>
      </c>
      <c r="O60" s="53"/>
      <c r="P60" s="53"/>
      <c r="Q60" s="143" t="n">
        <f aca="false">IF(SUMPRODUCT(Manpower_Register!$C$9:$C$56,($F$9:$F$56="Direct")*1,$G$9:$G$56)=0,1,SUMPRODUCT(Manpower_Register!$C$9:$C$56,($F$9:$F$56="Direct")*1,$H$9:$H$56)/SUMPRODUCT(Manpower_Register!$C$9:$C$56,($F$9:$F$56="Direct")*1,$G$9:$G$56))</f>
        <v>1</v>
      </c>
      <c r="R60" s="143"/>
    </row>
    <row r="61" customFormat="false" ht="15.75" hidden="false" customHeight="true" outlineLevel="0" collapsed="false">
      <c r="A61" s="53" t="s">
        <v>898</v>
      </c>
      <c r="B61" s="53"/>
      <c r="C61" s="53"/>
      <c r="D61" s="164" t="n">
        <f aca="false">SUMPRODUCT(Manpower_Register!$C$9:$C$56,($F$9:$F$56="Indirect")*1,$G$9:$G$56)</f>
        <v>25</v>
      </c>
      <c r="E61" s="164"/>
      <c r="F61" s="53" t="s">
        <v>899</v>
      </c>
      <c r="G61" s="53"/>
      <c r="H61" s="53"/>
      <c r="I61" s="164" t="n">
        <f aca="false">SUMPRODUCT(Manpower_Register!$C$9:$C$56,($F$9:$F$56="Indirect")*1,$H$9:$H$56)</f>
        <v>24</v>
      </c>
      <c r="J61" s="164"/>
      <c r="K61" s="5"/>
      <c r="L61" s="5"/>
      <c r="M61" s="5"/>
      <c r="N61" s="53" t="s">
        <v>900</v>
      </c>
      <c r="O61" s="53"/>
      <c r="P61" s="53"/>
      <c r="Q61" s="143" t="n">
        <f aca="false">IF(SUMPRODUCT(Manpower_Register!$C$9:$C$56,($F$9:$F$56="Direct")*1,$H$9:$H$56)=0,0,SUMPRODUCT(Manpower_Register!$C$9:$C$56,($F$9:$F$56="Indirect")*1,$H$9:$H$56)/SUMPRODUCT(Manpower_Register!$C$9:$C$56,($F$9:$F$56="Direct")*1,$H$9:$H$56))</f>
        <v>0.0476190476190476</v>
      </c>
      <c r="R61" s="143"/>
    </row>
    <row r="62" customFormat="false" ht="15.75" hidden="false" customHeight="true" outlineLevel="0" collapsed="false">
      <c r="A62" s="53" t="s">
        <v>901</v>
      </c>
      <c r="B62" s="53"/>
      <c r="C62" s="53"/>
      <c r="D62" s="164" t="n">
        <f aca="false">SUMPRODUCT(Manpower_Register!$C$9:$C$56,$L$9:$L$56)</f>
        <v>435081</v>
      </c>
      <c r="E62" s="164"/>
      <c r="F62" s="53" t="s">
        <v>902</v>
      </c>
      <c r="G62" s="53"/>
      <c r="H62" s="53"/>
      <c r="I62" s="164" t="n">
        <f aca="false">SUMPRODUCT(Manpower_Register!$C$9:$C$56,$M$9:$M$56)</f>
        <v>396484</v>
      </c>
      <c r="J62" s="164"/>
      <c r="K62" s="5"/>
      <c r="L62" s="5"/>
      <c r="M62" s="5"/>
      <c r="N62" s="53" t="s">
        <v>903</v>
      </c>
      <c r="O62" s="53"/>
      <c r="P62" s="53"/>
      <c r="Q62" s="143" t="n">
        <f aca="false">IF(SUMPRODUCT(Manpower_Register!$C$9:$C$56,$L$9:$L$56)=0,0,SUMPRODUCT(Manpower_Register!$C$9:$C$56,$M$9:$M$56)/SUMPRODUCT(Manpower_Register!$C$9:$C$56,$L$9:$L$56))</f>
        <v>0.911287783194394</v>
      </c>
      <c r="R62" s="143"/>
    </row>
    <row r="63" customFormat="false" ht="15.75" hidden="false" customHeight="true" outlineLevel="0" collapsed="false">
      <c r="A63" s="53" t="s">
        <v>904</v>
      </c>
      <c r="B63" s="53"/>
      <c r="C63" s="53"/>
      <c r="D63" s="164" t="n">
        <f aca="false">SUMPRODUCT(Manpower_Register!$C$9:$C$56,$K$9:$K$56)</f>
        <v>394390</v>
      </c>
      <c r="E63" s="164"/>
      <c r="F63" s="53" t="s">
        <v>905</v>
      </c>
      <c r="G63" s="53"/>
      <c r="H63" s="53"/>
      <c r="I63" s="170" t="n">
        <f aca="false">IF(SUMPRODUCT(Manpower_Register!$C$9:$C$56,$M$9:$M$56)=0,0,Master_Tracker!$M$13/SUMPRODUCT(Manpower_Register!$C$9:$C$56,$M$9:$M$56))</f>
        <v>303.614987033525</v>
      </c>
      <c r="J63" s="170"/>
      <c r="K63" s="5"/>
      <c r="L63" s="5"/>
      <c r="M63" s="5"/>
      <c r="N63" s="53" t="s">
        <v>906</v>
      </c>
      <c r="O63" s="53"/>
      <c r="P63" s="53"/>
      <c r="Q63" s="171" t="str">
        <f aca="false">IF(IF(SUMPRODUCT(Manpower_Register!$C$9:$C$56,($F$9:$F$56="Direct")*1,$G$9:$G$56)=0,1,SUMPRODUCT(Manpower_Register!$C$9:$C$56,($F$9:$F$56="Direct")*1,$H$9:$H$56)/SUMPRODUCT(Manpower_Register!$C$9:$C$56,($F$9:$F$56="Direct")*1,$G$9:$G$56))&gt;=0.98,"Green",IF(IF(SUMPRODUCT(Manpower_Register!$C$9:$C$56,($F$9:$F$56="Direct")*1,$G$9:$G$56)=0,1,SUMPRODUCT(Manpower_Register!$C$9:$C$56,($F$9:$F$56="Direct")*1,$H$9:$H$56)/SUMPRODUCT(Manpower_Register!$C$9:$C$56,($F$9:$F$56="Direct")*1,$G$9:$G$56))&gt;=0.8,"Amber","Red"))</f>
        <v>Green</v>
      </c>
      <c r="R63" s="171"/>
    </row>
    <row r="64" customFormat="false" ht="15" hidden="false" customHeight="true" outlineLevel="0" collapsed="false">
      <c r="A64" s="5"/>
      <c r="B64" s="5"/>
      <c r="C64" s="5"/>
      <c r="D64" s="5"/>
      <c r="E64" s="5"/>
      <c r="F64" s="5"/>
      <c r="G64" s="5"/>
      <c r="H64" s="5"/>
      <c r="I64" s="5"/>
      <c r="J64" s="5"/>
      <c r="K64" s="5"/>
      <c r="L64" s="5"/>
      <c r="M64" s="5"/>
      <c r="N64" s="5"/>
      <c r="O64" s="5"/>
      <c r="P64" s="5"/>
      <c r="Q64" s="5"/>
      <c r="R64" s="5"/>
    </row>
    <row r="65" customFormat="false" ht="25.5" hidden="false" customHeight="true" outlineLevel="0" collapsed="false">
      <c r="A65" s="58" t="s">
        <v>907</v>
      </c>
      <c r="B65" s="58"/>
      <c r="C65" s="58"/>
      <c r="D65" s="58"/>
      <c r="E65" s="58"/>
      <c r="F65" s="58"/>
      <c r="G65" s="58"/>
      <c r="H65" s="58"/>
      <c r="I65" s="58"/>
      <c r="J65" s="58"/>
      <c r="K65" s="58"/>
      <c r="L65" s="58"/>
      <c r="M65" s="58"/>
      <c r="N65" s="58"/>
      <c r="O65" s="58"/>
      <c r="P65" s="58"/>
      <c r="Q65" s="5"/>
      <c r="R65" s="5"/>
    </row>
  </sheetData>
  <autoFilter ref="A8:P56"/>
  <mergeCells count="32">
    <mergeCell ref="A1:P1"/>
    <mergeCell ref="A2:P2"/>
    <mergeCell ref="A3:P3"/>
    <mergeCell ref="A4:P4"/>
    <mergeCell ref="A6:P6"/>
    <mergeCell ref="A57:F57"/>
    <mergeCell ref="A59:P59"/>
    <mergeCell ref="A60:C60"/>
    <mergeCell ref="D60:E60"/>
    <mergeCell ref="F60:H60"/>
    <mergeCell ref="I60:J60"/>
    <mergeCell ref="N60:P60"/>
    <mergeCell ref="Q60:R60"/>
    <mergeCell ref="A61:C61"/>
    <mergeCell ref="D61:E61"/>
    <mergeCell ref="F61:H61"/>
    <mergeCell ref="I61:J61"/>
    <mergeCell ref="N61:P61"/>
    <mergeCell ref="Q61:R61"/>
    <mergeCell ref="A62:C62"/>
    <mergeCell ref="D62:E62"/>
    <mergeCell ref="F62:H62"/>
    <mergeCell ref="I62:J62"/>
    <mergeCell ref="N62:P62"/>
    <mergeCell ref="Q62:R62"/>
    <mergeCell ref="A63:C63"/>
    <mergeCell ref="D63:E63"/>
    <mergeCell ref="F63:H63"/>
    <mergeCell ref="I63:J63"/>
    <mergeCell ref="N63:P63"/>
    <mergeCell ref="Q63:R63"/>
    <mergeCell ref="A65:P65"/>
  </mergeCells>
  <conditionalFormatting sqref="P9:P56">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9:O56">
    <cfRule type="cellIs" priority="5" operator="equal" aboveAverage="0" equalAverage="0" bottom="0" percent="0" rank="0" text="" dxfId="0">
      <formula>"At Plan"</formula>
    </cfRule>
    <cfRule type="cellIs" priority="6" operator="equal" aboveAverage="0" equalAverage="0" bottom="0" percent="0" rank="0" text="" dxfId="1">
      <formula>"Minor Shortfall"</formula>
    </cfRule>
    <cfRule type="cellIs" priority="7" operator="equal" aboveAverage="0" equalAverage="0" bottom="0" percent="0" rank="0" text="" dxfId="2">
      <formula>"Critical Shortfall"</formula>
    </cfRule>
  </conditionalFormatting>
  <conditionalFormatting sqref="C9:C56">
    <cfRule type="cellIs" priority="8" operator="equal" aboveAverage="0" equalAverage="0" bottom="0" percent="0" rank="0" text="" dxfId="0">
      <formula>"1"</formula>
    </cfRule>
  </conditionalFormatting>
  <conditionalFormatting sqref="Q63:U63">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dataValidations count="1">
    <dataValidation allowBlank="true" errorStyle="stop" operator="between" showDropDown="false" showErrorMessage="false" showInputMessage="false" sqref="A9:A56"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U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4" min="4" style="1" width="12"/>
    <col collapsed="false" customWidth="true" hidden="false" outlineLevel="0" max="5" min="5" style="1" width="40"/>
    <col collapsed="false" customWidth="true" hidden="false" outlineLevel="0" max="6" min="6" style="1" width="9"/>
    <col collapsed="false" customWidth="true" hidden="false" outlineLevel="0" max="8" min="7" style="1" width="8"/>
    <col collapsed="false" customWidth="true" hidden="false" outlineLevel="0" max="12" min="9" style="1" width="10"/>
    <col collapsed="false" customWidth="true" hidden="false" outlineLevel="0" max="13" min="13" style="1" width="9"/>
    <col collapsed="false" customWidth="true" hidden="false" outlineLevel="0" max="14" min="14" style="1" width="10"/>
    <col collapsed="false" customWidth="true" hidden="false" outlineLevel="0" max="16" min="15" style="1" width="11"/>
    <col collapsed="false" customWidth="true" hidden="false" outlineLevel="0" max="17" min="17" style="1" width="10"/>
    <col collapsed="false" customWidth="true" hidden="false" outlineLevel="0" max="18" min="18" style="1" width="14"/>
    <col collapsed="false" customWidth="true" hidden="false" outlineLevel="0" max="19" min="19" style="1" width="13"/>
    <col collapsed="false" customWidth="true" hidden="false" outlineLevel="0" max="21" min="20" style="1" width="7"/>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row>
    <row r="2" customFormat="false" ht="30" hidden="false" customHeight="true" outlineLevel="0" collapsed="false">
      <c r="A2" s="59" t="s">
        <v>908</v>
      </c>
      <c r="B2" s="59"/>
      <c r="C2" s="59"/>
      <c r="D2" s="59"/>
      <c r="E2" s="59"/>
      <c r="F2" s="59"/>
      <c r="G2" s="59"/>
      <c r="H2" s="59"/>
      <c r="I2" s="59"/>
      <c r="J2" s="59"/>
      <c r="K2" s="59"/>
      <c r="L2" s="59"/>
      <c r="M2" s="59"/>
      <c r="N2" s="59"/>
      <c r="O2" s="59"/>
      <c r="P2" s="59"/>
      <c r="Q2" s="59"/>
      <c r="R2" s="59"/>
      <c r="S2" s="59"/>
      <c r="T2" s="59"/>
      <c r="U2" s="59"/>
    </row>
    <row r="3" customFormat="false" ht="16.5" hidden="false" customHeight="true" outlineLevel="0" collapsed="false">
      <c r="A3" s="60" t="s">
        <v>909</v>
      </c>
      <c r="B3" s="60"/>
      <c r="C3" s="60"/>
      <c r="D3" s="60"/>
      <c r="E3" s="60"/>
      <c r="F3" s="60"/>
      <c r="G3" s="60"/>
      <c r="H3" s="60"/>
      <c r="I3" s="60"/>
      <c r="J3" s="60"/>
      <c r="K3" s="60"/>
      <c r="L3" s="60"/>
      <c r="M3" s="60"/>
      <c r="N3" s="60"/>
      <c r="O3" s="60"/>
      <c r="P3" s="60"/>
      <c r="Q3" s="60"/>
      <c r="R3" s="60"/>
      <c r="S3" s="60"/>
      <c r="T3" s="60"/>
      <c r="U3" s="60"/>
    </row>
    <row r="4" customFormat="false" ht="15" hidden="false" customHeight="true" outlineLevel="0" collapsed="false">
      <c r="A4" s="61" t="s">
        <v>910</v>
      </c>
      <c r="B4" s="61"/>
      <c r="C4" s="61"/>
      <c r="D4" s="61"/>
      <c r="E4" s="61"/>
      <c r="F4" s="61"/>
      <c r="G4" s="61"/>
      <c r="H4" s="61"/>
      <c r="I4" s="61"/>
      <c r="J4" s="61"/>
      <c r="K4" s="61"/>
      <c r="L4" s="61"/>
      <c r="M4" s="61"/>
      <c r="N4" s="61"/>
      <c r="O4" s="61"/>
      <c r="P4" s="61"/>
      <c r="Q4" s="61"/>
      <c r="R4" s="61"/>
      <c r="S4" s="61"/>
      <c r="T4" s="61"/>
      <c r="U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row>
    <row r="6" customFormat="false" ht="19.5" hidden="false" customHeight="true" outlineLevel="0" collapsed="false">
      <c r="A6" s="13" t="s">
        <v>911</v>
      </c>
      <c r="B6" s="13"/>
      <c r="C6" s="13"/>
      <c r="D6" s="13"/>
      <c r="E6" s="13"/>
      <c r="F6" s="13"/>
      <c r="G6" s="13"/>
      <c r="H6" s="13"/>
      <c r="I6" s="13"/>
      <c r="J6" s="13"/>
      <c r="K6" s="13"/>
      <c r="L6" s="13"/>
      <c r="M6" s="13"/>
      <c r="N6" s="13"/>
      <c r="O6" s="13"/>
      <c r="P6" s="13"/>
      <c r="Q6" s="13"/>
      <c r="R6" s="13"/>
      <c r="S6" s="13"/>
      <c r="T6" s="13"/>
      <c r="U6" s="13"/>
    </row>
    <row r="7" customFormat="false" ht="13.5" hidden="false" customHeight="true" outlineLevel="0" collapsed="false">
      <c r="A7" s="80" t="s">
        <v>912</v>
      </c>
      <c r="B7" s="80"/>
      <c r="C7" s="80"/>
      <c r="D7" s="80"/>
      <c r="E7" s="80"/>
      <c r="F7" s="80"/>
      <c r="G7" s="80"/>
      <c r="H7" s="80"/>
      <c r="I7" s="80"/>
      <c r="J7" s="80"/>
      <c r="K7" s="80"/>
      <c r="L7" s="80"/>
      <c r="M7" s="80"/>
      <c r="N7" s="80"/>
      <c r="O7" s="80"/>
      <c r="P7" s="80"/>
      <c r="Q7" s="80"/>
      <c r="R7" s="80"/>
      <c r="S7" s="80"/>
      <c r="T7" s="80"/>
      <c r="U7" s="80"/>
    </row>
    <row r="8" customFormat="false" ht="39.75" hidden="false" customHeight="true" outlineLevel="0" collapsed="false">
      <c r="A8" s="23" t="s">
        <v>256</v>
      </c>
      <c r="B8" s="23" t="s">
        <v>5</v>
      </c>
      <c r="C8" s="23" t="s">
        <v>289</v>
      </c>
      <c r="D8" s="23" t="s">
        <v>913</v>
      </c>
      <c r="E8" s="23" t="s">
        <v>914</v>
      </c>
      <c r="F8" s="23" t="s">
        <v>915</v>
      </c>
      <c r="G8" s="23" t="s">
        <v>916</v>
      </c>
      <c r="H8" s="23" t="s">
        <v>917</v>
      </c>
      <c r="I8" s="23" t="s">
        <v>918</v>
      </c>
      <c r="J8" s="23" t="s">
        <v>919</v>
      </c>
      <c r="K8" s="23" t="s">
        <v>920</v>
      </c>
      <c r="L8" s="23" t="s">
        <v>921</v>
      </c>
      <c r="M8" s="23" t="s">
        <v>922</v>
      </c>
      <c r="N8" s="23" t="s">
        <v>923</v>
      </c>
      <c r="O8" s="23" t="s">
        <v>924</v>
      </c>
      <c r="P8" s="23" t="s">
        <v>882</v>
      </c>
      <c r="Q8" s="23" t="s">
        <v>925</v>
      </c>
      <c r="R8" s="23" t="s">
        <v>926</v>
      </c>
      <c r="S8" s="23" t="s">
        <v>927</v>
      </c>
      <c r="T8" s="23" t="s">
        <v>288</v>
      </c>
      <c r="U8" s="23" t="s">
        <v>777</v>
      </c>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42" t="s">
        <v>928</v>
      </c>
      <c r="E9" s="30" t="s">
        <v>929</v>
      </c>
      <c r="F9" s="45" t="s">
        <v>889</v>
      </c>
      <c r="G9" s="92" t="n">
        <v>3</v>
      </c>
      <c r="H9" s="92" t="n">
        <v>2</v>
      </c>
      <c r="I9" s="85" t="n">
        <v>46122</v>
      </c>
      <c r="J9" s="85" t="n">
        <v>46660</v>
      </c>
      <c r="K9" s="92" t="n">
        <v>7939</v>
      </c>
      <c r="L9" s="92" t="n">
        <v>5763</v>
      </c>
      <c r="M9" s="92" t="n">
        <v>1037</v>
      </c>
      <c r="N9" s="92" t="n">
        <v>288</v>
      </c>
      <c r="O9" s="87" t="n">
        <f aca="false">IF(($L9+$M9+$N9)=0,1,($L9+$M9)/($L9+$M9+$N9))</f>
        <v>0.959367945823928</v>
      </c>
      <c r="P9" s="87" t="n">
        <f aca="false">IF(($L9+$M9+$N9)=0,0,$L9/($L9+$M9+$N9))</f>
        <v>0.813064334085779</v>
      </c>
      <c r="Q9" s="176" t="n">
        <v>145</v>
      </c>
      <c r="R9" s="31" t="n">
        <f aca="false">$L9*$Q9</f>
        <v>835635</v>
      </c>
      <c r="S9" s="93" t="s">
        <v>930</v>
      </c>
      <c r="T9" s="46" t="str">
        <f aca="false">IF(AND($O9&gt;=0.9,$P9&gt;=0.6,$S9="Valid"),"Green",IF(OR($O9&lt;0.8,$P9&lt;0.4,$S9="Expired"),"Red","Amber"))</f>
        <v>Green</v>
      </c>
      <c r="U9" s="174" t="n">
        <f aca="false">$C9*($M9*$Q9+ROW()/100000)</f>
        <v>150365.00009</v>
      </c>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47" t="s">
        <v>931</v>
      </c>
      <c r="E10" s="37" t="s">
        <v>932</v>
      </c>
      <c r="F10" s="51" t="s">
        <v>889</v>
      </c>
      <c r="G10" s="99" t="n">
        <v>4</v>
      </c>
      <c r="H10" s="99" t="n">
        <v>3</v>
      </c>
      <c r="I10" s="98" t="n">
        <v>46122</v>
      </c>
      <c r="J10" s="98" t="n">
        <v>46660</v>
      </c>
      <c r="K10" s="99" t="n">
        <v>1981</v>
      </c>
      <c r="L10" s="99" t="n">
        <v>1393</v>
      </c>
      <c r="M10" s="99" t="n">
        <v>306</v>
      </c>
      <c r="N10" s="99" t="n">
        <v>70</v>
      </c>
      <c r="O10" s="100" t="n">
        <f aca="false">IF(($L10+$M10+$N10)=0,1,($L10+$M10)/($L10+$M10+$N10))</f>
        <v>0.960429621254946</v>
      </c>
      <c r="P10" s="100" t="n">
        <f aca="false">IF(($L10+$M10+$N10)=0,0,$L10/($L10+$M10+$N10))</f>
        <v>0.787450537026569</v>
      </c>
      <c r="Q10" s="177" t="n">
        <v>360</v>
      </c>
      <c r="R10" s="49" t="n">
        <f aca="false">$L10*$Q10</f>
        <v>501480</v>
      </c>
      <c r="S10" s="103" t="s">
        <v>930</v>
      </c>
      <c r="T10" s="52" t="str">
        <f aca="false">IF(AND($O10&gt;=0.9,$P10&gt;=0.6,$S10="Valid"),"Green",IF(OR($O10&lt;0.8,$P10&lt;0.4,$S10="Expired"),"Red","Amber"))</f>
        <v>Green</v>
      </c>
      <c r="U10" s="175" t="n">
        <f aca="false">$C10*($M10*$Q10+ROW()/100000)</f>
        <v>110160.0001</v>
      </c>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42" t="s">
        <v>933</v>
      </c>
      <c r="E11" s="30" t="s">
        <v>934</v>
      </c>
      <c r="F11" s="45" t="s">
        <v>889</v>
      </c>
      <c r="G11" s="92" t="n">
        <v>5</v>
      </c>
      <c r="H11" s="92" t="n">
        <v>4</v>
      </c>
      <c r="I11" s="85" t="n">
        <v>46122</v>
      </c>
      <c r="J11" s="85" t="n">
        <v>46660</v>
      </c>
      <c r="K11" s="92" t="n">
        <v>3000</v>
      </c>
      <c r="L11" s="92" t="n">
        <v>2045</v>
      </c>
      <c r="M11" s="92" t="n">
        <v>532</v>
      </c>
      <c r="N11" s="92" t="n">
        <v>102</v>
      </c>
      <c r="O11" s="87" t="n">
        <f aca="false">IF(($L11+$M11+$N11)=0,1,($L11+$M11)/($L11+$M11+$N11))</f>
        <v>0.961926091825308</v>
      </c>
      <c r="P11" s="87" t="n">
        <f aca="false">IF(($L11+$M11+$N11)=0,0,$L11/($L11+$M11+$N11))</f>
        <v>0.76334453154162</v>
      </c>
      <c r="Q11" s="176" t="n">
        <v>235</v>
      </c>
      <c r="R11" s="31" t="n">
        <f aca="false">$L11*$Q11</f>
        <v>480575</v>
      </c>
      <c r="S11" s="93" t="s">
        <v>935</v>
      </c>
      <c r="T11" s="46" t="str">
        <f aca="false">IF(AND($O11&gt;=0.9,$P11&gt;=0.6,$S11="Valid"),"Green",IF(OR($O11&lt;0.8,$P11&lt;0.4,$S11="Expired"),"Red","Amber"))</f>
        <v>Amber</v>
      </c>
      <c r="U11" s="174" t="n">
        <f aca="false">$C11*($M11*$Q11+ROW()/100000)</f>
        <v>125020.00011</v>
      </c>
    </row>
    <row r="12" customFormat="false" ht="13.5" hidden="false" customHeight="true" outlineLevel="0" collapsed="false">
      <c r="A12" s="47" t="s">
        <v>8</v>
      </c>
      <c r="B12" s="154" t="str">
        <f aca="false">IFERROR(INDEX(Projects!$C$9:$C$16,MATCH($A12,Projects!$A$9:$A$16,0)),"")</f>
        <v>Residential</v>
      </c>
      <c r="C12" s="155" t="n">
        <f aca="false">IF(Dashboard!$C$6="Corporate",1,IF(Dashboard!$C$6="Project",IF($A12=Dashboard!$M$6,1,0),IF($B12=Dashboard!$H$6,1,0)))</f>
        <v>1</v>
      </c>
      <c r="D12" s="47" t="s">
        <v>936</v>
      </c>
      <c r="E12" s="37" t="s">
        <v>937</v>
      </c>
      <c r="F12" s="51" t="s">
        <v>889</v>
      </c>
      <c r="G12" s="99" t="n">
        <v>6</v>
      </c>
      <c r="H12" s="99" t="n">
        <v>5</v>
      </c>
      <c r="I12" s="98" t="n">
        <v>46122</v>
      </c>
      <c r="J12" s="98" t="n">
        <v>46660</v>
      </c>
      <c r="K12" s="99" t="n">
        <v>6039</v>
      </c>
      <c r="L12" s="99" t="n">
        <v>3994</v>
      </c>
      <c r="M12" s="99" t="n">
        <v>1198</v>
      </c>
      <c r="N12" s="99" t="n">
        <v>200</v>
      </c>
      <c r="O12" s="100" t="n">
        <f aca="false">IF(($L12+$M12+$N12)=0,1,($L12+$M12)/($L12+$M12+$N12))</f>
        <v>0.962908011869436</v>
      </c>
      <c r="P12" s="100" t="n">
        <f aca="false">IF(($L12+$M12+$N12)=0,0,$L12/($L12+$M12+$N12))</f>
        <v>0.740727002967359</v>
      </c>
      <c r="Q12" s="177" t="n">
        <v>68</v>
      </c>
      <c r="R12" s="49" t="n">
        <f aca="false">$L12*$Q12</f>
        <v>271592</v>
      </c>
      <c r="S12" s="103" t="s">
        <v>930</v>
      </c>
      <c r="T12" s="52" t="str">
        <f aca="false">IF(AND($O12&gt;=0.9,$P12&gt;=0.6,$S12="Valid"),"Green",IF(OR($O12&lt;0.8,$P12&lt;0.4,$S12="Expired"),"Red","Amber"))</f>
        <v>Green</v>
      </c>
      <c r="U12" s="175" t="n">
        <f aca="false">$C12*($M12*$Q12+ROW()/100000)</f>
        <v>81464.00012</v>
      </c>
    </row>
    <row r="13" customFormat="false" ht="13.5" hidden="false" customHeight="true" outlineLevel="0" collapsed="false">
      <c r="A13" s="149" t="s">
        <v>293</v>
      </c>
      <c r="B13" s="150" t="str">
        <f aca="false">IFERROR(INDEX(Projects!$C$9:$C$16,MATCH($A13,Projects!$A$9:$A$16,0)),"")</f>
        <v>Residential</v>
      </c>
      <c r="C13" s="94" t="n">
        <f aca="false">IF(Dashboard!$C$6="Corporate",1,IF(Dashboard!$C$6="Project",IF($A13=Dashboard!$M$6,1,0),IF($B13=Dashboard!$H$6,1,0)))</f>
        <v>1</v>
      </c>
      <c r="D13" s="42" t="s">
        <v>938</v>
      </c>
      <c r="E13" s="30" t="s">
        <v>929</v>
      </c>
      <c r="F13" s="45" t="s">
        <v>889</v>
      </c>
      <c r="G13" s="92" t="n">
        <v>3</v>
      </c>
      <c r="H13" s="92" t="n">
        <v>2</v>
      </c>
      <c r="I13" s="85" t="n">
        <v>46183</v>
      </c>
      <c r="J13" s="85" t="n">
        <v>46660</v>
      </c>
      <c r="K13" s="92" t="n">
        <v>2076</v>
      </c>
      <c r="L13" s="92" t="n">
        <v>1508</v>
      </c>
      <c r="M13" s="92" t="n">
        <v>271</v>
      </c>
      <c r="N13" s="92" t="n">
        <v>75</v>
      </c>
      <c r="O13" s="87" t="n">
        <f aca="false">IF(($L13+$M13+$N13)=0,1,($L13+$M13)/($L13+$M13+$N13))</f>
        <v>0.959546925566343</v>
      </c>
      <c r="P13" s="87" t="n">
        <f aca="false">IF(($L13+$M13+$N13)=0,0,$L13/($L13+$M13+$N13))</f>
        <v>0.813376483279396</v>
      </c>
      <c r="Q13" s="176" t="n">
        <v>145</v>
      </c>
      <c r="R13" s="31" t="n">
        <f aca="false">$L13*$Q13</f>
        <v>218660</v>
      </c>
      <c r="S13" s="93" t="s">
        <v>930</v>
      </c>
      <c r="T13" s="46" t="str">
        <f aca="false">IF(AND($O13&gt;=0.9,$P13&gt;=0.6,$S13="Valid"),"Green",IF(OR($O13&lt;0.8,$P13&lt;0.4,$S13="Expired"),"Red","Amber"))</f>
        <v>Green</v>
      </c>
      <c r="U13" s="174" t="n">
        <f aca="false">$C13*($M13*$Q13+ROW()/100000)</f>
        <v>39295.00013</v>
      </c>
    </row>
    <row r="14" customFormat="false" ht="13.5" hidden="false" customHeight="true" outlineLevel="0" collapsed="false">
      <c r="A14" s="47" t="s">
        <v>293</v>
      </c>
      <c r="B14" s="154" t="str">
        <f aca="false">IFERROR(INDEX(Projects!$C$9:$C$16,MATCH($A14,Projects!$A$9:$A$16,0)),"")</f>
        <v>Residential</v>
      </c>
      <c r="C14" s="155" t="n">
        <f aca="false">IF(Dashboard!$C$6="Corporate",1,IF(Dashboard!$C$6="Project",IF($A14=Dashboard!$M$6,1,0),IF($B14=Dashboard!$H$6,1,0)))</f>
        <v>1</v>
      </c>
      <c r="D14" s="47" t="s">
        <v>939</v>
      </c>
      <c r="E14" s="37" t="s">
        <v>932</v>
      </c>
      <c r="F14" s="51" t="s">
        <v>889</v>
      </c>
      <c r="G14" s="99" t="n">
        <v>4</v>
      </c>
      <c r="H14" s="99" t="n">
        <v>3</v>
      </c>
      <c r="I14" s="98" t="n">
        <v>46183</v>
      </c>
      <c r="J14" s="98" t="n">
        <v>46660</v>
      </c>
      <c r="K14" s="99" t="n">
        <v>517</v>
      </c>
      <c r="L14" s="99" t="n">
        <v>364</v>
      </c>
      <c r="M14" s="99" t="n">
        <v>80</v>
      </c>
      <c r="N14" s="99" t="n">
        <v>18</v>
      </c>
      <c r="O14" s="100" t="n">
        <f aca="false">IF(($L14+$M14+$N14)=0,1,($L14+$M14)/($L14+$M14+$N14))</f>
        <v>0.961038961038961</v>
      </c>
      <c r="P14" s="100" t="n">
        <f aca="false">IF(($L14+$M14+$N14)=0,0,$L14/($L14+$M14+$N14))</f>
        <v>0.787878787878788</v>
      </c>
      <c r="Q14" s="177" t="n">
        <v>360</v>
      </c>
      <c r="R14" s="49" t="n">
        <f aca="false">$L14*$Q14</f>
        <v>131040</v>
      </c>
      <c r="S14" s="103" t="s">
        <v>930</v>
      </c>
      <c r="T14" s="52" t="str">
        <f aca="false">IF(AND($O14&gt;=0.9,$P14&gt;=0.6,$S14="Valid"),"Green",IF(OR($O14&lt;0.8,$P14&lt;0.4,$S14="Expired"),"Red","Amber"))</f>
        <v>Green</v>
      </c>
      <c r="U14" s="175" t="n">
        <f aca="false">$C14*($M14*$Q14+ROW()/100000)</f>
        <v>28800.00014</v>
      </c>
    </row>
    <row r="15" customFormat="false" ht="13.5" hidden="false" customHeight="true" outlineLevel="0" collapsed="false">
      <c r="A15" s="149" t="s">
        <v>293</v>
      </c>
      <c r="B15" s="150" t="str">
        <f aca="false">IFERROR(INDEX(Projects!$C$9:$C$16,MATCH($A15,Projects!$A$9:$A$16,0)),"")</f>
        <v>Residential</v>
      </c>
      <c r="C15" s="94" t="n">
        <f aca="false">IF(Dashboard!$C$6="Corporate",1,IF(Dashboard!$C$6="Project",IF($A15=Dashboard!$M$6,1,0),IF($B15=Dashboard!$H$6,1,0)))</f>
        <v>1</v>
      </c>
      <c r="D15" s="42" t="s">
        <v>940</v>
      </c>
      <c r="E15" s="30" t="s">
        <v>934</v>
      </c>
      <c r="F15" s="45" t="s">
        <v>889</v>
      </c>
      <c r="G15" s="92" t="n">
        <v>5</v>
      </c>
      <c r="H15" s="92" t="n">
        <v>4</v>
      </c>
      <c r="I15" s="85" t="n">
        <v>46183</v>
      </c>
      <c r="J15" s="85" t="n">
        <v>46660</v>
      </c>
      <c r="K15" s="92" t="n">
        <v>785</v>
      </c>
      <c r="L15" s="92" t="n">
        <v>535</v>
      </c>
      <c r="M15" s="92" t="n">
        <v>139</v>
      </c>
      <c r="N15" s="92" t="n">
        <v>27</v>
      </c>
      <c r="O15" s="87" t="n">
        <f aca="false">IF(($L15+$M15+$N15)=0,1,($L15+$M15)/($L15+$M15+$N15))</f>
        <v>0.961483594864479</v>
      </c>
      <c r="P15" s="87" t="n">
        <f aca="false">IF(($L15+$M15+$N15)=0,0,$L15/($L15+$M15+$N15))</f>
        <v>0.763195435092725</v>
      </c>
      <c r="Q15" s="176" t="n">
        <v>235</v>
      </c>
      <c r="R15" s="31" t="n">
        <f aca="false">$L15*$Q15</f>
        <v>125725</v>
      </c>
      <c r="S15" s="93" t="s">
        <v>935</v>
      </c>
      <c r="T15" s="46" t="str">
        <f aca="false">IF(AND($O15&gt;=0.9,$P15&gt;=0.6,$S15="Valid"),"Green",IF(OR($O15&lt;0.8,$P15&lt;0.4,$S15="Expired"),"Red","Amber"))</f>
        <v>Amber</v>
      </c>
      <c r="U15" s="174" t="n">
        <f aca="false">$C15*($M15*$Q15+ROW()/100000)</f>
        <v>32665.00015</v>
      </c>
    </row>
    <row r="16" customFormat="false" ht="13.5" hidden="false" customHeight="true" outlineLevel="0" collapsed="false">
      <c r="A16" s="47" t="s">
        <v>293</v>
      </c>
      <c r="B16" s="154" t="str">
        <f aca="false">IFERROR(INDEX(Projects!$C$9:$C$16,MATCH($A16,Projects!$A$9:$A$16,0)),"")</f>
        <v>Residential</v>
      </c>
      <c r="C16" s="155" t="n">
        <f aca="false">IF(Dashboard!$C$6="Corporate",1,IF(Dashboard!$C$6="Project",IF($A16=Dashboard!$M$6,1,0),IF($B16=Dashboard!$H$6,1,0)))</f>
        <v>1</v>
      </c>
      <c r="D16" s="47" t="s">
        <v>941</v>
      </c>
      <c r="E16" s="37" t="s">
        <v>937</v>
      </c>
      <c r="F16" s="51" t="s">
        <v>889</v>
      </c>
      <c r="G16" s="99" t="n">
        <v>6</v>
      </c>
      <c r="H16" s="99" t="n">
        <v>5</v>
      </c>
      <c r="I16" s="98" t="n">
        <v>46183</v>
      </c>
      <c r="J16" s="98" t="n">
        <v>46660</v>
      </c>
      <c r="K16" s="99" t="n">
        <v>1580</v>
      </c>
      <c r="L16" s="99" t="n">
        <v>1045</v>
      </c>
      <c r="M16" s="99" t="n">
        <v>314</v>
      </c>
      <c r="N16" s="99" t="n">
        <v>52</v>
      </c>
      <c r="O16" s="100" t="n">
        <f aca="false">IF(($L16+$M16+$N16)=0,1,($L16+$M16)/($L16+$M16+$N16))</f>
        <v>0.963146704464919</v>
      </c>
      <c r="P16" s="100" t="n">
        <f aca="false">IF(($L16+$M16+$N16)=0,0,$L16/($L16+$M16+$N16))</f>
        <v>0.740609496810773</v>
      </c>
      <c r="Q16" s="177" t="n">
        <v>68</v>
      </c>
      <c r="R16" s="49" t="n">
        <f aca="false">$L16*$Q16</f>
        <v>71060</v>
      </c>
      <c r="S16" s="103" t="s">
        <v>930</v>
      </c>
      <c r="T16" s="52" t="str">
        <f aca="false">IF(AND($O16&gt;=0.9,$P16&gt;=0.6,$S16="Valid"),"Green",IF(OR($O16&lt;0.8,$P16&lt;0.4,$S16="Expired"),"Red","Amber"))</f>
        <v>Green</v>
      </c>
      <c r="U16" s="175" t="n">
        <f aca="false">$C16*($M16*$Q16+ROW()/100000)</f>
        <v>21352.00016</v>
      </c>
    </row>
    <row r="17" customFormat="false" ht="13.5" hidden="false" customHeight="true" outlineLevel="0" collapsed="false">
      <c r="A17" s="149" t="s">
        <v>296</v>
      </c>
      <c r="B17" s="150" t="str">
        <f aca="false">IFERROR(INDEX(Projects!$C$9:$C$16,MATCH($A17,Projects!$A$9:$A$16,0)),"")</f>
        <v>Commercial</v>
      </c>
      <c r="C17" s="94" t="n">
        <f aca="false">IF(Dashboard!$C$6="Corporate",1,IF(Dashboard!$C$6="Project",IF($A17=Dashboard!$M$6,1,0),IF($B17=Dashboard!$H$6,1,0)))</f>
        <v>1</v>
      </c>
      <c r="D17" s="42" t="s">
        <v>942</v>
      </c>
      <c r="E17" s="30" t="s">
        <v>929</v>
      </c>
      <c r="F17" s="45" t="s">
        <v>889</v>
      </c>
      <c r="G17" s="92" t="n">
        <v>3</v>
      </c>
      <c r="H17" s="92" t="n">
        <v>3</v>
      </c>
      <c r="I17" s="85" t="n">
        <v>46122</v>
      </c>
      <c r="J17" s="85" t="n">
        <v>46660</v>
      </c>
      <c r="K17" s="92" t="n">
        <v>17557</v>
      </c>
      <c r="L17" s="92" t="n">
        <v>12745</v>
      </c>
      <c r="M17" s="92" t="n">
        <v>2294</v>
      </c>
      <c r="N17" s="92" t="n">
        <v>637</v>
      </c>
      <c r="O17" s="87" t="n">
        <f aca="false">IF(($L17+$M17+$N17)=0,1,($L17+$M17)/($L17+$M17+$N17))</f>
        <v>0.959364633835162</v>
      </c>
      <c r="P17" s="87" t="n">
        <f aca="false">IF(($L17+$M17+$N17)=0,0,$L17/($L17+$M17+$N17))</f>
        <v>0.813026282214851</v>
      </c>
      <c r="Q17" s="176" t="n">
        <v>145</v>
      </c>
      <c r="R17" s="31" t="n">
        <f aca="false">$L17*$Q17</f>
        <v>1848025</v>
      </c>
      <c r="S17" s="93" t="s">
        <v>930</v>
      </c>
      <c r="T17" s="46" t="str">
        <f aca="false">IF(AND($O17&gt;=0.9,$P17&gt;=0.6,$S17="Valid"),"Green",IF(OR($O17&lt;0.8,$P17&lt;0.4,$S17="Expired"),"Red","Amber"))</f>
        <v>Green</v>
      </c>
      <c r="U17" s="174" t="n">
        <f aca="false">$C17*($M17*$Q17+ROW()/100000)</f>
        <v>332630.00017</v>
      </c>
    </row>
    <row r="18" customFormat="false" ht="13.5" hidden="false" customHeight="true" outlineLevel="0" collapsed="false">
      <c r="A18" s="47" t="s">
        <v>296</v>
      </c>
      <c r="B18" s="154" t="str">
        <f aca="false">IFERROR(INDEX(Projects!$C$9:$C$16,MATCH($A18,Projects!$A$9:$A$16,0)),"")</f>
        <v>Commercial</v>
      </c>
      <c r="C18" s="155" t="n">
        <f aca="false">IF(Dashboard!$C$6="Corporate",1,IF(Dashboard!$C$6="Project",IF($A18=Dashboard!$M$6,1,0),IF($B18=Dashboard!$H$6,1,0)))</f>
        <v>1</v>
      </c>
      <c r="D18" s="47" t="s">
        <v>943</v>
      </c>
      <c r="E18" s="37" t="s">
        <v>932</v>
      </c>
      <c r="F18" s="51" t="s">
        <v>889</v>
      </c>
      <c r="G18" s="99" t="n">
        <v>4</v>
      </c>
      <c r="H18" s="99" t="n">
        <v>4</v>
      </c>
      <c r="I18" s="98" t="n">
        <v>46122</v>
      </c>
      <c r="J18" s="98" t="n">
        <v>46660</v>
      </c>
      <c r="K18" s="99" t="n">
        <v>4381</v>
      </c>
      <c r="L18" s="99" t="n">
        <v>3080</v>
      </c>
      <c r="M18" s="99" t="n">
        <v>678</v>
      </c>
      <c r="N18" s="99" t="n">
        <v>154</v>
      </c>
      <c r="O18" s="100" t="n">
        <f aca="false">IF(($L18+$M18+$N18)=0,1,($L18+$M18)/($L18+$M18+$N18))</f>
        <v>0.960633946830266</v>
      </c>
      <c r="P18" s="100" t="n">
        <f aca="false">IF(($L18+$M18+$N18)=0,0,$L18/($L18+$M18+$N18))</f>
        <v>0.787321063394683</v>
      </c>
      <c r="Q18" s="177" t="n">
        <v>360</v>
      </c>
      <c r="R18" s="49" t="n">
        <f aca="false">$L18*$Q18</f>
        <v>1108800</v>
      </c>
      <c r="S18" s="103" t="s">
        <v>930</v>
      </c>
      <c r="T18" s="52" t="str">
        <f aca="false">IF(AND($O18&gt;=0.9,$P18&gt;=0.6,$S18="Valid"),"Green",IF(OR($O18&lt;0.8,$P18&lt;0.4,$S18="Expired"),"Red","Amber"))</f>
        <v>Green</v>
      </c>
      <c r="U18" s="175" t="n">
        <f aca="false">$C18*($M18*$Q18+ROW()/100000)</f>
        <v>244080.00018</v>
      </c>
    </row>
    <row r="19" customFormat="false" ht="13.5" hidden="false" customHeight="true" outlineLevel="0" collapsed="false">
      <c r="A19" s="149" t="s">
        <v>296</v>
      </c>
      <c r="B19" s="150" t="str">
        <f aca="false">IFERROR(INDEX(Projects!$C$9:$C$16,MATCH($A19,Projects!$A$9:$A$16,0)),"")</f>
        <v>Commercial</v>
      </c>
      <c r="C19" s="94" t="n">
        <f aca="false">IF(Dashboard!$C$6="Corporate",1,IF(Dashboard!$C$6="Project",IF($A19=Dashboard!$M$6,1,0),IF($B19=Dashboard!$H$6,1,0)))</f>
        <v>1</v>
      </c>
      <c r="D19" s="42" t="s">
        <v>944</v>
      </c>
      <c r="E19" s="30" t="s">
        <v>934</v>
      </c>
      <c r="F19" s="45" t="s">
        <v>889</v>
      </c>
      <c r="G19" s="92" t="n">
        <v>5</v>
      </c>
      <c r="H19" s="92" t="n">
        <v>5</v>
      </c>
      <c r="I19" s="85" t="n">
        <v>46122</v>
      </c>
      <c r="J19" s="85" t="n">
        <v>46660</v>
      </c>
      <c r="K19" s="92" t="n">
        <v>6635</v>
      </c>
      <c r="L19" s="92" t="n">
        <v>4522</v>
      </c>
      <c r="M19" s="92" t="n">
        <v>1176</v>
      </c>
      <c r="N19" s="92" t="n">
        <v>226</v>
      </c>
      <c r="O19" s="87" t="n">
        <f aca="false">IF(($L19+$M19+$N19)=0,1,($L19+$M19)/($L19+$M19+$N19))</f>
        <v>0.961850101282917</v>
      </c>
      <c r="P19" s="87" t="n">
        <f aca="false">IF(($L19+$M19+$N19)=0,0,$L19/($L19+$M19+$N19))</f>
        <v>0.763335584064821</v>
      </c>
      <c r="Q19" s="176" t="n">
        <v>235</v>
      </c>
      <c r="R19" s="31" t="n">
        <f aca="false">$L19*$Q19</f>
        <v>1062670</v>
      </c>
      <c r="S19" s="93" t="s">
        <v>935</v>
      </c>
      <c r="T19" s="46" t="str">
        <f aca="false">IF(AND($O19&gt;=0.9,$P19&gt;=0.6,$S19="Valid"),"Green",IF(OR($O19&lt;0.8,$P19&lt;0.4,$S19="Expired"),"Red","Amber"))</f>
        <v>Amber</v>
      </c>
      <c r="U19" s="174" t="n">
        <f aca="false">$C19*($M19*$Q19+ROW()/100000)</f>
        <v>276360.00019</v>
      </c>
    </row>
    <row r="20" customFormat="false" ht="13.5" hidden="false" customHeight="true" outlineLevel="0" collapsed="false">
      <c r="A20" s="47" t="s">
        <v>296</v>
      </c>
      <c r="B20" s="154" t="str">
        <f aca="false">IFERROR(INDEX(Projects!$C$9:$C$16,MATCH($A20,Projects!$A$9:$A$16,0)),"")</f>
        <v>Commercial</v>
      </c>
      <c r="C20" s="155" t="n">
        <f aca="false">IF(Dashboard!$C$6="Corporate",1,IF(Dashboard!$C$6="Project",IF($A20=Dashboard!$M$6,1,0),IF($B20=Dashboard!$H$6,1,0)))</f>
        <v>1</v>
      </c>
      <c r="D20" s="47" t="s">
        <v>945</v>
      </c>
      <c r="E20" s="37" t="s">
        <v>937</v>
      </c>
      <c r="F20" s="51" t="s">
        <v>889</v>
      </c>
      <c r="G20" s="99" t="n">
        <v>6</v>
      </c>
      <c r="H20" s="99" t="n">
        <v>6</v>
      </c>
      <c r="I20" s="98" t="n">
        <v>46122</v>
      </c>
      <c r="J20" s="98" t="n">
        <v>46660</v>
      </c>
      <c r="K20" s="99" t="n">
        <v>13356</v>
      </c>
      <c r="L20" s="99" t="n">
        <v>8833</v>
      </c>
      <c r="M20" s="99" t="n">
        <v>2650</v>
      </c>
      <c r="N20" s="99" t="n">
        <v>442</v>
      </c>
      <c r="O20" s="100" t="n">
        <f aca="false">IF(($L20+$M20+$N20)=0,1,($L20+$M20)/($L20+$M20+$N20))</f>
        <v>0.96293501048218</v>
      </c>
      <c r="P20" s="100" t="n">
        <f aca="false">IF(($L20+$M20+$N20)=0,0,$L20/($L20+$M20+$N20))</f>
        <v>0.740712788259958</v>
      </c>
      <c r="Q20" s="177" t="n">
        <v>68</v>
      </c>
      <c r="R20" s="49" t="n">
        <f aca="false">$L20*$Q20</f>
        <v>600644</v>
      </c>
      <c r="S20" s="103" t="s">
        <v>930</v>
      </c>
      <c r="T20" s="52" t="str">
        <f aca="false">IF(AND($O20&gt;=0.9,$P20&gt;=0.6,$S20="Valid"),"Green",IF(OR($O20&lt;0.8,$P20&lt;0.4,$S20="Expired"),"Red","Amber"))</f>
        <v>Green</v>
      </c>
      <c r="U20" s="175" t="n">
        <f aca="false">$C20*($M20*$Q20+ROW()/100000)</f>
        <v>180200.0002</v>
      </c>
    </row>
    <row r="21" customFormat="false" ht="13.5" hidden="false" customHeight="true" outlineLevel="0" collapsed="false">
      <c r="A21" s="149" t="s">
        <v>298</v>
      </c>
      <c r="B21" s="150" t="str">
        <f aca="false">IFERROR(INDEX(Projects!$C$9:$C$16,MATCH($A21,Projects!$A$9:$A$16,0)),"")</f>
        <v>Commercial</v>
      </c>
      <c r="C21" s="94" t="n">
        <f aca="false">IF(Dashboard!$C$6="Corporate",1,IF(Dashboard!$C$6="Project",IF($A21=Dashboard!$M$6,1,0),IF($B21=Dashboard!$H$6,1,0)))</f>
        <v>1</v>
      </c>
      <c r="D21" s="42" t="s">
        <v>946</v>
      </c>
      <c r="E21" s="30" t="s">
        <v>929</v>
      </c>
      <c r="F21" s="45" t="s">
        <v>889</v>
      </c>
      <c r="G21" s="92" t="n">
        <v>3</v>
      </c>
      <c r="H21" s="92" t="n">
        <v>3</v>
      </c>
      <c r="I21" s="85" t="n">
        <v>46153</v>
      </c>
      <c r="J21" s="85" t="n">
        <v>46568</v>
      </c>
      <c r="K21" s="92" t="n">
        <v>11248</v>
      </c>
      <c r="L21" s="92" t="n">
        <v>8165</v>
      </c>
      <c r="M21" s="92" t="n">
        <v>1470</v>
      </c>
      <c r="N21" s="92" t="n">
        <v>408</v>
      </c>
      <c r="O21" s="87" t="n">
        <f aca="false">IF(($L21+$M21+$N21)=0,1,($L21+$M21)/($L21+$M21+$N21))</f>
        <v>0.959374688837997</v>
      </c>
      <c r="P21" s="87" t="n">
        <f aca="false">IF(($L21+$M21+$N21)=0,0,$L21/($L21+$M21+$N21))</f>
        <v>0.813004082445484</v>
      </c>
      <c r="Q21" s="176" t="n">
        <v>145</v>
      </c>
      <c r="R21" s="31" t="n">
        <f aca="false">$L21*$Q21</f>
        <v>1183925</v>
      </c>
      <c r="S21" s="93" t="s">
        <v>930</v>
      </c>
      <c r="T21" s="46" t="str">
        <f aca="false">IF(AND($O21&gt;=0.9,$P21&gt;=0.6,$S21="Valid"),"Green",IF(OR($O21&lt;0.8,$P21&lt;0.4,$S21="Expired"),"Red","Amber"))</f>
        <v>Green</v>
      </c>
      <c r="U21" s="174" t="n">
        <f aca="false">$C21*($M21*$Q21+ROW()/100000)</f>
        <v>213150.00021</v>
      </c>
    </row>
    <row r="22" customFormat="false" ht="13.5" hidden="false" customHeight="true" outlineLevel="0" collapsed="false">
      <c r="A22" s="47" t="s">
        <v>298</v>
      </c>
      <c r="B22" s="154" t="str">
        <f aca="false">IFERROR(INDEX(Projects!$C$9:$C$16,MATCH($A22,Projects!$A$9:$A$16,0)),"")</f>
        <v>Commercial</v>
      </c>
      <c r="C22" s="155" t="n">
        <f aca="false">IF(Dashboard!$C$6="Corporate",1,IF(Dashboard!$C$6="Project",IF($A22=Dashboard!$M$6,1,0),IF($B22=Dashboard!$H$6,1,0)))</f>
        <v>1</v>
      </c>
      <c r="D22" s="47" t="s">
        <v>947</v>
      </c>
      <c r="E22" s="37" t="s">
        <v>932</v>
      </c>
      <c r="F22" s="51" t="s">
        <v>889</v>
      </c>
      <c r="G22" s="99" t="n">
        <v>4</v>
      </c>
      <c r="H22" s="99" t="n">
        <v>4</v>
      </c>
      <c r="I22" s="98" t="n">
        <v>46153</v>
      </c>
      <c r="J22" s="98" t="n">
        <v>46568</v>
      </c>
      <c r="K22" s="99" t="n">
        <v>2807</v>
      </c>
      <c r="L22" s="99" t="n">
        <v>1973</v>
      </c>
      <c r="M22" s="99" t="n">
        <v>434</v>
      </c>
      <c r="N22" s="99" t="n">
        <v>99</v>
      </c>
      <c r="O22" s="100" t="n">
        <f aca="false">IF(($L22+$M22+$N22)=0,1,($L22+$M22)/($L22+$M22+$N22))</f>
        <v>0.96049481245012</v>
      </c>
      <c r="P22" s="100" t="n">
        <f aca="false">IF(($L22+$M22+$N22)=0,0,$L22/($L22+$M22+$N22))</f>
        <v>0.78731045490822</v>
      </c>
      <c r="Q22" s="177" t="n">
        <v>360</v>
      </c>
      <c r="R22" s="49" t="n">
        <f aca="false">$L22*$Q22</f>
        <v>710280</v>
      </c>
      <c r="S22" s="103" t="s">
        <v>930</v>
      </c>
      <c r="T22" s="52" t="str">
        <f aca="false">IF(AND($O22&gt;=0.9,$P22&gt;=0.6,$S22="Valid"),"Green",IF(OR($O22&lt;0.8,$P22&lt;0.4,$S22="Expired"),"Red","Amber"))</f>
        <v>Green</v>
      </c>
      <c r="U22" s="175" t="n">
        <f aca="false">$C22*($M22*$Q22+ROW()/100000)</f>
        <v>156240.00022</v>
      </c>
    </row>
    <row r="23" customFormat="false" ht="13.5" hidden="false" customHeight="true" outlineLevel="0" collapsed="false">
      <c r="A23" s="149" t="s">
        <v>298</v>
      </c>
      <c r="B23" s="150" t="str">
        <f aca="false">IFERROR(INDEX(Projects!$C$9:$C$16,MATCH($A23,Projects!$A$9:$A$16,0)),"")</f>
        <v>Commercial</v>
      </c>
      <c r="C23" s="94" t="n">
        <f aca="false">IF(Dashboard!$C$6="Corporate",1,IF(Dashboard!$C$6="Project",IF($A23=Dashboard!$M$6,1,0),IF($B23=Dashboard!$H$6,1,0)))</f>
        <v>1</v>
      </c>
      <c r="D23" s="42" t="s">
        <v>948</v>
      </c>
      <c r="E23" s="30" t="s">
        <v>934</v>
      </c>
      <c r="F23" s="45" t="s">
        <v>889</v>
      </c>
      <c r="G23" s="92" t="n">
        <v>5</v>
      </c>
      <c r="H23" s="92" t="n">
        <v>5</v>
      </c>
      <c r="I23" s="85" t="n">
        <v>46153</v>
      </c>
      <c r="J23" s="85" t="n">
        <v>46568</v>
      </c>
      <c r="K23" s="92" t="n">
        <v>4250</v>
      </c>
      <c r="L23" s="92" t="n">
        <v>2897</v>
      </c>
      <c r="M23" s="92" t="n">
        <v>753</v>
      </c>
      <c r="N23" s="92" t="n">
        <v>145</v>
      </c>
      <c r="O23" s="87" t="n">
        <f aca="false">IF(($L23+$M23+$N23)=0,1,($L23+$M23)/($L23+$M23+$N23))</f>
        <v>0.961791831357049</v>
      </c>
      <c r="P23" s="87" t="n">
        <f aca="false">IF(($L23+$M23+$N23)=0,0,$L23/($L23+$M23+$N23))</f>
        <v>0.763372859025033</v>
      </c>
      <c r="Q23" s="176" t="n">
        <v>235</v>
      </c>
      <c r="R23" s="31" t="n">
        <f aca="false">$L23*$Q23</f>
        <v>680795</v>
      </c>
      <c r="S23" s="93" t="s">
        <v>935</v>
      </c>
      <c r="T23" s="46" t="str">
        <f aca="false">IF(AND($O23&gt;=0.9,$P23&gt;=0.6,$S23="Valid"),"Green",IF(OR($O23&lt;0.8,$P23&lt;0.4,$S23="Expired"),"Red","Amber"))</f>
        <v>Amber</v>
      </c>
      <c r="U23" s="174" t="n">
        <f aca="false">$C23*($M23*$Q23+ROW()/100000)</f>
        <v>176955.00023</v>
      </c>
    </row>
    <row r="24" customFormat="false" ht="13.5" hidden="false" customHeight="true" outlineLevel="0" collapsed="false">
      <c r="A24" s="47" t="s">
        <v>298</v>
      </c>
      <c r="B24" s="154" t="str">
        <f aca="false">IFERROR(INDEX(Projects!$C$9:$C$16,MATCH($A24,Projects!$A$9:$A$16,0)),"")</f>
        <v>Commercial</v>
      </c>
      <c r="C24" s="155" t="n">
        <f aca="false">IF(Dashboard!$C$6="Corporate",1,IF(Dashboard!$C$6="Project",IF($A24=Dashboard!$M$6,1,0),IF($B24=Dashboard!$H$6,1,0)))</f>
        <v>1</v>
      </c>
      <c r="D24" s="47" t="s">
        <v>949</v>
      </c>
      <c r="E24" s="37" t="s">
        <v>937</v>
      </c>
      <c r="F24" s="51" t="s">
        <v>889</v>
      </c>
      <c r="G24" s="99" t="n">
        <v>6</v>
      </c>
      <c r="H24" s="99" t="n">
        <v>6</v>
      </c>
      <c r="I24" s="98" t="n">
        <v>46153</v>
      </c>
      <c r="J24" s="98" t="n">
        <v>46568</v>
      </c>
      <c r="K24" s="99" t="n">
        <v>8555</v>
      </c>
      <c r="L24" s="99" t="n">
        <v>5658</v>
      </c>
      <c r="M24" s="99" t="n">
        <v>1697</v>
      </c>
      <c r="N24" s="99" t="n">
        <v>283</v>
      </c>
      <c r="O24" s="100" t="n">
        <f aca="false">IF(($L24+$M24+$N24)=0,1,($L24+$M24)/($L24+$M24+$N24))</f>
        <v>0.962948415815659</v>
      </c>
      <c r="P24" s="100" t="n">
        <f aca="false">IF(($L24+$M24+$N24)=0,0,$L24/($L24+$M24+$N24))</f>
        <v>0.74076983503535</v>
      </c>
      <c r="Q24" s="177" t="n">
        <v>68</v>
      </c>
      <c r="R24" s="49" t="n">
        <f aca="false">$L24*$Q24</f>
        <v>384744</v>
      </c>
      <c r="S24" s="103" t="s">
        <v>930</v>
      </c>
      <c r="T24" s="52" t="str">
        <f aca="false">IF(AND($O24&gt;=0.9,$P24&gt;=0.6,$S24="Valid"),"Green",IF(OR($O24&lt;0.8,$P24&lt;0.4,$S24="Expired"),"Red","Amber"))</f>
        <v>Green</v>
      </c>
      <c r="U24" s="175" t="n">
        <f aca="false">$C24*($M24*$Q24+ROW()/100000)</f>
        <v>115396.00024</v>
      </c>
    </row>
    <row r="25" customFormat="false" ht="13.5" hidden="false" customHeight="true" outlineLevel="0" collapsed="false">
      <c r="A25" s="149" t="s">
        <v>300</v>
      </c>
      <c r="B25" s="150" t="str">
        <f aca="false">IFERROR(INDEX(Projects!$C$9:$C$16,MATCH($A25,Projects!$A$9:$A$16,0)),"")</f>
        <v>Mixed Use</v>
      </c>
      <c r="C25" s="94" t="n">
        <f aca="false">IF(Dashboard!$C$6="Corporate",1,IF(Dashboard!$C$6="Project",IF($A25=Dashboard!$M$6,1,0),IF($B25=Dashboard!$H$6,1,0)))</f>
        <v>1</v>
      </c>
      <c r="D25" s="42" t="s">
        <v>950</v>
      </c>
      <c r="E25" s="30" t="s">
        <v>929</v>
      </c>
      <c r="F25" s="45" t="s">
        <v>889</v>
      </c>
      <c r="G25" s="92" t="n">
        <v>3</v>
      </c>
      <c r="H25" s="92" t="n">
        <v>2</v>
      </c>
      <c r="I25" s="85" t="n">
        <v>46183</v>
      </c>
      <c r="J25" s="85" t="n">
        <v>46721</v>
      </c>
      <c r="K25" s="92" t="n">
        <v>7570</v>
      </c>
      <c r="L25" s="92" t="n">
        <v>5495</v>
      </c>
      <c r="M25" s="92" t="n">
        <v>989</v>
      </c>
      <c r="N25" s="92" t="n">
        <v>275</v>
      </c>
      <c r="O25" s="87" t="n">
        <f aca="false">IF(($L25+$M25+$N25)=0,1,($L25+$M25)/($L25+$M25+$N25))</f>
        <v>0.959313507915372</v>
      </c>
      <c r="P25" s="87" t="n">
        <f aca="false">IF(($L25+$M25+$N25)=0,0,$L25/($L25+$M25+$N25))</f>
        <v>0.812990087291019</v>
      </c>
      <c r="Q25" s="176" t="n">
        <v>145</v>
      </c>
      <c r="R25" s="31" t="n">
        <f aca="false">$L25*$Q25</f>
        <v>796775</v>
      </c>
      <c r="S25" s="93" t="s">
        <v>930</v>
      </c>
      <c r="T25" s="46" t="str">
        <f aca="false">IF(AND($O25&gt;=0.9,$P25&gt;=0.6,$S25="Valid"),"Green",IF(OR($O25&lt;0.8,$P25&lt;0.4,$S25="Expired"),"Red","Amber"))</f>
        <v>Green</v>
      </c>
      <c r="U25" s="174" t="n">
        <f aca="false">$C25*($M25*$Q25+ROW()/100000)</f>
        <v>143405.00025</v>
      </c>
    </row>
    <row r="26" customFormat="false" ht="13.5" hidden="false" customHeight="true" outlineLevel="0" collapsed="false">
      <c r="A26" s="47" t="s">
        <v>300</v>
      </c>
      <c r="B26" s="154" t="str">
        <f aca="false">IFERROR(INDEX(Projects!$C$9:$C$16,MATCH($A26,Projects!$A$9:$A$16,0)),"")</f>
        <v>Mixed Use</v>
      </c>
      <c r="C26" s="155" t="n">
        <f aca="false">IF(Dashboard!$C$6="Corporate",1,IF(Dashboard!$C$6="Project",IF($A26=Dashboard!$M$6,1,0),IF($B26=Dashboard!$H$6,1,0)))</f>
        <v>1</v>
      </c>
      <c r="D26" s="47" t="s">
        <v>951</v>
      </c>
      <c r="E26" s="37" t="s">
        <v>932</v>
      </c>
      <c r="F26" s="51" t="s">
        <v>889</v>
      </c>
      <c r="G26" s="99" t="n">
        <v>4</v>
      </c>
      <c r="H26" s="99" t="n">
        <v>3</v>
      </c>
      <c r="I26" s="98" t="n">
        <v>46183</v>
      </c>
      <c r="J26" s="98" t="n">
        <v>46721</v>
      </c>
      <c r="K26" s="99" t="n">
        <v>1888</v>
      </c>
      <c r="L26" s="99" t="n">
        <v>1328</v>
      </c>
      <c r="M26" s="99" t="n">
        <v>292</v>
      </c>
      <c r="N26" s="99" t="n">
        <v>66</v>
      </c>
      <c r="O26" s="100" t="n">
        <f aca="false">IF(($L26+$M26+$N26)=0,1,($L26+$M26)/($L26+$M26+$N26))</f>
        <v>0.96085409252669</v>
      </c>
      <c r="P26" s="100" t="n">
        <f aca="false">IF(($L26+$M26+$N26)=0,0,$L26/($L26+$M26+$N26))</f>
        <v>0.787663107947806</v>
      </c>
      <c r="Q26" s="177" t="n">
        <v>360</v>
      </c>
      <c r="R26" s="49" t="n">
        <f aca="false">$L26*$Q26</f>
        <v>478080</v>
      </c>
      <c r="S26" s="103" t="s">
        <v>930</v>
      </c>
      <c r="T26" s="52" t="str">
        <f aca="false">IF(AND($O26&gt;=0.9,$P26&gt;=0.6,$S26="Valid"),"Green",IF(OR($O26&lt;0.8,$P26&lt;0.4,$S26="Expired"),"Red","Amber"))</f>
        <v>Green</v>
      </c>
      <c r="U26" s="175" t="n">
        <f aca="false">$C26*($M26*$Q26+ROW()/100000)</f>
        <v>105120.00026</v>
      </c>
    </row>
    <row r="27" customFormat="false" ht="13.5" hidden="false" customHeight="true" outlineLevel="0" collapsed="false">
      <c r="A27" s="149" t="s">
        <v>300</v>
      </c>
      <c r="B27" s="150" t="str">
        <f aca="false">IFERROR(INDEX(Projects!$C$9:$C$16,MATCH($A27,Projects!$A$9:$A$16,0)),"")</f>
        <v>Mixed Use</v>
      </c>
      <c r="C27" s="94" t="n">
        <f aca="false">IF(Dashboard!$C$6="Corporate",1,IF(Dashboard!$C$6="Project",IF($A27=Dashboard!$M$6,1,0),IF($B27=Dashboard!$H$6,1,0)))</f>
        <v>1</v>
      </c>
      <c r="D27" s="42" t="s">
        <v>952</v>
      </c>
      <c r="E27" s="30" t="s">
        <v>934</v>
      </c>
      <c r="F27" s="45" t="s">
        <v>889</v>
      </c>
      <c r="G27" s="92" t="n">
        <v>5</v>
      </c>
      <c r="H27" s="92" t="n">
        <v>4</v>
      </c>
      <c r="I27" s="85" t="n">
        <v>46183</v>
      </c>
      <c r="J27" s="85" t="n">
        <v>46721</v>
      </c>
      <c r="K27" s="92" t="n">
        <v>2862</v>
      </c>
      <c r="L27" s="92" t="n">
        <v>1950</v>
      </c>
      <c r="M27" s="92" t="n">
        <v>507</v>
      </c>
      <c r="N27" s="92" t="n">
        <v>98</v>
      </c>
      <c r="O27" s="87" t="n">
        <f aca="false">IF(($L27+$M27+$N27)=0,1,($L27+$M27)/($L27+$M27+$N27))</f>
        <v>0.961643835616438</v>
      </c>
      <c r="P27" s="87" t="n">
        <f aca="false">IF(($L27+$M27+$N27)=0,0,$L27/($L27+$M27+$N27))</f>
        <v>0.76320939334638</v>
      </c>
      <c r="Q27" s="176" t="n">
        <v>235</v>
      </c>
      <c r="R27" s="31" t="n">
        <f aca="false">$L27*$Q27</f>
        <v>458250</v>
      </c>
      <c r="S27" s="93" t="s">
        <v>935</v>
      </c>
      <c r="T27" s="46" t="str">
        <f aca="false">IF(AND($O27&gt;=0.9,$P27&gt;=0.6,$S27="Valid"),"Green",IF(OR($O27&lt;0.8,$P27&lt;0.4,$S27="Expired"),"Red","Amber"))</f>
        <v>Amber</v>
      </c>
      <c r="U27" s="174" t="n">
        <f aca="false">$C27*($M27*$Q27+ROW()/100000)</f>
        <v>119145.00027</v>
      </c>
    </row>
    <row r="28" customFormat="false" ht="13.5" hidden="false" customHeight="true" outlineLevel="0" collapsed="false">
      <c r="A28" s="47" t="s">
        <v>300</v>
      </c>
      <c r="B28" s="154" t="str">
        <f aca="false">IFERROR(INDEX(Projects!$C$9:$C$16,MATCH($A28,Projects!$A$9:$A$16,0)),"")</f>
        <v>Mixed Use</v>
      </c>
      <c r="C28" s="155" t="n">
        <f aca="false">IF(Dashboard!$C$6="Corporate",1,IF(Dashboard!$C$6="Project",IF($A28=Dashboard!$M$6,1,0),IF($B28=Dashboard!$H$6,1,0)))</f>
        <v>1</v>
      </c>
      <c r="D28" s="47" t="s">
        <v>953</v>
      </c>
      <c r="E28" s="37" t="s">
        <v>937</v>
      </c>
      <c r="F28" s="51" t="s">
        <v>889</v>
      </c>
      <c r="G28" s="99" t="n">
        <v>6</v>
      </c>
      <c r="H28" s="99" t="n">
        <v>5</v>
      </c>
      <c r="I28" s="98" t="n">
        <v>46183</v>
      </c>
      <c r="J28" s="98" t="n">
        <v>46721</v>
      </c>
      <c r="K28" s="99" t="n">
        <v>5757</v>
      </c>
      <c r="L28" s="99" t="n">
        <v>3808</v>
      </c>
      <c r="M28" s="99" t="n">
        <v>1142</v>
      </c>
      <c r="N28" s="99" t="n">
        <v>190</v>
      </c>
      <c r="O28" s="100" t="n">
        <f aca="false">IF(($L28+$M28+$N28)=0,1,($L28+$M28)/($L28+$M28+$N28))</f>
        <v>0.963035019455253</v>
      </c>
      <c r="P28" s="100" t="n">
        <f aca="false">IF(($L28+$M28+$N28)=0,0,$L28/($L28+$M28+$N28))</f>
        <v>0.740856031128405</v>
      </c>
      <c r="Q28" s="177" t="n">
        <v>68</v>
      </c>
      <c r="R28" s="49" t="n">
        <f aca="false">$L28*$Q28</f>
        <v>258944</v>
      </c>
      <c r="S28" s="103" t="s">
        <v>930</v>
      </c>
      <c r="T28" s="52" t="str">
        <f aca="false">IF(AND($O28&gt;=0.9,$P28&gt;=0.6,$S28="Valid"),"Green",IF(OR($O28&lt;0.8,$P28&lt;0.4,$S28="Expired"),"Red","Amber"))</f>
        <v>Green</v>
      </c>
      <c r="U28" s="175" t="n">
        <f aca="false">$C28*($M28*$Q28+ROW()/100000)</f>
        <v>77656.00028</v>
      </c>
    </row>
    <row r="29" customFormat="false" ht="13.5" hidden="false" customHeight="true" outlineLevel="0" collapsed="false">
      <c r="A29" s="149" t="s">
        <v>301</v>
      </c>
      <c r="B29" s="150" t="str">
        <f aca="false">IFERROR(INDEX(Projects!$C$9:$C$16,MATCH($A29,Projects!$A$9:$A$16,0)),"")</f>
        <v>Mixed Use</v>
      </c>
      <c r="C29" s="94" t="n">
        <f aca="false">IF(Dashboard!$C$6="Corporate",1,IF(Dashboard!$C$6="Project",IF($A29=Dashboard!$M$6,1,0),IF($B29=Dashboard!$H$6,1,0)))</f>
        <v>1</v>
      </c>
      <c r="D29" s="42" t="s">
        <v>954</v>
      </c>
      <c r="E29" s="30" t="s">
        <v>929</v>
      </c>
      <c r="F29" s="45" t="s">
        <v>889</v>
      </c>
      <c r="G29" s="92" t="n">
        <v>3</v>
      </c>
      <c r="H29" s="92" t="n">
        <v>3</v>
      </c>
      <c r="I29" s="85" t="n">
        <v>46153</v>
      </c>
      <c r="J29" s="85" t="n">
        <v>46630</v>
      </c>
      <c r="K29" s="92" t="n">
        <v>6881</v>
      </c>
      <c r="L29" s="92" t="n">
        <v>4995</v>
      </c>
      <c r="M29" s="92" t="n">
        <v>899</v>
      </c>
      <c r="N29" s="92" t="n">
        <v>250</v>
      </c>
      <c r="O29" s="87" t="n">
        <f aca="false">IF(($L29+$M29+$N29)=0,1,($L29+$M29)/($L29+$M29+$N29))</f>
        <v>0.959309895833333</v>
      </c>
      <c r="P29" s="87" t="n">
        <f aca="false">IF(($L29+$M29+$N29)=0,0,$L29/($L29+$M29+$N29))</f>
        <v>0.81298828125</v>
      </c>
      <c r="Q29" s="176" t="n">
        <v>145</v>
      </c>
      <c r="R29" s="31" t="n">
        <f aca="false">$L29*$Q29</f>
        <v>724275</v>
      </c>
      <c r="S29" s="93" t="s">
        <v>930</v>
      </c>
      <c r="T29" s="46" t="str">
        <f aca="false">IF(AND($O29&gt;=0.9,$P29&gt;=0.6,$S29="Valid"),"Green",IF(OR($O29&lt;0.8,$P29&lt;0.4,$S29="Expired"),"Red","Amber"))</f>
        <v>Green</v>
      </c>
      <c r="U29" s="174" t="n">
        <f aca="false">$C29*($M29*$Q29+ROW()/100000)</f>
        <v>130355.00029</v>
      </c>
    </row>
    <row r="30" customFormat="false" ht="13.5" hidden="false" customHeight="true" outlineLevel="0" collapsed="false">
      <c r="A30" s="47" t="s">
        <v>301</v>
      </c>
      <c r="B30" s="154" t="str">
        <f aca="false">IFERROR(INDEX(Projects!$C$9:$C$16,MATCH($A30,Projects!$A$9:$A$16,0)),"")</f>
        <v>Mixed Use</v>
      </c>
      <c r="C30" s="155" t="n">
        <f aca="false">IF(Dashboard!$C$6="Corporate",1,IF(Dashboard!$C$6="Project",IF($A30=Dashboard!$M$6,1,0),IF($B30=Dashboard!$H$6,1,0)))</f>
        <v>1</v>
      </c>
      <c r="D30" s="47" t="s">
        <v>955</v>
      </c>
      <c r="E30" s="37" t="s">
        <v>932</v>
      </c>
      <c r="F30" s="51" t="s">
        <v>889</v>
      </c>
      <c r="G30" s="99" t="n">
        <v>4</v>
      </c>
      <c r="H30" s="99" t="n">
        <v>4</v>
      </c>
      <c r="I30" s="98" t="n">
        <v>46153</v>
      </c>
      <c r="J30" s="98" t="n">
        <v>46630</v>
      </c>
      <c r="K30" s="99" t="n">
        <v>1717</v>
      </c>
      <c r="L30" s="99" t="n">
        <v>1207</v>
      </c>
      <c r="M30" s="99" t="n">
        <v>266</v>
      </c>
      <c r="N30" s="99" t="n">
        <v>60</v>
      </c>
      <c r="O30" s="100" t="n">
        <f aca="false">IF(($L30+$M30+$N30)=0,1,($L30+$M30)/($L30+$M30+$N30))</f>
        <v>0.960861056751468</v>
      </c>
      <c r="P30" s="100" t="n">
        <f aca="false">IF(($L30+$M30+$N30)=0,0,$L30/($L30+$M30+$N30))</f>
        <v>0.787345075016308</v>
      </c>
      <c r="Q30" s="177" t="n">
        <v>360</v>
      </c>
      <c r="R30" s="49" t="n">
        <f aca="false">$L30*$Q30</f>
        <v>434520</v>
      </c>
      <c r="S30" s="103" t="s">
        <v>930</v>
      </c>
      <c r="T30" s="52" t="str">
        <f aca="false">IF(AND($O30&gt;=0.9,$P30&gt;=0.6,$S30="Valid"),"Green",IF(OR($O30&lt;0.8,$P30&lt;0.4,$S30="Expired"),"Red","Amber"))</f>
        <v>Green</v>
      </c>
      <c r="U30" s="175" t="n">
        <f aca="false">$C30*($M30*$Q30+ROW()/100000)</f>
        <v>95760.0003</v>
      </c>
    </row>
    <row r="31" customFormat="false" ht="13.5" hidden="false" customHeight="true" outlineLevel="0" collapsed="false">
      <c r="A31" s="149" t="s">
        <v>301</v>
      </c>
      <c r="B31" s="150" t="str">
        <f aca="false">IFERROR(INDEX(Projects!$C$9:$C$16,MATCH($A31,Projects!$A$9:$A$16,0)),"")</f>
        <v>Mixed Use</v>
      </c>
      <c r="C31" s="94" t="n">
        <f aca="false">IF(Dashboard!$C$6="Corporate",1,IF(Dashboard!$C$6="Project",IF($A31=Dashboard!$M$6,1,0),IF($B31=Dashboard!$H$6,1,0)))</f>
        <v>1</v>
      </c>
      <c r="D31" s="42" t="s">
        <v>956</v>
      </c>
      <c r="E31" s="30" t="s">
        <v>934</v>
      </c>
      <c r="F31" s="45" t="s">
        <v>889</v>
      </c>
      <c r="G31" s="92" t="n">
        <v>5</v>
      </c>
      <c r="H31" s="92" t="n">
        <v>5</v>
      </c>
      <c r="I31" s="85" t="n">
        <v>46153</v>
      </c>
      <c r="J31" s="85" t="n">
        <v>46630</v>
      </c>
      <c r="K31" s="92" t="n">
        <v>2601</v>
      </c>
      <c r="L31" s="92" t="n">
        <v>1772</v>
      </c>
      <c r="M31" s="92" t="n">
        <v>461</v>
      </c>
      <c r="N31" s="92" t="n">
        <v>89</v>
      </c>
      <c r="O31" s="87" t="n">
        <f aca="false">IF(($L31+$M31+$N31)=0,1,($L31+$M31)/($L31+$M31+$N31))</f>
        <v>0.96167097329888</v>
      </c>
      <c r="P31" s="87" t="n">
        <f aca="false">IF(($L31+$M31+$N31)=0,0,$L31/($L31+$M31+$N31))</f>
        <v>0.763135228251507</v>
      </c>
      <c r="Q31" s="176" t="n">
        <v>235</v>
      </c>
      <c r="R31" s="31" t="n">
        <f aca="false">$L31*$Q31</f>
        <v>416420</v>
      </c>
      <c r="S31" s="93" t="s">
        <v>935</v>
      </c>
      <c r="T31" s="46" t="str">
        <f aca="false">IF(AND($O31&gt;=0.9,$P31&gt;=0.6,$S31="Valid"),"Green",IF(OR($O31&lt;0.8,$P31&lt;0.4,$S31="Expired"),"Red","Amber"))</f>
        <v>Amber</v>
      </c>
      <c r="U31" s="174" t="n">
        <f aca="false">$C31*($M31*$Q31+ROW()/100000)</f>
        <v>108335.00031</v>
      </c>
    </row>
    <row r="32" customFormat="false" ht="13.5" hidden="false" customHeight="true" outlineLevel="0" collapsed="false">
      <c r="A32" s="47" t="s">
        <v>301</v>
      </c>
      <c r="B32" s="154" t="str">
        <f aca="false">IFERROR(INDEX(Projects!$C$9:$C$16,MATCH($A32,Projects!$A$9:$A$16,0)),"")</f>
        <v>Mixed Use</v>
      </c>
      <c r="C32" s="155" t="n">
        <f aca="false">IF(Dashboard!$C$6="Corporate",1,IF(Dashboard!$C$6="Project",IF($A32=Dashboard!$M$6,1,0),IF($B32=Dashboard!$H$6,1,0)))</f>
        <v>1</v>
      </c>
      <c r="D32" s="47" t="s">
        <v>957</v>
      </c>
      <c r="E32" s="37" t="s">
        <v>937</v>
      </c>
      <c r="F32" s="51" t="s">
        <v>889</v>
      </c>
      <c r="G32" s="99" t="n">
        <v>6</v>
      </c>
      <c r="H32" s="99" t="n">
        <v>6</v>
      </c>
      <c r="I32" s="98" t="n">
        <v>46153</v>
      </c>
      <c r="J32" s="98" t="n">
        <v>46630</v>
      </c>
      <c r="K32" s="99" t="n">
        <v>5235</v>
      </c>
      <c r="L32" s="99" t="n">
        <v>3462</v>
      </c>
      <c r="M32" s="99" t="n">
        <v>1039</v>
      </c>
      <c r="N32" s="99" t="n">
        <v>173</v>
      </c>
      <c r="O32" s="100" t="n">
        <f aca="false">IF(($L32+$M32+$N32)=0,1,($L32+$M32)/($L32+$M32+$N32))</f>
        <v>0.962986735130509</v>
      </c>
      <c r="P32" s="100" t="n">
        <f aca="false">IF(($L32+$M32+$N32)=0,0,$L32/($L32+$M32+$N32))</f>
        <v>0.740693196405648</v>
      </c>
      <c r="Q32" s="177" t="n">
        <v>68</v>
      </c>
      <c r="R32" s="49" t="n">
        <f aca="false">$L32*$Q32</f>
        <v>235416</v>
      </c>
      <c r="S32" s="103" t="s">
        <v>930</v>
      </c>
      <c r="T32" s="52" t="str">
        <f aca="false">IF(AND($O32&gt;=0.9,$P32&gt;=0.6,$S32="Valid"),"Green",IF(OR($O32&lt;0.8,$P32&lt;0.4,$S32="Expired"),"Red","Amber"))</f>
        <v>Green</v>
      </c>
      <c r="U32" s="175" t="n">
        <f aca="false">$C32*($M32*$Q32+ROW()/100000)</f>
        <v>70652.00032</v>
      </c>
    </row>
    <row r="33" customFormat="false" ht="13.5" hidden="false" customHeight="true" outlineLevel="0" collapsed="false">
      <c r="A33" s="149" t="s">
        <v>303</v>
      </c>
      <c r="B33" s="150" t="str">
        <f aca="false">IFERROR(INDEX(Projects!$C$9:$C$16,MATCH($A33,Projects!$A$9:$A$16,0)),"")</f>
        <v>Land Development</v>
      </c>
      <c r="C33" s="94" t="n">
        <f aca="false">IF(Dashboard!$C$6="Corporate",1,IF(Dashboard!$C$6="Project",IF($A33=Dashboard!$M$6,1,0),IF($B33=Dashboard!$H$6,1,0)))</f>
        <v>1</v>
      </c>
      <c r="D33" s="42" t="s">
        <v>958</v>
      </c>
      <c r="E33" s="30" t="s">
        <v>929</v>
      </c>
      <c r="F33" s="45" t="s">
        <v>889</v>
      </c>
      <c r="G33" s="92" t="n">
        <v>3</v>
      </c>
      <c r="H33" s="92" t="n">
        <v>3</v>
      </c>
      <c r="I33" s="85" t="n">
        <v>46122</v>
      </c>
      <c r="J33" s="85" t="n">
        <v>46660</v>
      </c>
      <c r="K33" s="92" t="n">
        <v>11665</v>
      </c>
      <c r="L33" s="92" t="n">
        <v>8468</v>
      </c>
      <c r="M33" s="92" t="n">
        <v>1524</v>
      </c>
      <c r="N33" s="92" t="n">
        <v>423</v>
      </c>
      <c r="O33" s="87" t="n">
        <f aca="false">IF(($L33+$M33+$N33)=0,1,($L33+$M33)/($L33+$M33+$N33))</f>
        <v>0.959385501680269</v>
      </c>
      <c r="P33" s="87" t="n">
        <f aca="false">IF(($L33+$M33+$N33)=0,0,$L33/($L33+$M33+$N33))</f>
        <v>0.813058089294287</v>
      </c>
      <c r="Q33" s="176" t="n">
        <v>145</v>
      </c>
      <c r="R33" s="31" t="n">
        <f aca="false">$L33*$Q33</f>
        <v>1227860</v>
      </c>
      <c r="S33" s="93" t="s">
        <v>930</v>
      </c>
      <c r="T33" s="46" t="str">
        <f aca="false">IF(AND($O33&gt;=0.9,$P33&gt;=0.6,$S33="Valid"),"Green",IF(OR($O33&lt;0.8,$P33&lt;0.4,$S33="Expired"),"Red","Amber"))</f>
        <v>Green</v>
      </c>
      <c r="U33" s="174" t="n">
        <f aca="false">$C33*($M33*$Q33+ROW()/100000)</f>
        <v>220980.00033</v>
      </c>
    </row>
    <row r="34" customFormat="false" ht="13.5" hidden="false" customHeight="true" outlineLevel="0" collapsed="false">
      <c r="A34" s="47" t="s">
        <v>303</v>
      </c>
      <c r="B34" s="154" t="str">
        <f aca="false">IFERROR(INDEX(Projects!$C$9:$C$16,MATCH($A34,Projects!$A$9:$A$16,0)),"")</f>
        <v>Land Development</v>
      </c>
      <c r="C34" s="155" t="n">
        <f aca="false">IF(Dashboard!$C$6="Corporate",1,IF(Dashboard!$C$6="Project",IF($A34=Dashboard!$M$6,1,0),IF($B34=Dashboard!$H$6,1,0)))</f>
        <v>1</v>
      </c>
      <c r="D34" s="47" t="s">
        <v>959</v>
      </c>
      <c r="E34" s="37" t="s">
        <v>932</v>
      </c>
      <c r="F34" s="51" t="s">
        <v>889</v>
      </c>
      <c r="G34" s="99" t="n">
        <v>4</v>
      </c>
      <c r="H34" s="99" t="n">
        <v>4</v>
      </c>
      <c r="I34" s="98" t="n">
        <v>46122</v>
      </c>
      <c r="J34" s="98" t="n">
        <v>46660</v>
      </c>
      <c r="K34" s="99" t="n">
        <v>2911</v>
      </c>
      <c r="L34" s="99" t="n">
        <v>2047</v>
      </c>
      <c r="M34" s="99" t="n">
        <v>450</v>
      </c>
      <c r="N34" s="99" t="n">
        <v>102</v>
      </c>
      <c r="O34" s="100" t="n">
        <f aca="false">IF(($L34+$M34+$N34)=0,1,($L34+$M34)/($L34+$M34+$N34))</f>
        <v>0.960754136206233</v>
      </c>
      <c r="P34" s="100" t="n">
        <f aca="false">IF(($L34+$M34+$N34)=0,0,$L34/($L34+$M34+$N34))</f>
        <v>0.787610619469027</v>
      </c>
      <c r="Q34" s="177" t="n">
        <v>360</v>
      </c>
      <c r="R34" s="49" t="n">
        <f aca="false">$L34*$Q34</f>
        <v>736920</v>
      </c>
      <c r="S34" s="103" t="s">
        <v>930</v>
      </c>
      <c r="T34" s="52" t="str">
        <f aca="false">IF(AND($O34&gt;=0.9,$P34&gt;=0.6,$S34="Valid"),"Green",IF(OR($O34&lt;0.8,$P34&lt;0.4,$S34="Expired"),"Red","Amber"))</f>
        <v>Green</v>
      </c>
      <c r="U34" s="175" t="n">
        <f aca="false">$C34*($M34*$Q34+ROW()/100000)</f>
        <v>162000.00034</v>
      </c>
    </row>
    <row r="35" customFormat="false" ht="13.5" hidden="false" customHeight="true" outlineLevel="0" collapsed="false">
      <c r="A35" s="149" t="s">
        <v>303</v>
      </c>
      <c r="B35" s="150" t="str">
        <f aca="false">IFERROR(INDEX(Projects!$C$9:$C$16,MATCH($A35,Projects!$A$9:$A$16,0)),"")</f>
        <v>Land Development</v>
      </c>
      <c r="C35" s="94" t="n">
        <f aca="false">IF(Dashboard!$C$6="Corporate",1,IF(Dashboard!$C$6="Project",IF($A35=Dashboard!$M$6,1,0),IF($B35=Dashboard!$H$6,1,0)))</f>
        <v>1</v>
      </c>
      <c r="D35" s="42" t="s">
        <v>960</v>
      </c>
      <c r="E35" s="30" t="s">
        <v>934</v>
      </c>
      <c r="F35" s="45" t="s">
        <v>889</v>
      </c>
      <c r="G35" s="92" t="n">
        <v>5</v>
      </c>
      <c r="H35" s="92" t="n">
        <v>5</v>
      </c>
      <c r="I35" s="85" t="n">
        <v>46122</v>
      </c>
      <c r="J35" s="85" t="n">
        <v>46660</v>
      </c>
      <c r="K35" s="92" t="n">
        <v>4407</v>
      </c>
      <c r="L35" s="92" t="n">
        <v>3004</v>
      </c>
      <c r="M35" s="92" t="n">
        <v>781</v>
      </c>
      <c r="N35" s="92" t="n">
        <v>150</v>
      </c>
      <c r="O35" s="87" t="n">
        <f aca="false">IF(($L35+$M35+$N35)=0,1,($L35+$M35)/($L35+$M35+$N35))</f>
        <v>0.961880559085133</v>
      </c>
      <c r="P35" s="87" t="n">
        <f aca="false">IF(($L35+$M35+$N35)=0,0,$L35/($L35+$M35+$N35))</f>
        <v>0.763405336721728</v>
      </c>
      <c r="Q35" s="176" t="n">
        <v>235</v>
      </c>
      <c r="R35" s="31" t="n">
        <f aca="false">$L35*$Q35</f>
        <v>705940</v>
      </c>
      <c r="S35" s="93" t="s">
        <v>935</v>
      </c>
      <c r="T35" s="46" t="str">
        <f aca="false">IF(AND($O35&gt;=0.9,$P35&gt;=0.6,$S35="Valid"),"Green",IF(OR($O35&lt;0.8,$P35&lt;0.4,$S35="Expired"),"Red","Amber"))</f>
        <v>Amber</v>
      </c>
      <c r="U35" s="174" t="n">
        <f aca="false">$C35*($M35*$Q35+ROW()/100000)</f>
        <v>183535.00035</v>
      </c>
    </row>
    <row r="36" customFormat="false" ht="13.5" hidden="false" customHeight="true" outlineLevel="0" collapsed="false">
      <c r="A36" s="47" t="s">
        <v>303</v>
      </c>
      <c r="B36" s="154" t="str">
        <f aca="false">IFERROR(INDEX(Projects!$C$9:$C$16,MATCH($A36,Projects!$A$9:$A$16,0)),"")</f>
        <v>Land Development</v>
      </c>
      <c r="C36" s="155" t="n">
        <f aca="false">IF(Dashboard!$C$6="Corporate",1,IF(Dashboard!$C$6="Project",IF($A36=Dashboard!$M$6,1,0),IF($B36=Dashboard!$H$6,1,0)))</f>
        <v>1</v>
      </c>
      <c r="D36" s="47" t="s">
        <v>961</v>
      </c>
      <c r="E36" s="37" t="s">
        <v>937</v>
      </c>
      <c r="F36" s="51" t="s">
        <v>889</v>
      </c>
      <c r="G36" s="99" t="n">
        <v>6</v>
      </c>
      <c r="H36" s="99" t="n">
        <v>6</v>
      </c>
      <c r="I36" s="98" t="n">
        <v>46122</v>
      </c>
      <c r="J36" s="98" t="n">
        <v>46660</v>
      </c>
      <c r="K36" s="99" t="n">
        <v>8874</v>
      </c>
      <c r="L36" s="99" t="n">
        <v>5869</v>
      </c>
      <c r="M36" s="99" t="n">
        <v>1761</v>
      </c>
      <c r="N36" s="99" t="n">
        <v>293</v>
      </c>
      <c r="O36" s="100" t="n">
        <f aca="false">IF(($L36+$M36+$N36)=0,1,($L36+$M36)/($L36+$M36+$N36))</f>
        <v>0.963019058437461</v>
      </c>
      <c r="P36" s="100" t="n">
        <f aca="false">IF(($L36+$M36+$N36)=0,0,$L36/($L36+$M36+$N36))</f>
        <v>0.740754764609365</v>
      </c>
      <c r="Q36" s="177" t="n">
        <v>68</v>
      </c>
      <c r="R36" s="49" t="n">
        <f aca="false">$L36*$Q36</f>
        <v>399092</v>
      </c>
      <c r="S36" s="103" t="s">
        <v>930</v>
      </c>
      <c r="T36" s="52" t="str">
        <f aca="false">IF(AND($O36&gt;=0.9,$P36&gt;=0.6,$S36="Valid"),"Green",IF(OR($O36&lt;0.8,$P36&lt;0.4,$S36="Expired"),"Red","Amber"))</f>
        <v>Green</v>
      </c>
      <c r="U36" s="175" t="n">
        <f aca="false">$C36*($M36*$Q36+ROW()/100000)</f>
        <v>119748.00036</v>
      </c>
    </row>
    <row r="37" customFormat="false" ht="13.5" hidden="false" customHeight="true" outlineLevel="0" collapsed="false">
      <c r="A37" s="149" t="s">
        <v>304</v>
      </c>
      <c r="B37" s="150" t="str">
        <f aca="false">IFERROR(INDEX(Projects!$C$9:$C$16,MATCH($A37,Projects!$A$9:$A$16,0)),"")</f>
        <v>Land Development</v>
      </c>
      <c r="C37" s="94" t="n">
        <f aca="false">IF(Dashboard!$C$6="Corporate",1,IF(Dashboard!$C$6="Project",IF($A37=Dashboard!$M$6,1,0),IF($B37=Dashboard!$H$6,1,0)))</f>
        <v>1</v>
      </c>
      <c r="D37" s="42" t="s">
        <v>962</v>
      </c>
      <c r="E37" s="30" t="s">
        <v>929</v>
      </c>
      <c r="F37" s="45" t="s">
        <v>889</v>
      </c>
      <c r="G37" s="92" t="n">
        <v>3</v>
      </c>
      <c r="H37" s="92" t="n">
        <v>2</v>
      </c>
      <c r="I37" s="85" t="n">
        <v>46153</v>
      </c>
      <c r="J37" s="85" t="n">
        <v>46599</v>
      </c>
      <c r="K37" s="92" t="n">
        <v>5074</v>
      </c>
      <c r="L37" s="92" t="n">
        <v>3683</v>
      </c>
      <c r="M37" s="92" t="n">
        <v>663</v>
      </c>
      <c r="N37" s="92" t="n">
        <v>184</v>
      </c>
      <c r="O37" s="87" t="n">
        <f aca="false">IF(($L37+$M37+$N37)=0,1,($L37+$M37)/($L37+$M37+$N37))</f>
        <v>0.959381898454746</v>
      </c>
      <c r="P37" s="87" t="n">
        <f aca="false">IF(($L37+$M37+$N37)=0,0,$L37/($L37+$M37+$N37))</f>
        <v>0.813024282560706</v>
      </c>
      <c r="Q37" s="176" t="n">
        <v>145</v>
      </c>
      <c r="R37" s="31" t="n">
        <f aca="false">$L37*$Q37</f>
        <v>534035</v>
      </c>
      <c r="S37" s="93" t="s">
        <v>930</v>
      </c>
      <c r="T37" s="46" t="str">
        <f aca="false">IF(AND($O37&gt;=0.9,$P37&gt;=0.6,$S37="Valid"),"Green",IF(OR($O37&lt;0.8,$P37&lt;0.4,$S37="Expired"),"Red","Amber"))</f>
        <v>Green</v>
      </c>
      <c r="U37" s="174" t="n">
        <f aca="false">$C37*($M37*$Q37+ROW()/100000)</f>
        <v>96135.00037</v>
      </c>
    </row>
    <row r="38" customFormat="false" ht="13.5" hidden="false" customHeight="true" outlineLevel="0" collapsed="false">
      <c r="A38" s="47" t="s">
        <v>304</v>
      </c>
      <c r="B38" s="154" t="str">
        <f aca="false">IFERROR(INDEX(Projects!$C$9:$C$16,MATCH($A38,Projects!$A$9:$A$16,0)),"")</f>
        <v>Land Development</v>
      </c>
      <c r="C38" s="155" t="n">
        <f aca="false">IF(Dashboard!$C$6="Corporate",1,IF(Dashboard!$C$6="Project",IF($A38=Dashboard!$M$6,1,0),IF($B38=Dashboard!$H$6,1,0)))</f>
        <v>1</v>
      </c>
      <c r="D38" s="47" t="s">
        <v>963</v>
      </c>
      <c r="E38" s="37" t="s">
        <v>932</v>
      </c>
      <c r="F38" s="51" t="s">
        <v>889</v>
      </c>
      <c r="G38" s="99" t="n">
        <v>4</v>
      </c>
      <c r="H38" s="99" t="n">
        <v>3</v>
      </c>
      <c r="I38" s="98" t="n">
        <v>46153</v>
      </c>
      <c r="J38" s="98" t="n">
        <v>46599</v>
      </c>
      <c r="K38" s="99" t="n">
        <v>1266</v>
      </c>
      <c r="L38" s="99" t="n">
        <v>890</v>
      </c>
      <c r="M38" s="99" t="n">
        <v>196</v>
      </c>
      <c r="N38" s="99" t="n">
        <v>44</v>
      </c>
      <c r="O38" s="100" t="n">
        <f aca="false">IF(($L38+$M38+$N38)=0,1,($L38+$M38)/($L38+$M38+$N38))</f>
        <v>0.961061946902655</v>
      </c>
      <c r="P38" s="100" t="n">
        <f aca="false">IF(($L38+$M38+$N38)=0,0,$L38/($L38+$M38+$N38))</f>
        <v>0.787610619469027</v>
      </c>
      <c r="Q38" s="177" t="n">
        <v>360</v>
      </c>
      <c r="R38" s="49" t="n">
        <f aca="false">$L38*$Q38</f>
        <v>320400</v>
      </c>
      <c r="S38" s="103" t="s">
        <v>930</v>
      </c>
      <c r="T38" s="52" t="str">
        <f aca="false">IF(AND($O38&gt;=0.9,$P38&gt;=0.6,$S38="Valid"),"Green",IF(OR($O38&lt;0.8,$P38&lt;0.4,$S38="Expired"),"Red","Amber"))</f>
        <v>Green</v>
      </c>
      <c r="U38" s="175" t="n">
        <f aca="false">$C38*($M38*$Q38+ROW()/100000)</f>
        <v>70560.00038</v>
      </c>
    </row>
    <row r="39" customFormat="false" ht="13.5" hidden="false" customHeight="true" outlineLevel="0" collapsed="false">
      <c r="A39" s="149" t="s">
        <v>304</v>
      </c>
      <c r="B39" s="150" t="str">
        <f aca="false">IFERROR(INDEX(Projects!$C$9:$C$16,MATCH($A39,Projects!$A$9:$A$16,0)),"")</f>
        <v>Land Development</v>
      </c>
      <c r="C39" s="94" t="n">
        <f aca="false">IF(Dashboard!$C$6="Corporate",1,IF(Dashboard!$C$6="Project",IF($A39=Dashboard!$M$6,1,0),IF($B39=Dashboard!$H$6,1,0)))</f>
        <v>1</v>
      </c>
      <c r="D39" s="42" t="s">
        <v>964</v>
      </c>
      <c r="E39" s="30" t="s">
        <v>934</v>
      </c>
      <c r="F39" s="45" t="s">
        <v>889</v>
      </c>
      <c r="G39" s="92" t="n">
        <v>5</v>
      </c>
      <c r="H39" s="92" t="n">
        <v>4</v>
      </c>
      <c r="I39" s="85" t="n">
        <v>46153</v>
      </c>
      <c r="J39" s="85" t="n">
        <v>46599</v>
      </c>
      <c r="K39" s="92" t="n">
        <v>1917</v>
      </c>
      <c r="L39" s="92" t="n">
        <v>1307</v>
      </c>
      <c r="M39" s="92" t="n">
        <v>340</v>
      </c>
      <c r="N39" s="92" t="n">
        <v>65</v>
      </c>
      <c r="O39" s="87" t="n">
        <f aca="false">IF(($L39+$M39+$N39)=0,1,($L39+$M39)/($L39+$M39+$N39))</f>
        <v>0.962032710280374</v>
      </c>
      <c r="P39" s="87" t="n">
        <f aca="false">IF(($L39+$M39+$N39)=0,0,$L39/($L39+$M39+$N39))</f>
        <v>0.763434579439252</v>
      </c>
      <c r="Q39" s="176" t="n">
        <v>235</v>
      </c>
      <c r="R39" s="31" t="n">
        <f aca="false">$L39*$Q39</f>
        <v>307145</v>
      </c>
      <c r="S39" s="93" t="s">
        <v>935</v>
      </c>
      <c r="T39" s="46" t="str">
        <f aca="false">IF(AND($O39&gt;=0.9,$P39&gt;=0.6,$S39="Valid"),"Green",IF(OR($O39&lt;0.8,$P39&lt;0.4,$S39="Expired"),"Red","Amber"))</f>
        <v>Amber</v>
      </c>
      <c r="U39" s="174" t="n">
        <f aca="false">$C39*($M39*$Q39+ROW()/100000)</f>
        <v>79900.00039</v>
      </c>
    </row>
    <row r="40" customFormat="false" ht="13.5" hidden="false" customHeight="true" outlineLevel="0" collapsed="false">
      <c r="A40" s="47" t="s">
        <v>304</v>
      </c>
      <c r="B40" s="154" t="str">
        <f aca="false">IFERROR(INDEX(Projects!$C$9:$C$16,MATCH($A40,Projects!$A$9:$A$16,0)),"")</f>
        <v>Land Development</v>
      </c>
      <c r="C40" s="155" t="n">
        <f aca="false">IF(Dashboard!$C$6="Corporate",1,IF(Dashboard!$C$6="Project",IF($A40=Dashboard!$M$6,1,0),IF($B40=Dashboard!$H$6,1,0)))</f>
        <v>1</v>
      </c>
      <c r="D40" s="47" t="s">
        <v>965</v>
      </c>
      <c r="E40" s="37" t="s">
        <v>937</v>
      </c>
      <c r="F40" s="51" t="s">
        <v>889</v>
      </c>
      <c r="G40" s="99" t="n">
        <v>6</v>
      </c>
      <c r="H40" s="99" t="n">
        <v>5</v>
      </c>
      <c r="I40" s="98" t="n">
        <v>46153</v>
      </c>
      <c r="J40" s="98" t="n">
        <v>46599</v>
      </c>
      <c r="K40" s="99" t="n">
        <v>3860</v>
      </c>
      <c r="L40" s="99" t="n">
        <v>2552</v>
      </c>
      <c r="M40" s="99" t="n">
        <v>766</v>
      </c>
      <c r="N40" s="99" t="n">
        <v>128</v>
      </c>
      <c r="O40" s="100" t="n">
        <f aca="false">IF(($L40+$M40+$N40)=0,1,($L40+$M40)/($L40+$M40+$N40))</f>
        <v>0.962855484619849</v>
      </c>
      <c r="P40" s="100" t="n">
        <f aca="false">IF(($L40+$M40+$N40)=0,0,$L40/($L40+$M40+$N40))</f>
        <v>0.740568775391759</v>
      </c>
      <c r="Q40" s="177" t="n">
        <v>68</v>
      </c>
      <c r="R40" s="49" t="n">
        <f aca="false">$L40*$Q40</f>
        <v>173536</v>
      </c>
      <c r="S40" s="103" t="s">
        <v>930</v>
      </c>
      <c r="T40" s="52" t="str">
        <f aca="false">IF(AND($O40&gt;=0.9,$P40&gt;=0.6,$S40="Valid"),"Green",IF(OR($O40&lt;0.8,$P40&lt;0.4,$S40="Expired"),"Red","Amber"))</f>
        <v>Green</v>
      </c>
      <c r="U40" s="175" t="n">
        <f aca="false">$C40*($M40*$Q40+ROW()/100000)</f>
        <v>52088.0004</v>
      </c>
    </row>
    <row r="41" customFormat="false" ht="15" hidden="false" customHeight="true" outlineLevel="0" collapsed="false">
      <c r="A41" s="27" t="s">
        <v>966</v>
      </c>
      <c r="B41" s="27"/>
      <c r="C41" s="27"/>
      <c r="D41" s="27"/>
      <c r="E41" s="27"/>
      <c r="F41" s="27"/>
      <c r="G41" s="28" t="n">
        <f aca="false">SUMPRODUCT(Equipment_Register!$C$9:$C$40,$G$9:$G$40)</f>
        <v>144</v>
      </c>
      <c r="H41" s="28" t="n">
        <f aca="false">SUMPRODUCT(Equipment_Register!$C$9:$C$40,$H$9:$H$40)</f>
        <v>128</v>
      </c>
      <c r="I41" s="5"/>
      <c r="J41" s="5"/>
      <c r="K41" s="28" t="n">
        <f aca="false">SUMPRODUCT(Equipment_Register!$C$9:$C$40,$K$9:$K$40)</f>
        <v>167191</v>
      </c>
      <c r="L41" s="28" t="n">
        <f aca="false">SUMPRODUCT(Equipment_Register!$C$9:$C$40,$L$9:$L$40)</f>
        <v>116357</v>
      </c>
      <c r="M41" s="28" t="n">
        <f aca="false">SUMPRODUCT(Equipment_Register!$C$9:$C$40,$M$9:$M$40)</f>
        <v>27105</v>
      </c>
      <c r="N41" s="28" t="n">
        <f aca="false">SUMPRODUCT(Equipment_Register!$C$9:$C$40,$N$9:$N$40)</f>
        <v>5816</v>
      </c>
      <c r="O41" s="104" t="n">
        <f aca="false">IF(($L41+$M41+$N41)=0,1,($L41+$M41)/($L41+$M41+$N41))</f>
        <v>0.961039135036643</v>
      </c>
      <c r="P41" s="104" t="n">
        <f aca="false">IF(($L41+$M41+$N41)=0,0,$L41/($L41+$M41+$N41))</f>
        <v>0.779465158965152</v>
      </c>
      <c r="Q41" s="178" t="n">
        <f aca="false">IF($L41=0,0,$R41/$L41)</f>
        <v>158.333903417929</v>
      </c>
      <c r="R41" s="28" t="n">
        <f aca="false">SUMPRODUCT(Equipment_Register!$C$9:$C$40,$R$9:$R$40)</f>
        <v>18423258</v>
      </c>
      <c r="S41" s="105"/>
      <c r="T41" s="145" t="str">
        <f aca="false">IF($O41&gt;=0.9,"Green",IF($O41&gt;=0.8,"Amber","Red"))</f>
        <v>Green</v>
      </c>
      <c r="U41" s="10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c r="U42" s="5"/>
    </row>
    <row r="43" customFormat="false" ht="19.5" hidden="false" customHeight="true" outlineLevel="0" collapsed="false">
      <c r="A43" s="13" t="s">
        <v>967</v>
      </c>
      <c r="B43" s="13"/>
      <c r="C43" s="13"/>
      <c r="D43" s="13"/>
      <c r="E43" s="13"/>
      <c r="F43" s="13"/>
      <c r="G43" s="13"/>
      <c r="H43" s="13"/>
      <c r="I43" s="13"/>
      <c r="J43" s="13"/>
      <c r="K43" s="13"/>
      <c r="L43" s="13"/>
      <c r="M43" s="13"/>
      <c r="N43" s="13"/>
      <c r="O43" s="13"/>
      <c r="P43" s="13"/>
      <c r="Q43" s="13"/>
      <c r="R43" s="13"/>
      <c r="S43" s="13"/>
      <c r="T43" s="13"/>
      <c r="U43" s="13"/>
    </row>
    <row r="44" customFormat="false" ht="15.75" hidden="false" customHeight="true" outlineLevel="0" collapsed="false">
      <c r="A44" s="53" t="s">
        <v>968</v>
      </c>
      <c r="B44" s="53"/>
      <c r="C44" s="53"/>
      <c r="D44" s="143" t="n">
        <f aca="false">$O$41</f>
        <v>0.961039135036643</v>
      </c>
      <c r="E44" s="143"/>
      <c r="F44" s="53" t="s">
        <v>969</v>
      </c>
      <c r="G44" s="53"/>
      <c r="H44" s="53"/>
      <c r="I44" s="164" t="n">
        <f aca="false">SUMPRODUCT(Equipment_Register!$C$9:$C$40,(($S$9:$S$40="Expiring &lt;30d")+($S$9:$S$40="Expired")))</f>
        <v>8</v>
      </c>
      <c r="J44" s="164"/>
      <c r="K44" s="5"/>
      <c r="L44" s="5"/>
      <c r="M44" s="5"/>
      <c r="N44" s="53" t="s">
        <v>970</v>
      </c>
      <c r="O44" s="53"/>
      <c r="P44" s="53"/>
      <c r="Q44" s="164" t="n">
        <f aca="false">$H$41-$G$41</f>
        <v>-16</v>
      </c>
      <c r="R44" s="164"/>
      <c r="S44" s="5"/>
      <c r="T44" s="5"/>
      <c r="U44" s="5"/>
    </row>
    <row r="45" customFormat="false" ht="15.75" hidden="false" customHeight="true" outlineLevel="0" collapsed="false">
      <c r="A45" s="53" t="s">
        <v>971</v>
      </c>
      <c r="B45" s="53"/>
      <c r="C45" s="53"/>
      <c r="D45" s="143" t="n">
        <f aca="false">$P$41</f>
        <v>0.779465158965152</v>
      </c>
      <c r="E45" s="143"/>
      <c r="F45" s="53" t="s">
        <v>972</v>
      </c>
      <c r="G45" s="53"/>
      <c r="H45" s="53"/>
      <c r="I45" s="164" t="n">
        <f aca="false">SUMPRODUCT(Equipment_Register!$C$9:$C$40,$M$9:$M$40,$Q$9:$Q$40)</f>
        <v>4119506</v>
      </c>
      <c r="J45" s="164"/>
      <c r="K45" s="5"/>
      <c r="L45" s="5"/>
      <c r="M45" s="5"/>
      <c r="N45" s="53" t="s">
        <v>973</v>
      </c>
      <c r="O45" s="53"/>
      <c r="P45" s="53"/>
      <c r="Q45" s="143" t="n">
        <f aca="false">IF(($L$41+$M$41+$N$41)=0,0,$N$41/($L$41+$M$41+$N$41))</f>
        <v>0.038960864963357</v>
      </c>
      <c r="R45" s="143"/>
      <c r="S45" s="5"/>
      <c r="T45" s="5"/>
      <c r="U45" s="5"/>
    </row>
    <row r="46" customFormat="false" ht="15.75" hidden="false" customHeight="true" outlineLevel="0" collapsed="false">
      <c r="A46" s="53" t="s">
        <v>974</v>
      </c>
      <c r="B46" s="53"/>
      <c r="C46" s="53"/>
      <c r="D46" s="164" t="n">
        <f aca="false">$R$41</f>
        <v>18423258</v>
      </c>
      <c r="E46" s="164"/>
      <c r="F46" s="53" t="s">
        <v>975</v>
      </c>
      <c r="G46" s="53"/>
      <c r="H46" s="53"/>
      <c r="I46" s="143" t="n">
        <f aca="false">IF(Master_Tracker!$C$14=0,0,$R$41/Master_Tracker!$C$14)</f>
        <v>0.150002754042285</v>
      </c>
      <c r="J46" s="143"/>
      <c r="K46" s="5"/>
      <c r="L46" s="5"/>
      <c r="M46" s="5"/>
      <c r="N46" s="53" t="s">
        <v>976</v>
      </c>
      <c r="O46" s="53"/>
      <c r="P46" s="53"/>
      <c r="Q46" s="171" t="str">
        <f aca="false">IF($O$41&gt;=0.9,"Green",IF($O$41&gt;=0.8,"Amber","Red"))</f>
        <v>Green</v>
      </c>
      <c r="R46" s="171"/>
      <c r="S46" s="5"/>
      <c r="T46" s="5"/>
      <c r="U46" s="5"/>
    </row>
    <row r="47" customFormat="false" ht="15" hidden="false" customHeight="true" outlineLevel="0" collapsed="false">
      <c r="A47" s="5"/>
      <c r="B47" s="5"/>
      <c r="C47" s="5"/>
      <c r="D47" s="5"/>
      <c r="E47" s="5"/>
      <c r="F47" s="5"/>
      <c r="G47" s="5"/>
      <c r="H47" s="5"/>
      <c r="I47" s="5"/>
      <c r="J47" s="5"/>
      <c r="K47" s="5"/>
      <c r="L47" s="5"/>
      <c r="M47" s="5"/>
      <c r="N47" s="5"/>
      <c r="O47" s="5"/>
      <c r="P47" s="5"/>
      <c r="Q47" s="5"/>
      <c r="R47" s="5"/>
      <c r="S47" s="5"/>
      <c r="T47" s="5"/>
      <c r="U47" s="5"/>
    </row>
    <row r="48" customFormat="false" ht="25.5" hidden="false" customHeight="true" outlineLevel="0" collapsed="false">
      <c r="A48" s="58" t="s">
        <v>977</v>
      </c>
      <c r="B48" s="58"/>
      <c r="C48" s="58"/>
      <c r="D48" s="58"/>
      <c r="E48" s="58"/>
      <c r="F48" s="58"/>
      <c r="G48" s="58"/>
      <c r="H48" s="58"/>
      <c r="I48" s="58"/>
      <c r="J48" s="58"/>
      <c r="K48" s="58"/>
      <c r="L48" s="58"/>
      <c r="M48" s="58"/>
      <c r="N48" s="58"/>
      <c r="O48" s="58"/>
      <c r="P48" s="58"/>
      <c r="Q48" s="58"/>
      <c r="R48" s="58"/>
      <c r="S48" s="58"/>
      <c r="T48" s="58"/>
      <c r="U48" s="58"/>
    </row>
  </sheetData>
  <autoFilter ref="A8:U40"/>
  <mergeCells count="27">
    <mergeCell ref="A1:U1"/>
    <mergeCell ref="A2:U2"/>
    <mergeCell ref="A3:U3"/>
    <mergeCell ref="A4:U4"/>
    <mergeCell ref="A6:U6"/>
    <mergeCell ref="A7:U7"/>
    <mergeCell ref="A41:F41"/>
    <mergeCell ref="A43:U43"/>
    <mergeCell ref="A44:C44"/>
    <mergeCell ref="D44:E44"/>
    <mergeCell ref="F44:H44"/>
    <mergeCell ref="I44:J44"/>
    <mergeCell ref="N44:P44"/>
    <mergeCell ref="Q44:R44"/>
    <mergeCell ref="A45:C45"/>
    <mergeCell ref="D45:E45"/>
    <mergeCell ref="F45:H45"/>
    <mergeCell ref="I45:J45"/>
    <mergeCell ref="N45:P45"/>
    <mergeCell ref="Q45:R45"/>
    <mergeCell ref="A46:C46"/>
    <mergeCell ref="D46:E46"/>
    <mergeCell ref="F46:H46"/>
    <mergeCell ref="I46:J46"/>
    <mergeCell ref="N46:P46"/>
    <mergeCell ref="Q46:R46"/>
    <mergeCell ref="A48:U48"/>
  </mergeCells>
  <conditionalFormatting sqref="T9:T40">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S9:S40">
    <cfRule type="cellIs" priority="5" operator="equal" aboveAverage="0" equalAverage="0" bottom="0" percent="0" rank="0" text="" dxfId="0">
      <formula>"Valid"</formula>
    </cfRule>
    <cfRule type="cellIs" priority="6" operator="equal" aboveAverage="0" equalAverage="0" bottom="0" percent="0" rank="0" text="" dxfId="0">
      <formula>"Not Required"</formula>
    </cfRule>
    <cfRule type="cellIs" priority="7" operator="equal" aboveAverage="0" equalAverage="0" bottom="0" percent="0" rank="0" text="" dxfId="1">
      <formula>"Expiring &lt;30d"</formula>
    </cfRule>
    <cfRule type="cellIs" priority="8" operator="equal" aboveAverage="0" equalAverage="0" bottom="0" percent="0" rank="0" text="" dxfId="2">
      <formula>"Expired"</formula>
    </cfRule>
  </conditionalFormatting>
  <conditionalFormatting sqref="C9:C40">
    <cfRule type="cellIs" priority="9" operator="equal" aboveAverage="0" equalAverage="0" bottom="0" percent="0" rank="0" text="" dxfId="0">
      <formula>"1"</formula>
    </cfRule>
  </conditionalFormatting>
  <conditionalFormatting sqref="Q46:U46">
    <cfRule type="cellIs" priority="10" operator="equal" aboveAverage="0" equalAverage="0" bottom="0" percent="0" rank="0" text="" dxfId="0">
      <formula>"Green"</formula>
    </cfRule>
    <cfRule type="cellIs" priority="11" operator="equal" aboveAverage="0" equalAverage="0" bottom="0" percent="0" rank="0" text="" dxfId="1">
      <formula>"Amber"</formula>
    </cfRule>
    <cfRule type="cellIs" priority="12" operator="equal" aboveAverage="0" equalAverage="0" bottom="0" percent="0" rank="0" text="" dxfId="2">
      <formula>"Red"</formula>
    </cfRule>
  </conditionalFormatting>
  <dataValidations count="2">
    <dataValidation allowBlank="true" errorStyle="stop" operator="between" showDropDown="false" showErrorMessage="false" showInputMessage="false" sqref="S9:S40" type="list">
      <formula1>"Valid,Expiring &lt;30d,Expired,Not Required"</formula1>
      <formula2>0</formula2>
    </dataValidation>
    <dataValidation allowBlank="true" errorStyle="stop" operator="between" showDropDown="false" showErrorMessage="false" showInputMessage="false" sqref="A9:A40"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Q5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27" topLeftCell="D28" activePane="bottomRight" state="frozen"/>
      <selection pane="topLeft" activeCell="A1" activeCellId="0" sqref="A1"/>
      <selection pane="topRight" activeCell="D1" activeCellId="0" sqref="D1"/>
      <selection pane="bottomLeft" activeCell="A28" activeCellId="0" sqref="A28"/>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7" min="4" style="1" width="11"/>
    <col collapsed="false" customWidth="true" hidden="false" outlineLevel="0" max="8" min="8" style="1" width="46"/>
    <col collapsed="false" customWidth="true" hidden="false" outlineLevel="0" max="9" min="9" style="1" width="11"/>
    <col collapsed="false" customWidth="true" hidden="false" outlineLevel="0" max="10" min="10" style="1" width="24"/>
    <col collapsed="false" customWidth="true" hidden="false" outlineLevel="0" max="15" min="11" style="1" width="11"/>
    <col collapsed="false" customWidth="true" hidden="false" outlineLevel="0" max="16" min="16" style="1" width="12"/>
    <col collapsed="false" customWidth="true" hidden="false" outlineLevel="0" max="17" min="17" style="1" width="8"/>
  </cols>
  <sheetData>
    <row r="1" customFormat="false" ht="7.5" hidden="false" customHeight="true" outlineLevel="0" collapsed="false">
      <c r="A1" s="2"/>
      <c r="B1" s="2"/>
      <c r="C1" s="2"/>
      <c r="D1" s="2"/>
      <c r="E1" s="2"/>
      <c r="F1" s="2"/>
      <c r="G1" s="2"/>
      <c r="H1" s="2"/>
      <c r="I1" s="2"/>
      <c r="J1" s="2"/>
      <c r="K1" s="2"/>
      <c r="L1" s="2"/>
      <c r="M1" s="2"/>
      <c r="N1" s="2"/>
      <c r="O1" s="2"/>
      <c r="P1" s="2"/>
      <c r="Q1" s="2"/>
    </row>
    <row r="2" customFormat="false" ht="30" hidden="false" customHeight="true" outlineLevel="0" collapsed="false">
      <c r="A2" s="59" t="s">
        <v>978</v>
      </c>
      <c r="B2" s="59"/>
      <c r="C2" s="59"/>
      <c r="D2" s="59"/>
      <c r="E2" s="59"/>
      <c r="F2" s="59"/>
      <c r="G2" s="59"/>
      <c r="H2" s="59"/>
      <c r="I2" s="59"/>
      <c r="J2" s="59"/>
      <c r="K2" s="59"/>
      <c r="L2" s="59"/>
      <c r="M2" s="59"/>
      <c r="N2" s="59"/>
      <c r="O2" s="59"/>
      <c r="P2" s="59"/>
      <c r="Q2" s="59"/>
    </row>
    <row r="3" customFormat="false" ht="16.5" hidden="false" customHeight="true" outlineLevel="0" collapsed="false">
      <c r="A3" s="60" t="s">
        <v>979</v>
      </c>
      <c r="B3" s="60"/>
      <c r="C3" s="60"/>
      <c r="D3" s="60"/>
      <c r="E3" s="60"/>
      <c r="F3" s="60"/>
      <c r="G3" s="60"/>
      <c r="H3" s="60"/>
      <c r="I3" s="60"/>
      <c r="J3" s="60"/>
      <c r="K3" s="60"/>
      <c r="L3" s="60"/>
      <c r="M3" s="60"/>
      <c r="N3" s="60"/>
      <c r="O3" s="60"/>
      <c r="P3" s="60"/>
      <c r="Q3" s="60"/>
    </row>
    <row r="4" customFormat="false" ht="15" hidden="false" customHeight="true" outlineLevel="0" collapsed="false">
      <c r="A4" s="61" t="s">
        <v>980</v>
      </c>
      <c r="B4" s="61"/>
      <c r="C4" s="61"/>
      <c r="D4" s="61"/>
      <c r="E4" s="61"/>
      <c r="F4" s="61"/>
      <c r="G4" s="61"/>
      <c r="H4" s="61"/>
      <c r="I4" s="61"/>
      <c r="J4" s="61"/>
      <c r="K4" s="61"/>
      <c r="L4" s="61"/>
      <c r="M4" s="61"/>
      <c r="N4" s="61"/>
      <c r="O4" s="61"/>
      <c r="P4" s="61"/>
      <c r="Q4" s="61"/>
    </row>
    <row r="5" customFormat="false" ht="15" hidden="false" customHeight="true" outlineLevel="0" collapsed="false">
      <c r="A5" s="5"/>
      <c r="B5" s="5"/>
      <c r="C5" s="5"/>
      <c r="D5" s="5"/>
      <c r="E5" s="5"/>
      <c r="F5" s="5"/>
      <c r="G5" s="5"/>
      <c r="H5" s="5"/>
      <c r="I5" s="5"/>
      <c r="J5" s="5"/>
      <c r="K5" s="5"/>
      <c r="L5" s="5"/>
      <c r="M5" s="5"/>
      <c r="N5" s="5"/>
      <c r="O5" s="5"/>
      <c r="P5" s="5"/>
      <c r="Q5" s="5"/>
    </row>
    <row r="6" customFormat="false" ht="19.5" hidden="false" customHeight="true" outlineLevel="0" collapsed="false">
      <c r="A6" s="13" t="s">
        <v>981</v>
      </c>
      <c r="B6" s="13"/>
      <c r="C6" s="13"/>
      <c r="D6" s="13"/>
      <c r="E6" s="13"/>
      <c r="F6" s="13"/>
      <c r="G6" s="13"/>
      <c r="H6" s="13"/>
      <c r="I6" s="13"/>
      <c r="J6" s="13"/>
      <c r="K6" s="13"/>
      <c r="L6" s="13"/>
      <c r="M6" s="13"/>
      <c r="N6" s="13"/>
      <c r="O6" s="13"/>
      <c r="P6" s="13"/>
      <c r="Q6" s="13"/>
    </row>
    <row r="7" customFormat="false" ht="15" hidden="false" customHeight="true" outlineLevel="0" collapsed="false">
      <c r="A7" s="5"/>
      <c r="B7" s="5"/>
      <c r="C7" s="5"/>
      <c r="D7" s="5"/>
      <c r="E7" s="5"/>
      <c r="F7" s="5"/>
      <c r="G7" s="5"/>
      <c r="H7" s="5"/>
      <c r="I7" s="5"/>
      <c r="J7" s="5"/>
      <c r="K7" s="5"/>
      <c r="L7" s="5"/>
      <c r="M7" s="5"/>
      <c r="N7" s="5"/>
      <c r="O7" s="5"/>
      <c r="P7" s="5"/>
      <c r="Q7" s="5"/>
    </row>
    <row r="8" customFormat="false" ht="36" hidden="false" customHeight="true" outlineLevel="0" collapsed="false">
      <c r="A8" s="23" t="s">
        <v>256</v>
      </c>
      <c r="B8" s="23" t="s">
        <v>5</v>
      </c>
      <c r="C8" s="23" t="s">
        <v>289</v>
      </c>
      <c r="D8" s="23" t="s">
        <v>982</v>
      </c>
      <c r="E8" s="23" t="s">
        <v>983</v>
      </c>
      <c r="F8" s="23" t="s">
        <v>984</v>
      </c>
      <c r="G8" s="23" t="s">
        <v>985</v>
      </c>
      <c r="H8" s="23" t="s">
        <v>986</v>
      </c>
      <c r="I8" s="23" t="s">
        <v>987</v>
      </c>
      <c r="J8" s="23" t="s">
        <v>988</v>
      </c>
      <c r="K8" s="23" t="s">
        <v>989</v>
      </c>
      <c r="L8" s="23" t="s">
        <v>990</v>
      </c>
      <c r="M8" s="23" t="s">
        <v>991</v>
      </c>
      <c r="N8" s="23" t="s">
        <v>992</v>
      </c>
      <c r="O8" s="23" t="s">
        <v>993</v>
      </c>
      <c r="P8" s="23" t="s">
        <v>994</v>
      </c>
      <c r="Q8" s="23" t="s">
        <v>288</v>
      </c>
    </row>
    <row r="9" customFormat="false" ht="1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86" t="n">
        <f aca="false">'PT_RES-01'!$D$91</f>
        <v>268</v>
      </c>
      <c r="E9" s="86" t="n">
        <f aca="false">'PT_RES-01'!$J$91</f>
        <v>155</v>
      </c>
      <c r="F9" s="86" t="n">
        <f aca="false">'PT_RES-01'!$P$91</f>
        <v>54</v>
      </c>
      <c r="G9" s="92" t="n">
        <v>59</v>
      </c>
      <c r="H9" s="86" t="n">
        <f aca="false">'PT_RES-01'!$D$92</f>
        <v>75</v>
      </c>
      <c r="I9" s="86" t="n">
        <f aca="false">'PT_RES-01'!$J$92</f>
        <v>58</v>
      </c>
      <c r="J9" s="92" t="n">
        <v>8</v>
      </c>
      <c r="K9" s="92" t="n">
        <v>9</v>
      </c>
      <c r="L9" s="87" t="n">
        <f aca="false">IF(($D9+$H9)=0,0,($E9+$I9)/($D9+$H9))</f>
        <v>0.620991253644315</v>
      </c>
      <c r="M9" s="90" t="n">
        <f aca="false">IF(($E9+$F9+$I9+$J9)=0,0,($E9+$I9)/($E9+$F9+$I9+$J9))</f>
        <v>0.774545454545455</v>
      </c>
      <c r="N9" s="87" t="n">
        <f aca="false">IF(($D9+$H9)=0,0,($F9+$J9)/($D9+$H9))</f>
        <v>0.180758017492711</v>
      </c>
      <c r="O9" s="87" t="n">
        <f aca="false">IF(($D9+$H9)=0,0,($G9+$K9)/($D9+$H9))</f>
        <v>0.198250728862974</v>
      </c>
      <c r="P9" s="89" t="n">
        <f aca="false">COUNTIFS($A$28:$A$51,$A9,$Q$28:$Q$51,"Open")</f>
        <v>2</v>
      </c>
      <c r="Q9" s="46" t="str">
        <f aca="false">IF($M9&gt;=0.9,"Green",IF($M9&gt;=0.8,"Amber","Red"))</f>
        <v>Red</v>
      </c>
    </row>
    <row r="10" customFormat="false" ht="15" hidden="false" customHeight="true" outlineLevel="0" collapsed="false">
      <c r="A10" s="47" t="s">
        <v>293</v>
      </c>
      <c r="B10" s="154" t="str">
        <f aca="false">IFERROR(INDEX(Projects!$C$9:$C$16,MATCH($A10,Projects!$A$9:$A$16,0)),"")</f>
        <v>Residential</v>
      </c>
      <c r="C10" s="155" t="n">
        <f aca="false">IF(Dashboard!$C$6="Corporate",1,IF(Dashboard!$C$6="Project",IF($A10=Dashboard!$M$6,1,0),IF($B10=Dashboard!$H$6,1,0)))</f>
        <v>1</v>
      </c>
      <c r="D10" s="99" t="n">
        <f aca="false">'PT_RES-02'!$D$91</f>
        <v>164</v>
      </c>
      <c r="E10" s="99" t="n">
        <f aca="false">'PT_RES-02'!$J$91</f>
        <v>95</v>
      </c>
      <c r="F10" s="99" t="n">
        <f aca="false">'PT_RES-02'!$P$91</f>
        <v>33</v>
      </c>
      <c r="G10" s="99" t="n">
        <v>36</v>
      </c>
      <c r="H10" s="99" t="n">
        <f aca="false">'PT_RES-02'!$D$92</f>
        <v>46</v>
      </c>
      <c r="I10" s="99" t="n">
        <f aca="false">'PT_RES-02'!$J$92</f>
        <v>35</v>
      </c>
      <c r="J10" s="99" t="n">
        <v>5</v>
      </c>
      <c r="K10" s="99" t="n">
        <v>6</v>
      </c>
      <c r="L10" s="100" t="n">
        <f aca="false">IF(($D10+$H10)=0,0,($E10+$I10)/($D10+$H10))</f>
        <v>0.619047619047619</v>
      </c>
      <c r="M10" s="40" t="n">
        <f aca="false">IF(($E10+$F10+$I10+$J10)=0,0,($E10+$I10)/($E10+$F10+$I10+$J10))</f>
        <v>0.773809523809524</v>
      </c>
      <c r="N10" s="100" t="n">
        <f aca="false">IF(($D10+$H10)=0,0,($F10+$J10)/($D10+$H10))</f>
        <v>0.180952380952381</v>
      </c>
      <c r="O10" s="100" t="n">
        <f aca="false">IF(($D10+$H10)=0,0,($G10+$K10)/($D10+$H10))</f>
        <v>0.2</v>
      </c>
      <c r="P10" s="38" t="n">
        <f aca="false">COUNTIFS($A$28:$A$51,$A10,$Q$28:$Q$51,"Open")</f>
        <v>2</v>
      </c>
      <c r="Q10" s="52" t="str">
        <f aca="false">IF($M10&gt;=0.9,"Green",IF($M10&gt;=0.8,"Amber","Red"))</f>
        <v>Red</v>
      </c>
    </row>
    <row r="11" customFormat="false" ht="15" hidden="false" customHeight="true" outlineLevel="0" collapsed="false">
      <c r="A11" s="149" t="s">
        <v>296</v>
      </c>
      <c r="B11" s="150" t="str">
        <f aca="false">IFERROR(INDEX(Projects!$C$9:$C$16,MATCH($A11,Projects!$A$9:$A$16,0)),"")</f>
        <v>Commercial</v>
      </c>
      <c r="C11" s="94" t="n">
        <f aca="false">IF(Dashboard!$C$6="Corporate",1,IF(Dashboard!$C$6="Project",IF($A11=Dashboard!$M$6,1,0),IF($B11=Dashboard!$H$6,1,0)))</f>
        <v>1</v>
      </c>
      <c r="D11" s="86" t="n">
        <f aca="false">'PT_COM-01'!$D$91</f>
        <v>437</v>
      </c>
      <c r="E11" s="86" t="n">
        <f aca="false">'PT_COM-01'!$J$91</f>
        <v>293</v>
      </c>
      <c r="F11" s="86" t="n">
        <f aca="false">'PT_COM-01'!$P$91</f>
        <v>48</v>
      </c>
      <c r="G11" s="92" t="n">
        <v>96</v>
      </c>
      <c r="H11" s="86" t="n">
        <f aca="false">'PT_COM-01'!$D$92</f>
        <v>122</v>
      </c>
      <c r="I11" s="86" t="n">
        <f aca="false">'PT_COM-01'!$J$92</f>
        <v>94</v>
      </c>
      <c r="J11" s="92" t="n">
        <v>13</v>
      </c>
      <c r="K11" s="92" t="n">
        <v>15</v>
      </c>
      <c r="L11" s="87" t="n">
        <f aca="false">IF(($D11+$H11)=0,0,($E11+$I11)/($D11+$H11))</f>
        <v>0.692307692307692</v>
      </c>
      <c r="M11" s="90" t="n">
        <f aca="false">IF(($E11+$F11+$I11+$J11)=0,0,($E11+$I11)/($E11+$F11+$I11+$J11))</f>
        <v>0.863839285714286</v>
      </c>
      <c r="N11" s="87" t="n">
        <f aca="false">IF(($D11+$H11)=0,0,($F11+$J11)/($D11+$H11))</f>
        <v>0.10912343470483</v>
      </c>
      <c r="O11" s="87" t="n">
        <f aca="false">IF(($D11+$H11)=0,0,($G11+$K11)/($D11+$H11))</f>
        <v>0.198568872987478</v>
      </c>
      <c r="P11" s="89" t="n">
        <f aca="false">COUNTIFS($A$28:$A$51,$A11,$Q$28:$Q$51,"Open")</f>
        <v>2</v>
      </c>
      <c r="Q11" s="46" t="str">
        <f aca="false">IF($M11&gt;=0.9,"Green",IF($M11&gt;=0.8,"Amber","Red"))</f>
        <v>Amber</v>
      </c>
    </row>
    <row r="12" customFormat="false" ht="15" hidden="false" customHeight="true" outlineLevel="0" collapsed="false">
      <c r="A12" s="47" t="s">
        <v>298</v>
      </c>
      <c r="B12" s="154" t="str">
        <f aca="false">IFERROR(INDEX(Projects!$C$9:$C$16,MATCH($A12,Projects!$A$9:$A$16,0)),"")</f>
        <v>Commercial</v>
      </c>
      <c r="C12" s="155" t="n">
        <f aca="false">IF(Dashboard!$C$6="Corporate",1,IF(Dashboard!$C$6="Project",IF($A12=Dashboard!$M$6,1,0),IF($B12=Dashboard!$H$6,1,0)))</f>
        <v>1</v>
      </c>
      <c r="D12" s="99" t="n">
        <f aca="false">'PT_COM-02'!$D$91</f>
        <v>318</v>
      </c>
      <c r="E12" s="99" t="n">
        <f aca="false">'PT_COM-02'!$J$91</f>
        <v>213</v>
      </c>
      <c r="F12" s="99" t="n">
        <f aca="false">'PT_COM-02'!$P$91</f>
        <v>35</v>
      </c>
      <c r="G12" s="99" t="n">
        <v>70</v>
      </c>
      <c r="H12" s="99" t="n">
        <f aca="false">'PT_COM-02'!$D$92</f>
        <v>89</v>
      </c>
      <c r="I12" s="99" t="n">
        <f aca="false">'PT_COM-02'!$J$92</f>
        <v>68</v>
      </c>
      <c r="J12" s="99" t="n">
        <v>10</v>
      </c>
      <c r="K12" s="99" t="n">
        <v>11</v>
      </c>
      <c r="L12" s="100" t="n">
        <f aca="false">IF(($D12+$H12)=0,0,($E12+$I12)/($D12+$H12))</f>
        <v>0.69041769041769</v>
      </c>
      <c r="M12" s="40" t="n">
        <f aca="false">IF(($E12+$F12+$I12+$J12)=0,0,($E12+$I12)/($E12+$F12+$I12+$J12))</f>
        <v>0.861963190184049</v>
      </c>
      <c r="N12" s="100" t="n">
        <f aca="false">IF(($D12+$H12)=0,0,($F12+$J12)/($D12+$H12))</f>
        <v>0.110565110565111</v>
      </c>
      <c r="O12" s="100" t="n">
        <f aca="false">IF(($D12+$H12)=0,0,($G12+$K12)/($D12+$H12))</f>
        <v>0.199017199017199</v>
      </c>
      <c r="P12" s="38" t="n">
        <f aca="false">COUNTIFS($A$28:$A$51,$A12,$Q$28:$Q$51,"Open")</f>
        <v>2</v>
      </c>
      <c r="Q12" s="52" t="str">
        <f aca="false">IF($M12&gt;=0.9,"Green",IF($M12&gt;=0.8,"Amber","Red"))</f>
        <v>Amber</v>
      </c>
    </row>
    <row r="13" customFormat="false" ht="15" hidden="false" customHeight="true" outlineLevel="0" collapsed="false">
      <c r="A13" s="149" t="s">
        <v>300</v>
      </c>
      <c r="B13" s="150" t="str">
        <f aca="false">IFERROR(INDEX(Projects!$C$9:$C$16,MATCH($A13,Projects!$A$9:$A$16,0)),"")</f>
        <v>Mixed Use</v>
      </c>
      <c r="C13" s="94" t="n">
        <f aca="false">IF(Dashboard!$C$6="Corporate",1,IF(Dashboard!$C$6="Project",IF($A13=Dashboard!$M$6,1,0),IF($B13=Dashboard!$H$6,1,0)))</f>
        <v>1</v>
      </c>
      <c r="D13" s="86" t="n">
        <f aca="false">'PT_MXU-01'!$D$91</f>
        <v>260</v>
      </c>
      <c r="E13" s="86" t="n">
        <f aca="false">'PT_MXU-01'!$J$91</f>
        <v>151</v>
      </c>
      <c r="F13" s="86" t="n">
        <f aca="false">'PT_MXU-01'!$P$91</f>
        <v>52</v>
      </c>
      <c r="G13" s="92" t="n">
        <v>57</v>
      </c>
      <c r="H13" s="86" t="n">
        <f aca="false">'PT_MXU-01'!$D$92</f>
        <v>73</v>
      </c>
      <c r="I13" s="86" t="n">
        <f aca="false">'PT_MXU-01'!$J$92</f>
        <v>56</v>
      </c>
      <c r="J13" s="92" t="n">
        <v>8</v>
      </c>
      <c r="K13" s="92" t="n">
        <v>9</v>
      </c>
      <c r="L13" s="87" t="n">
        <f aca="false">IF(($D13+$H13)=0,0,($E13+$I13)/($D13+$H13))</f>
        <v>0.621621621621622</v>
      </c>
      <c r="M13" s="90" t="n">
        <f aca="false">IF(($E13+$F13+$I13+$J13)=0,0,($E13+$I13)/($E13+$F13+$I13+$J13))</f>
        <v>0.775280898876405</v>
      </c>
      <c r="N13" s="87" t="n">
        <f aca="false">IF(($D13+$H13)=0,0,($F13+$J13)/($D13+$H13))</f>
        <v>0.18018018018018</v>
      </c>
      <c r="O13" s="87" t="n">
        <f aca="false">IF(($D13+$H13)=0,0,($G13+$K13)/($D13+$H13))</f>
        <v>0.198198198198198</v>
      </c>
      <c r="P13" s="89" t="n">
        <f aca="false">COUNTIFS($A$28:$A$51,$A13,$Q$28:$Q$51,"Open")</f>
        <v>2</v>
      </c>
      <c r="Q13" s="46" t="str">
        <f aca="false">IF($M13&gt;=0.9,"Green",IF($M13&gt;=0.8,"Amber","Red"))</f>
        <v>Red</v>
      </c>
    </row>
    <row r="14" customFormat="false" ht="15" hidden="false" customHeight="true" outlineLevel="0" collapsed="false">
      <c r="A14" s="47" t="s">
        <v>301</v>
      </c>
      <c r="B14" s="154" t="str">
        <f aca="false">IFERROR(INDEX(Projects!$C$9:$C$16,MATCH($A14,Projects!$A$9:$A$16,0)),"")</f>
        <v>Mixed Use</v>
      </c>
      <c r="C14" s="155" t="n">
        <f aca="false">IF(Dashboard!$C$6="Corporate",1,IF(Dashboard!$C$6="Project",IF($A14=Dashboard!$M$6,1,0),IF($B14=Dashboard!$H$6,1,0)))</f>
        <v>1</v>
      </c>
      <c r="D14" s="99" t="n">
        <f aca="false">'PT_MXU-02'!$D$91</f>
        <v>241</v>
      </c>
      <c r="E14" s="99" t="n">
        <f aca="false">'PT_MXU-02'!$J$91</f>
        <v>161</v>
      </c>
      <c r="F14" s="99" t="n">
        <f aca="false">'PT_MXU-02'!$P$91</f>
        <v>27</v>
      </c>
      <c r="G14" s="99" t="n">
        <v>53</v>
      </c>
      <c r="H14" s="99" t="n">
        <f aca="false">'PT_MXU-02'!$D$92</f>
        <v>67</v>
      </c>
      <c r="I14" s="99" t="n">
        <f aca="false">'PT_MXU-02'!$J$92</f>
        <v>52</v>
      </c>
      <c r="J14" s="99" t="n">
        <v>7</v>
      </c>
      <c r="K14" s="99" t="n">
        <v>8</v>
      </c>
      <c r="L14" s="100" t="n">
        <f aca="false">IF(($D14+$H14)=0,0,($E14+$I14)/($D14+$H14))</f>
        <v>0.691558441558442</v>
      </c>
      <c r="M14" s="40" t="n">
        <f aca="false">IF(($E14+$F14+$I14+$J14)=0,0,($E14+$I14)/($E14+$F14+$I14+$J14))</f>
        <v>0.862348178137652</v>
      </c>
      <c r="N14" s="100" t="n">
        <f aca="false">IF(($D14+$H14)=0,0,($F14+$J14)/($D14+$H14))</f>
        <v>0.11038961038961</v>
      </c>
      <c r="O14" s="100" t="n">
        <f aca="false">IF(($D14+$H14)=0,0,($G14+$K14)/($D14+$H14))</f>
        <v>0.198051948051948</v>
      </c>
      <c r="P14" s="38" t="n">
        <f aca="false">COUNTIFS($A$28:$A$51,$A14,$Q$28:$Q$51,"Open")</f>
        <v>2</v>
      </c>
      <c r="Q14" s="52" t="str">
        <f aca="false">IF($M14&gt;=0.9,"Green",IF($M14&gt;=0.8,"Amber","Red"))</f>
        <v>Amber</v>
      </c>
    </row>
    <row r="15" customFormat="false" ht="15" hidden="false" customHeight="true" outlineLevel="0" collapsed="false">
      <c r="A15" s="149" t="s">
        <v>303</v>
      </c>
      <c r="B15" s="150" t="str">
        <f aca="false">IFERROR(INDEX(Projects!$C$9:$C$16,MATCH($A15,Projects!$A$9:$A$16,0)),"")</f>
        <v>Land Development</v>
      </c>
      <c r="C15" s="94" t="n">
        <f aca="false">IF(Dashboard!$C$6="Corporate",1,IF(Dashboard!$C$6="Project",IF($A15=Dashboard!$M$6,1,0),IF($B15=Dashboard!$H$6,1,0)))</f>
        <v>1</v>
      </c>
      <c r="D15" s="86" t="n">
        <f aca="false">'PT_LND-01'!$D$91</f>
        <v>335</v>
      </c>
      <c r="E15" s="86" t="n">
        <f aca="false">'PT_LND-01'!$J$91</f>
        <v>224</v>
      </c>
      <c r="F15" s="86" t="n">
        <f aca="false">'PT_LND-01'!$P$91</f>
        <v>37</v>
      </c>
      <c r="G15" s="92" t="n">
        <v>74</v>
      </c>
      <c r="H15" s="86" t="n">
        <f aca="false">'PT_LND-01'!$D$92</f>
        <v>94</v>
      </c>
      <c r="I15" s="86" t="n">
        <f aca="false">'PT_LND-01'!$J$92</f>
        <v>73</v>
      </c>
      <c r="J15" s="92" t="n">
        <v>10</v>
      </c>
      <c r="K15" s="92" t="n">
        <v>11</v>
      </c>
      <c r="L15" s="87" t="n">
        <f aca="false">IF(($D15+$H15)=0,0,($E15+$I15)/($D15+$H15))</f>
        <v>0.692307692307692</v>
      </c>
      <c r="M15" s="90" t="n">
        <f aca="false">IF(($E15+$F15+$I15+$J15)=0,0,($E15+$I15)/($E15+$F15+$I15+$J15))</f>
        <v>0.863372093023256</v>
      </c>
      <c r="N15" s="87" t="n">
        <f aca="false">IF(($D15+$H15)=0,0,($F15+$J15)/($D15+$H15))</f>
        <v>0.10955710955711</v>
      </c>
      <c r="O15" s="87" t="n">
        <f aca="false">IF(($D15+$H15)=0,0,($G15+$K15)/($D15+$H15))</f>
        <v>0.198135198135198</v>
      </c>
      <c r="P15" s="89" t="n">
        <f aca="false">COUNTIFS($A$28:$A$51,$A15,$Q$28:$Q$51,"Open")</f>
        <v>2</v>
      </c>
      <c r="Q15" s="46" t="str">
        <f aca="false">IF($M15&gt;=0.9,"Green",IF($M15&gt;=0.8,"Amber","Red"))</f>
        <v>Amber</v>
      </c>
    </row>
    <row r="16" customFormat="false" ht="15" hidden="false" customHeight="true" outlineLevel="0" collapsed="false">
      <c r="A16" s="47" t="s">
        <v>304</v>
      </c>
      <c r="B16" s="154" t="str">
        <f aca="false">IFERROR(INDEX(Projects!$C$9:$C$16,MATCH($A16,Projects!$A$9:$A$16,0)),"")</f>
        <v>Land Development</v>
      </c>
      <c r="C16" s="155" t="n">
        <f aca="false">IF(Dashboard!$C$6="Corporate",1,IF(Dashboard!$C$6="Project",IF($A16=Dashboard!$M$6,1,0),IF($B16=Dashboard!$H$6,1,0)))</f>
        <v>1</v>
      </c>
      <c r="D16" s="99" t="n">
        <f aca="false">'PT_LND-02'!$D$91</f>
        <v>216</v>
      </c>
      <c r="E16" s="99" t="n">
        <f aca="false">'PT_LND-02'!$J$91</f>
        <v>144</v>
      </c>
      <c r="F16" s="99" t="n">
        <f aca="false">'PT_LND-02'!$P$91</f>
        <v>24</v>
      </c>
      <c r="G16" s="99" t="n">
        <v>48</v>
      </c>
      <c r="H16" s="99" t="n">
        <f aca="false">'PT_LND-02'!$D$92</f>
        <v>60</v>
      </c>
      <c r="I16" s="99" t="n">
        <f aca="false">'PT_LND-02'!$J$92</f>
        <v>46</v>
      </c>
      <c r="J16" s="99" t="n">
        <v>7</v>
      </c>
      <c r="K16" s="99" t="n">
        <v>7</v>
      </c>
      <c r="L16" s="100" t="n">
        <f aca="false">IF(($D16+$H16)=0,0,($E16+$I16)/($D16+$H16))</f>
        <v>0.688405797101449</v>
      </c>
      <c r="M16" s="40" t="n">
        <f aca="false">IF(($E16+$F16+$I16+$J16)=0,0,($E16+$I16)/($E16+$F16+$I16+$J16))</f>
        <v>0.85972850678733</v>
      </c>
      <c r="N16" s="100" t="n">
        <f aca="false">IF(($D16+$H16)=0,0,($F16+$J16)/($D16+$H16))</f>
        <v>0.11231884057971</v>
      </c>
      <c r="O16" s="100" t="n">
        <f aca="false">IF(($D16+$H16)=0,0,($G16+$K16)/($D16+$H16))</f>
        <v>0.199275362318841</v>
      </c>
      <c r="P16" s="38" t="n">
        <f aca="false">COUNTIFS($A$28:$A$51,$A16,$Q$28:$Q$51,"Open")</f>
        <v>2</v>
      </c>
      <c r="Q16" s="52" t="str">
        <f aca="false">IF($M16&gt;=0.9,"Green",IF($M16&gt;=0.8,"Amber","Red"))</f>
        <v>Amber</v>
      </c>
    </row>
    <row r="17" customFormat="false" ht="15" hidden="false" customHeight="true" outlineLevel="0" collapsed="false">
      <c r="A17" s="27" t="s">
        <v>633</v>
      </c>
      <c r="B17" s="27"/>
      <c r="C17" s="27"/>
      <c r="D17" s="28" t="n">
        <f aca="false">SUMPRODUCT(Quality_Register!$C$9:$C$16,$D$9:$D$16)</f>
        <v>2239</v>
      </c>
      <c r="E17" s="28" t="n">
        <f aca="false">SUMPRODUCT(Quality_Register!$C$9:$C$16,$E$9:$E$16)</f>
        <v>1436</v>
      </c>
      <c r="F17" s="28" t="n">
        <f aca="false">SUMPRODUCT(Quality_Register!$C$9:$C$16,$F$9:$F$16)</f>
        <v>310</v>
      </c>
      <c r="G17" s="28" t="n">
        <f aca="false">SUMPRODUCT(Quality_Register!$C$9:$C$16,$G$9:$G$16)</f>
        <v>493</v>
      </c>
      <c r="H17" s="28" t="n">
        <f aca="false">SUMPRODUCT(Quality_Register!$C$9:$C$16,$H$9:$H$16)</f>
        <v>626</v>
      </c>
      <c r="I17" s="28" t="n">
        <f aca="false">SUMPRODUCT(Quality_Register!$C$9:$C$16,$I$9:$I$16)</f>
        <v>482</v>
      </c>
      <c r="J17" s="28" t="n">
        <f aca="false">SUMPRODUCT(Quality_Register!$C$9:$C$16,$J$9:$J$16)</f>
        <v>68</v>
      </c>
      <c r="K17" s="28" t="n">
        <f aca="false">SUMPRODUCT(Quality_Register!$C$9:$C$16,$K$9:$K$16)</f>
        <v>76</v>
      </c>
      <c r="L17" s="104" t="n">
        <f aca="false">IF(($D17+$H17)=0,0,($E17+$I17)/($D17+$H17))</f>
        <v>0.669458987783595</v>
      </c>
      <c r="M17" s="104" t="n">
        <f aca="false">IF(($E17+$F17+$I17+$J17)=0,0,($E17+$I17)/($E17+$F17+$I17+$J17))</f>
        <v>0.835365853658537</v>
      </c>
      <c r="N17" s="104" t="n">
        <f aca="false">IF(($D17+$H17)=0,0,($F17+$J17)/($D17+$H17))</f>
        <v>0.131937172774869</v>
      </c>
      <c r="O17" s="104" t="n">
        <f aca="false">IF(($D17+$H17)=0,0,($G17+$K17)/($D17+$H17))</f>
        <v>0.198603839441536</v>
      </c>
      <c r="P17" s="28" t="n">
        <f aca="false">SUMPRODUCT(Quality_Register!$C$9:$C$16,$P$9:$P$16)</f>
        <v>16</v>
      </c>
      <c r="Q17" s="145" t="str">
        <f aca="false">IF($M17&gt;=0.9,"Green",IF($M17&gt;=0.8,"Amber","Red"))</f>
        <v>Amber</v>
      </c>
    </row>
    <row r="18" customFormat="false" ht="15" hidden="false" customHeight="true" outlineLevel="0" collapsed="false">
      <c r="A18" s="5"/>
      <c r="B18" s="5"/>
      <c r="C18" s="5"/>
      <c r="D18" s="5"/>
      <c r="E18" s="5"/>
      <c r="F18" s="5"/>
      <c r="G18" s="5"/>
      <c r="H18" s="5"/>
      <c r="I18" s="5"/>
      <c r="J18" s="5"/>
      <c r="K18" s="5"/>
      <c r="L18" s="5"/>
      <c r="M18" s="5"/>
      <c r="N18" s="5"/>
      <c r="O18" s="5"/>
      <c r="P18" s="5"/>
      <c r="Q18" s="5"/>
    </row>
    <row r="19" customFormat="false" ht="19.5" hidden="false" customHeight="true" outlineLevel="0" collapsed="false">
      <c r="A19" s="13" t="s">
        <v>995</v>
      </c>
      <c r="B19" s="13"/>
      <c r="C19" s="13"/>
      <c r="D19" s="13"/>
      <c r="E19" s="13"/>
      <c r="F19" s="13"/>
      <c r="G19" s="13"/>
      <c r="H19" s="13"/>
      <c r="I19" s="13"/>
      <c r="J19" s="13"/>
      <c r="K19" s="13"/>
      <c r="L19" s="13"/>
      <c r="M19" s="13"/>
      <c r="N19" s="13"/>
      <c r="O19" s="13"/>
      <c r="P19" s="13"/>
      <c r="Q19" s="13"/>
    </row>
    <row r="20" customFormat="false" ht="15.75" hidden="false" customHeight="true" outlineLevel="0" collapsed="false">
      <c r="A20" s="53" t="s">
        <v>390</v>
      </c>
      <c r="B20" s="53"/>
      <c r="C20" s="53"/>
      <c r="D20" s="179" t="n">
        <f aca="false">$M$17</f>
        <v>0.835365853658537</v>
      </c>
      <c r="E20" s="179"/>
      <c r="F20" s="179"/>
      <c r="G20" s="179"/>
      <c r="H20" s="53" t="s">
        <v>996</v>
      </c>
      <c r="I20" s="179" t="n">
        <f aca="false">$N$17</f>
        <v>0.131937172774869</v>
      </c>
      <c r="J20" s="179"/>
      <c r="K20" s="179"/>
      <c r="L20" s="179"/>
      <c r="M20" s="180" t="s">
        <v>997</v>
      </c>
      <c r="N20" s="180"/>
      <c r="O20" s="180"/>
      <c r="P20" s="180"/>
      <c r="Q20" s="180"/>
    </row>
    <row r="21" customFormat="false" ht="15.75" hidden="false" customHeight="true" outlineLevel="0" collapsed="false">
      <c r="A21" s="53" t="s">
        <v>998</v>
      </c>
      <c r="B21" s="53"/>
      <c r="C21" s="53"/>
      <c r="D21" s="181" t="n">
        <f aca="false">SUMPRODUCT(Quality_Register!$C$28:$C$51)</f>
        <v>24</v>
      </c>
      <c r="E21" s="181"/>
      <c r="F21" s="181"/>
      <c r="G21" s="181"/>
      <c r="H21" s="53" t="s">
        <v>999</v>
      </c>
      <c r="I21" s="181" t="n">
        <f aca="false">SUMPRODUCT(Quality_Register!$C$28:$C$51,($Q$28:$Q$51="Open")*1)</f>
        <v>16</v>
      </c>
      <c r="J21" s="181"/>
      <c r="K21" s="181"/>
      <c r="L21" s="181"/>
      <c r="M21" s="180"/>
      <c r="N21" s="180"/>
      <c r="O21" s="180"/>
      <c r="P21" s="180"/>
      <c r="Q21" s="180"/>
    </row>
    <row r="22" customFormat="false" ht="15.75" hidden="false" customHeight="true" outlineLevel="0" collapsed="false">
      <c r="A22" s="53" t="s">
        <v>1000</v>
      </c>
      <c r="B22" s="53"/>
      <c r="C22" s="53"/>
      <c r="D22" s="179" t="n">
        <f aca="false">IF(SUMPRODUCT(Quality_Register!$C$28:$C$51)=0,1,SUMPRODUCT(Quality_Register!$C$28:$C$51,($Q$28:$Q$51="Closed")*1)/SUMPRODUCT(Quality_Register!$C$28:$C$51))</f>
        <v>0.333333333333333</v>
      </c>
      <c r="E22" s="179"/>
      <c r="F22" s="179"/>
      <c r="G22" s="179"/>
      <c r="H22" s="53" t="s">
        <v>1001</v>
      </c>
      <c r="I22" s="182" t="n">
        <f aca="false">IF(SUMPRODUCT(Quality_Register!$C$28:$C$51)=0,0,SUMPRODUCT(Quality_Register!$C$28:$C$51,$O$28:$O$51)/SUMPRODUCT(Quality_Register!$C$28:$C$51))</f>
        <v>24.6666666666667</v>
      </c>
      <c r="J22" s="182"/>
      <c r="K22" s="182"/>
      <c r="L22" s="182"/>
      <c r="M22" s="180"/>
      <c r="N22" s="180"/>
      <c r="O22" s="180"/>
      <c r="P22" s="180"/>
      <c r="Q22" s="180"/>
    </row>
    <row r="23" customFormat="false" ht="15.75" hidden="false" customHeight="true" outlineLevel="0" collapsed="false">
      <c r="A23" s="53" t="s">
        <v>1002</v>
      </c>
      <c r="B23" s="53"/>
      <c r="C23" s="53"/>
      <c r="D23" s="181" t="n">
        <f aca="false">SUMPRODUCT(Quality_Register!$C$28:$C$51,$P$28:$P$51)</f>
        <v>2579208</v>
      </c>
      <c r="E23" s="181"/>
      <c r="F23" s="181"/>
      <c r="G23" s="181"/>
      <c r="H23" s="53" t="s">
        <v>1003</v>
      </c>
      <c r="I23" s="183" t="n">
        <f aca="false">1-(($F$17+$J$17)+SUMPRODUCT(Quality_Register!$C$28:$C$51,($Q$28:$Q$51="Open")*1))/MAX(1,($D$17+$H$17)+SUMPRODUCT(Quality_Register!$C$28:$C$51))</f>
        <v>0.86362062997577</v>
      </c>
      <c r="J23" s="183"/>
      <c r="K23" s="183"/>
      <c r="L23" s="183"/>
      <c r="M23" s="180"/>
      <c r="N23" s="180"/>
      <c r="O23" s="180"/>
      <c r="P23" s="180"/>
      <c r="Q23" s="180"/>
    </row>
    <row r="24" customFormat="false" ht="15" hidden="false" customHeight="true" outlineLevel="0" collapsed="false">
      <c r="A24" s="5"/>
      <c r="B24" s="5"/>
      <c r="C24" s="5"/>
      <c r="D24" s="5"/>
      <c r="E24" s="5"/>
      <c r="F24" s="5"/>
      <c r="G24" s="5"/>
      <c r="H24" s="5"/>
      <c r="I24" s="5"/>
      <c r="J24" s="5"/>
      <c r="K24" s="5"/>
      <c r="L24" s="5"/>
      <c r="M24" s="5"/>
      <c r="N24" s="5"/>
      <c r="O24" s="5"/>
      <c r="P24" s="5"/>
      <c r="Q24" s="5"/>
    </row>
    <row r="25" customFormat="false" ht="19.5" hidden="false" customHeight="true" outlineLevel="0" collapsed="false">
      <c r="A25" s="13" t="s">
        <v>1004</v>
      </c>
      <c r="B25" s="13"/>
      <c r="C25" s="13"/>
      <c r="D25" s="13"/>
      <c r="E25" s="13"/>
      <c r="F25" s="13"/>
      <c r="G25" s="13"/>
      <c r="H25" s="13"/>
      <c r="I25" s="13"/>
      <c r="J25" s="13"/>
      <c r="K25" s="13"/>
      <c r="L25" s="13"/>
      <c r="M25" s="13"/>
      <c r="N25" s="13"/>
      <c r="O25" s="13"/>
      <c r="P25" s="13"/>
      <c r="Q25" s="13"/>
    </row>
    <row r="26" customFormat="false" ht="13.5" hidden="false" customHeight="true" outlineLevel="0" collapsed="false">
      <c r="A26" s="80" t="s">
        <v>1005</v>
      </c>
      <c r="B26" s="80"/>
      <c r="C26" s="80"/>
      <c r="D26" s="80"/>
      <c r="E26" s="80"/>
      <c r="F26" s="80"/>
      <c r="G26" s="80"/>
      <c r="H26" s="80"/>
      <c r="I26" s="80"/>
      <c r="J26" s="80"/>
      <c r="K26" s="80"/>
      <c r="L26" s="80"/>
      <c r="M26" s="80"/>
      <c r="N26" s="80"/>
      <c r="O26" s="80"/>
      <c r="P26" s="80"/>
      <c r="Q26" s="80"/>
    </row>
    <row r="27" customFormat="false" ht="36" hidden="false" customHeight="true" outlineLevel="0" collapsed="false">
      <c r="A27" s="23" t="s">
        <v>256</v>
      </c>
      <c r="B27" s="23" t="s">
        <v>5</v>
      </c>
      <c r="C27" s="23" t="s">
        <v>289</v>
      </c>
      <c r="D27" s="23" t="s">
        <v>1006</v>
      </c>
      <c r="E27" s="23" t="s">
        <v>653</v>
      </c>
      <c r="F27" s="23" t="s">
        <v>1007</v>
      </c>
      <c r="G27" s="23" t="s">
        <v>767</v>
      </c>
      <c r="H27" s="23" t="s">
        <v>1008</v>
      </c>
      <c r="I27" s="23" t="s">
        <v>1009</v>
      </c>
      <c r="J27" s="23" t="s">
        <v>1010</v>
      </c>
      <c r="K27" s="23" t="s">
        <v>76</v>
      </c>
      <c r="L27" s="23" t="s">
        <v>663</v>
      </c>
      <c r="M27" s="23" t="s">
        <v>1011</v>
      </c>
      <c r="N27" s="23"/>
      <c r="O27" s="23" t="s">
        <v>664</v>
      </c>
      <c r="P27" s="23" t="s">
        <v>1012</v>
      </c>
      <c r="Q27" s="23" t="s">
        <v>78</v>
      </c>
    </row>
    <row r="28" customFormat="false" ht="13.5" hidden="false" customHeight="true" outlineLevel="0" collapsed="false">
      <c r="A28" s="149" t="s">
        <v>8</v>
      </c>
      <c r="B28" s="150" t="str">
        <f aca="false">IFERROR(INDEX(Projects!$C$9:$C$16,MATCH($A28,Projects!$A$9:$A$16,0)),"")</f>
        <v>Residential</v>
      </c>
      <c r="C28" s="94" t="n">
        <f aca="false">IF(Dashboard!$C$6="Corporate",1,IF(Dashboard!$C$6="Project",IF($A28=Dashboard!$M$6,1,0),IF($B28=Dashboard!$H$6,1,0)))</f>
        <v>1</v>
      </c>
      <c r="D28" s="42" t="s">
        <v>1013</v>
      </c>
      <c r="E28" s="85" t="n">
        <v>46164</v>
      </c>
      <c r="F28" s="45" t="s">
        <v>225</v>
      </c>
      <c r="G28" s="45" t="s">
        <v>495</v>
      </c>
      <c r="H28" s="30" t="s">
        <v>1014</v>
      </c>
      <c r="I28" s="93" t="s">
        <v>1015</v>
      </c>
      <c r="J28" s="30" t="s">
        <v>1016</v>
      </c>
      <c r="K28" s="30" t="s">
        <v>485</v>
      </c>
      <c r="L28" s="169" t="n">
        <v>46185</v>
      </c>
      <c r="M28" s="169" t="n">
        <v>46181</v>
      </c>
      <c r="N28" s="160"/>
      <c r="O28" s="31" t="n">
        <f aca="false">IF($M28="",Dashboard!$C$7-$E28,$M28-$E28)</f>
        <v>17</v>
      </c>
      <c r="P28" s="92" t="n">
        <v>152084</v>
      </c>
      <c r="Q28" s="93" t="s">
        <v>1017</v>
      </c>
    </row>
    <row r="29" customFormat="false" ht="13.5" hidden="false" customHeight="true" outlineLevel="0" collapsed="false">
      <c r="A29" s="47" t="s">
        <v>8</v>
      </c>
      <c r="B29" s="154" t="str">
        <f aca="false">IFERROR(INDEX(Projects!$C$9:$C$16,MATCH($A29,Projects!$A$9:$A$16,0)),"")</f>
        <v>Residential</v>
      </c>
      <c r="C29" s="155" t="n">
        <f aca="false">IF(Dashboard!$C$6="Corporate",1,IF(Dashboard!$C$6="Project",IF($A29=Dashboard!$M$6,1,0),IF($B29=Dashboard!$H$6,1,0)))</f>
        <v>1</v>
      </c>
      <c r="D29" s="47" t="s">
        <v>1018</v>
      </c>
      <c r="E29" s="98" t="n">
        <v>46194</v>
      </c>
      <c r="F29" s="51" t="s">
        <v>1019</v>
      </c>
      <c r="G29" s="51" t="s">
        <v>498</v>
      </c>
      <c r="H29" s="37" t="s">
        <v>1020</v>
      </c>
      <c r="I29" s="103" t="s">
        <v>1021</v>
      </c>
      <c r="J29" s="37" t="s">
        <v>1022</v>
      </c>
      <c r="K29" s="37" t="s">
        <v>510</v>
      </c>
      <c r="L29" s="96" t="n">
        <v>46215</v>
      </c>
      <c r="M29" s="96"/>
      <c r="N29" s="168"/>
      <c r="O29" s="49" t="n">
        <f aca="false">IF($M29="",Dashboard!$C$7-$E29,$M29-$E29)</f>
        <v>71</v>
      </c>
      <c r="P29" s="99" t="n">
        <v>38021</v>
      </c>
      <c r="Q29" s="103" t="s">
        <v>1023</v>
      </c>
    </row>
    <row r="30" customFormat="false" ht="13.5" hidden="false" customHeight="true" outlineLevel="0" collapsed="false">
      <c r="A30" s="149" t="s">
        <v>8</v>
      </c>
      <c r="B30" s="150" t="str">
        <f aca="false">IFERROR(INDEX(Projects!$C$9:$C$16,MATCH($A30,Projects!$A$9:$A$16,0)),"")</f>
        <v>Residential</v>
      </c>
      <c r="C30" s="94" t="n">
        <f aca="false">IF(Dashboard!$C$6="Corporate",1,IF(Dashboard!$C$6="Project",IF($A30=Dashboard!$M$6,1,0),IF($B30=Dashboard!$H$6,1,0)))</f>
        <v>1</v>
      </c>
      <c r="D30" s="42" t="s">
        <v>1024</v>
      </c>
      <c r="E30" s="85" t="n">
        <v>46225</v>
      </c>
      <c r="F30" s="45" t="s">
        <v>1025</v>
      </c>
      <c r="G30" s="45" t="s">
        <v>501</v>
      </c>
      <c r="H30" s="30" t="s">
        <v>1026</v>
      </c>
      <c r="I30" s="93" t="s">
        <v>1015</v>
      </c>
      <c r="J30" s="30" t="s">
        <v>1027</v>
      </c>
      <c r="K30" s="30" t="s">
        <v>1028</v>
      </c>
      <c r="L30" s="169" t="n">
        <v>46246</v>
      </c>
      <c r="M30" s="169"/>
      <c r="N30" s="160"/>
      <c r="O30" s="31" t="n">
        <f aca="false">IF($M30="",Dashboard!$C$7-$E30,$M30-$E30)</f>
        <v>40</v>
      </c>
      <c r="P30" s="92" t="n">
        <v>102365</v>
      </c>
      <c r="Q30" s="93" t="s">
        <v>1023</v>
      </c>
    </row>
    <row r="31" customFormat="false" ht="13.5" hidden="false" customHeight="true" outlineLevel="0" collapsed="false">
      <c r="A31" s="47" t="s">
        <v>293</v>
      </c>
      <c r="B31" s="154" t="str">
        <f aca="false">IFERROR(INDEX(Projects!$C$9:$C$16,MATCH($A31,Projects!$A$9:$A$16,0)),"")</f>
        <v>Residential</v>
      </c>
      <c r="C31" s="155" t="n">
        <f aca="false">IF(Dashboard!$C$6="Corporate",1,IF(Dashboard!$C$6="Project",IF($A31=Dashboard!$M$6,1,0),IF($B31=Dashboard!$H$6,1,0)))</f>
        <v>1</v>
      </c>
      <c r="D31" s="47" t="s">
        <v>1029</v>
      </c>
      <c r="E31" s="98" t="n">
        <v>46225</v>
      </c>
      <c r="F31" s="51" t="s">
        <v>225</v>
      </c>
      <c r="G31" s="51" t="s">
        <v>495</v>
      </c>
      <c r="H31" s="37" t="s">
        <v>1014</v>
      </c>
      <c r="I31" s="103" t="s">
        <v>1015</v>
      </c>
      <c r="J31" s="37" t="s">
        <v>1016</v>
      </c>
      <c r="K31" s="37" t="s">
        <v>485</v>
      </c>
      <c r="L31" s="96" t="n">
        <v>46246</v>
      </c>
      <c r="M31" s="96" t="n">
        <v>46242</v>
      </c>
      <c r="N31" s="168"/>
      <c r="O31" s="49" t="n">
        <f aca="false">IF($M31="",Dashboard!$C$7-$E31,$M31-$E31)</f>
        <v>17</v>
      </c>
      <c r="P31" s="99" t="n">
        <v>39786</v>
      </c>
      <c r="Q31" s="103" t="s">
        <v>1017</v>
      </c>
    </row>
    <row r="32" customFormat="false" ht="13.5" hidden="false" customHeight="true" outlineLevel="0" collapsed="false">
      <c r="A32" s="149" t="s">
        <v>293</v>
      </c>
      <c r="B32" s="150" t="str">
        <f aca="false">IFERROR(INDEX(Projects!$C$9:$C$16,MATCH($A32,Projects!$A$9:$A$16,0)),"")</f>
        <v>Residential</v>
      </c>
      <c r="C32" s="94" t="n">
        <f aca="false">IF(Dashboard!$C$6="Corporate",1,IF(Dashboard!$C$6="Project",IF($A32=Dashboard!$M$6,1,0),IF($B32=Dashboard!$H$6,1,0)))</f>
        <v>1</v>
      </c>
      <c r="D32" s="42" t="s">
        <v>1030</v>
      </c>
      <c r="E32" s="85" t="n">
        <v>46256</v>
      </c>
      <c r="F32" s="45" t="s">
        <v>1019</v>
      </c>
      <c r="G32" s="45" t="s">
        <v>498</v>
      </c>
      <c r="H32" s="30" t="s">
        <v>1020</v>
      </c>
      <c r="I32" s="93" t="s">
        <v>1021</v>
      </c>
      <c r="J32" s="30" t="s">
        <v>1022</v>
      </c>
      <c r="K32" s="30" t="s">
        <v>510</v>
      </c>
      <c r="L32" s="169" t="n">
        <v>46277</v>
      </c>
      <c r="M32" s="169"/>
      <c r="N32" s="160"/>
      <c r="O32" s="31" t="n">
        <f aca="false">IF($M32="",Dashboard!$C$7-$E32,$M32-$E32)</f>
        <v>9</v>
      </c>
      <c r="P32" s="92" t="n">
        <v>9947</v>
      </c>
      <c r="Q32" s="93" t="s">
        <v>1023</v>
      </c>
    </row>
    <row r="33" customFormat="false" ht="13.5" hidden="false" customHeight="true" outlineLevel="0" collapsed="false">
      <c r="A33" s="47" t="s">
        <v>293</v>
      </c>
      <c r="B33" s="154" t="str">
        <f aca="false">IFERROR(INDEX(Projects!$C$9:$C$16,MATCH($A33,Projects!$A$9:$A$16,0)),"")</f>
        <v>Residential</v>
      </c>
      <c r="C33" s="155" t="n">
        <f aca="false">IF(Dashboard!$C$6="Corporate",1,IF(Dashboard!$C$6="Project",IF($A33=Dashboard!$M$6,1,0),IF($B33=Dashboard!$H$6,1,0)))</f>
        <v>1</v>
      </c>
      <c r="D33" s="47" t="s">
        <v>1031</v>
      </c>
      <c r="E33" s="98" t="n">
        <v>46286</v>
      </c>
      <c r="F33" s="51" t="s">
        <v>1025</v>
      </c>
      <c r="G33" s="51" t="s">
        <v>501</v>
      </c>
      <c r="H33" s="37" t="s">
        <v>1026</v>
      </c>
      <c r="I33" s="103" t="s">
        <v>1015</v>
      </c>
      <c r="J33" s="37" t="s">
        <v>1027</v>
      </c>
      <c r="K33" s="37" t="s">
        <v>1028</v>
      </c>
      <c r="L33" s="96" t="n">
        <v>46307</v>
      </c>
      <c r="M33" s="96"/>
      <c r="N33" s="168"/>
      <c r="O33" s="49" t="n">
        <f aca="false">IF($M33="",Dashboard!$C$7-$E33,$M33-$E33)</f>
        <v>-21</v>
      </c>
      <c r="P33" s="99" t="n">
        <v>26779</v>
      </c>
      <c r="Q33" s="103" t="s">
        <v>1023</v>
      </c>
    </row>
    <row r="34" customFormat="false" ht="13.5" hidden="false" customHeight="true" outlineLevel="0" collapsed="false">
      <c r="A34" s="149" t="s">
        <v>296</v>
      </c>
      <c r="B34" s="150" t="str">
        <f aca="false">IFERROR(INDEX(Projects!$C$9:$C$16,MATCH($A34,Projects!$A$9:$A$16,0)),"")</f>
        <v>Commercial</v>
      </c>
      <c r="C34" s="94" t="n">
        <f aca="false">IF(Dashboard!$C$6="Corporate",1,IF(Dashboard!$C$6="Project",IF($A34=Dashboard!$M$6,1,0),IF($B34=Dashboard!$H$6,1,0)))</f>
        <v>1</v>
      </c>
      <c r="D34" s="42" t="s">
        <v>1032</v>
      </c>
      <c r="E34" s="85" t="n">
        <v>46164</v>
      </c>
      <c r="F34" s="45" t="s">
        <v>225</v>
      </c>
      <c r="G34" s="45" t="s">
        <v>495</v>
      </c>
      <c r="H34" s="30" t="s">
        <v>1014</v>
      </c>
      <c r="I34" s="93" t="s">
        <v>1015</v>
      </c>
      <c r="J34" s="30" t="s">
        <v>1016</v>
      </c>
      <c r="K34" s="30" t="s">
        <v>485</v>
      </c>
      <c r="L34" s="169" t="n">
        <v>46185</v>
      </c>
      <c r="M34" s="169" t="n">
        <v>46181</v>
      </c>
      <c r="N34" s="160"/>
      <c r="O34" s="31" t="n">
        <f aca="false">IF($M34="",Dashboard!$C$7-$E34,$M34-$E34)</f>
        <v>17</v>
      </c>
      <c r="P34" s="92" t="n">
        <v>336354</v>
      </c>
      <c r="Q34" s="93" t="s">
        <v>1017</v>
      </c>
    </row>
    <row r="35" customFormat="false" ht="13.5" hidden="false" customHeight="true" outlineLevel="0" collapsed="false">
      <c r="A35" s="47" t="s">
        <v>296</v>
      </c>
      <c r="B35" s="154" t="str">
        <f aca="false">IFERROR(INDEX(Projects!$C$9:$C$16,MATCH($A35,Projects!$A$9:$A$16,0)),"")</f>
        <v>Commercial</v>
      </c>
      <c r="C35" s="155" t="n">
        <f aca="false">IF(Dashboard!$C$6="Corporate",1,IF(Dashboard!$C$6="Project",IF($A35=Dashboard!$M$6,1,0),IF($B35=Dashboard!$H$6,1,0)))</f>
        <v>1</v>
      </c>
      <c r="D35" s="47" t="s">
        <v>1033</v>
      </c>
      <c r="E35" s="98" t="n">
        <v>46194</v>
      </c>
      <c r="F35" s="51" t="s">
        <v>1019</v>
      </c>
      <c r="G35" s="51" t="s">
        <v>498</v>
      </c>
      <c r="H35" s="37" t="s">
        <v>1020</v>
      </c>
      <c r="I35" s="103" t="s">
        <v>1021</v>
      </c>
      <c r="J35" s="37" t="s">
        <v>1022</v>
      </c>
      <c r="K35" s="37" t="s">
        <v>510</v>
      </c>
      <c r="L35" s="96" t="n">
        <v>46215</v>
      </c>
      <c r="M35" s="96"/>
      <c r="N35" s="168"/>
      <c r="O35" s="49" t="n">
        <f aca="false">IF($M35="",Dashboard!$C$7-$E35,$M35-$E35)</f>
        <v>71</v>
      </c>
      <c r="P35" s="99" t="n">
        <v>84088</v>
      </c>
      <c r="Q35" s="103" t="s">
        <v>1023</v>
      </c>
    </row>
    <row r="36" customFormat="false" ht="13.5" hidden="false" customHeight="true" outlineLevel="0" collapsed="false">
      <c r="A36" s="149" t="s">
        <v>296</v>
      </c>
      <c r="B36" s="150" t="str">
        <f aca="false">IFERROR(INDEX(Projects!$C$9:$C$16,MATCH($A36,Projects!$A$9:$A$16,0)),"")</f>
        <v>Commercial</v>
      </c>
      <c r="C36" s="94" t="n">
        <f aca="false">IF(Dashboard!$C$6="Corporate",1,IF(Dashboard!$C$6="Project",IF($A36=Dashboard!$M$6,1,0),IF($B36=Dashboard!$H$6,1,0)))</f>
        <v>1</v>
      </c>
      <c r="D36" s="42" t="s">
        <v>1034</v>
      </c>
      <c r="E36" s="85" t="n">
        <v>46225</v>
      </c>
      <c r="F36" s="45" t="s">
        <v>1025</v>
      </c>
      <c r="G36" s="45" t="s">
        <v>501</v>
      </c>
      <c r="H36" s="30" t="s">
        <v>1026</v>
      </c>
      <c r="I36" s="93" t="s">
        <v>1015</v>
      </c>
      <c r="J36" s="30" t="s">
        <v>1027</v>
      </c>
      <c r="K36" s="30" t="s">
        <v>1028</v>
      </c>
      <c r="L36" s="169" t="n">
        <v>46246</v>
      </c>
      <c r="M36" s="169"/>
      <c r="N36" s="160"/>
      <c r="O36" s="31" t="n">
        <f aca="false">IF($M36="",Dashboard!$C$7-$E36,$M36-$E36)</f>
        <v>40</v>
      </c>
      <c r="P36" s="92" t="n">
        <v>226392</v>
      </c>
      <c r="Q36" s="93" t="s">
        <v>1023</v>
      </c>
    </row>
    <row r="37" customFormat="false" ht="13.5" hidden="false" customHeight="true" outlineLevel="0" collapsed="false">
      <c r="A37" s="47" t="s">
        <v>298</v>
      </c>
      <c r="B37" s="154" t="str">
        <f aca="false">IFERROR(INDEX(Projects!$C$9:$C$16,MATCH($A37,Projects!$A$9:$A$16,0)),"")</f>
        <v>Commercial</v>
      </c>
      <c r="C37" s="155" t="n">
        <f aca="false">IF(Dashboard!$C$6="Corporate",1,IF(Dashboard!$C$6="Project",IF($A37=Dashboard!$M$6,1,0),IF($B37=Dashboard!$H$6,1,0)))</f>
        <v>1</v>
      </c>
      <c r="D37" s="47" t="s">
        <v>1035</v>
      </c>
      <c r="E37" s="98" t="n">
        <v>46194</v>
      </c>
      <c r="F37" s="51" t="s">
        <v>225</v>
      </c>
      <c r="G37" s="51" t="s">
        <v>495</v>
      </c>
      <c r="H37" s="37" t="s">
        <v>1014</v>
      </c>
      <c r="I37" s="103" t="s">
        <v>1015</v>
      </c>
      <c r="J37" s="37" t="s">
        <v>1016</v>
      </c>
      <c r="K37" s="37" t="s">
        <v>485</v>
      </c>
      <c r="L37" s="96" t="n">
        <v>46215</v>
      </c>
      <c r="M37" s="96" t="n">
        <v>46211</v>
      </c>
      <c r="N37" s="168"/>
      <c r="O37" s="49" t="n">
        <f aca="false">IF($M37="",Dashboard!$C$7-$E37,$M37-$E37)</f>
        <v>17</v>
      </c>
      <c r="P37" s="99" t="n">
        <v>215461</v>
      </c>
      <c r="Q37" s="103" t="s">
        <v>1017</v>
      </c>
    </row>
    <row r="38" customFormat="false" ht="13.5" hidden="false" customHeight="true" outlineLevel="0" collapsed="false">
      <c r="A38" s="149" t="s">
        <v>298</v>
      </c>
      <c r="B38" s="150" t="str">
        <f aca="false">IFERROR(INDEX(Projects!$C$9:$C$16,MATCH($A38,Projects!$A$9:$A$16,0)),"")</f>
        <v>Commercial</v>
      </c>
      <c r="C38" s="94" t="n">
        <f aca="false">IF(Dashboard!$C$6="Corporate",1,IF(Dashboard!$C$6="Project",IF($A38=Dashboard!$M$6,1,0),IF($B38=Dashboard!$H$6,1,0)))</f>
        <v>1</v>
      </c>
      <c r="D38" s="42" t="s">
        <v>1036</v>
      </c>
      <c r="E38" s="85" t="n">
        <v>46225</v>
      </c>
      <c r="F38" s="45" t="s">
        <v>1019</v>
      </c>
      <c r="G38" s="45" t="s">
        <v>498</v>
      </c>
      <c r="H38" s="30" t="s">
        <v>1020</v>
      </c>
      <c r="I38" s="93" t="s">
        <v>1021</v>
      </c>
      <c r="J38" s="30" t="s">
        <v>1022</v>
      </c>
      <c r="K38" s="30" t="s">
        <v>510</v>
      </c>
      <c r="L38" s="169" t="n">
        <v>46246</v>
      </c>
      <c r="M38" s="169"/>
      <c r="N38" s="160"/>
      <c r="O38" s="31" t="n">
        <f aca="false">IF($M38="",Dashboard!$C$7-$E38,$M38-$E38)</f>
        <v>40</v>
      </c>
      <c r="P38" s="92" t="n">
        <v>53865</v>
      </c>
      <c r="Q38" s="93" t="s">
        <v>1023</v>
      </c>
    </row>
    <row r="39" customFormat="false" ht="13.5" hidden="false" customHeight="true" outlineLevel="0" collapsed="false">
      <c r="A39" s="47" t="s">
        <v>298</v>
      </c>
      <c r="B39" s="154" t="str">
        <f aca="false">IFERROR(INDEX(Projects!$C$9:$C$16,MATCH($A39,Projects!$A$9:$A$16,0)),"")</f>
        <v>Commercial</v>
      </c>
      <c r="C39" s="155" t="n">
        <f aca="false">IF(Dashboard!$C$6="Corporate",1,IF(Dashboard!$C$6="Project",IF($A39=Dashboard!$M$6,1,0),IF($B39=Dashboard!$H$6,1,0)))</f>
        <v>1</v>
      </c>
      <c r="D39" s="47" t="s">
        <v>1037</v>
      </c>
      <c r="E39" s="98" t="n">
        <v>46256</v>
      </c>
      <c r="F39" s="51" t="s">
        <v>1025</v>
      </c>
      <c r="G39" s="51" t="s">
        <v>501</v>
      </c>
      <c r="H39" s="37" t="s">
        <v>1026</v>
      </c>
      <c r="I39" s="103" t="s">
        <v>1015</v>
      </c>
      <c r="J39" s="37" t="s">
        <v>1027</v>
      </c>
      <c r="K39" s="37" t="s">
        <v>1028</v>
      </c>
      <c r="L39" s="96" t="n">
        <v>46277</v>
      </c>
      <c r="M39" s="96"/>
      <c r="N39" s="168"/>
      <c r="O39" s="49" t="n">
        <f aca="false">IF($M39="",Dashboard!$C$7-$E39,$M39-$E39)</f>
        <v>9</v>
      </c>
      <c r="P39" s="99" t="n">
        <v>145023</v>
      </c>
      <c r="Q39" s="103" t="s">
        <v>1023</v>
      </c>
    </row>
    <row r="40" customFormat="false" ht="13.5" hidden="false" customHeight="true" outlineLevel="0" collapsed="false">
      <c r="A40" s="149" t="s">
        <v>300</v>
      </c>
      <c r="B40" s="150" t="str">
        <f aca="false">IFERROR(INDEX(Projects!$C$9:$C$16,MATCH($A40,Projects!$A$9:$A$16,0)),"")</f>
        <v>Mixed Use</v>
      </c>
      <c r="C40" s="94" t="n">
        <f aca="false">IF(Dashboard!$C$6="Corporate",1,IF(Dashboard!$C$6="Project",IF($A40=Dashboard!$M$6,1,0),IF($B40=Dashboard!$H$6,1,0)))</f>
        <v>1</v>
      </c>
      <c r="D40" s="42" t="s">
        <v>1038</v>
      </c>
      <c r="E40" s="85" t="n">
        <v>46225</v>
      </c>
      <c r="F40" s="45" t="s">
        <v>225</v>
      </c>
      <c r="G40" s="45" t="s">
        <v>495</v>
      </c>
      <c r="H40" s="30" t="s">
        <v>1014</v>
      </c>
      <c r="I40" s="93" t="s">
        <v>1015</v>
      </c>
      <c r="J40" s="30" t="s">
        <v>1016</v>
      </c>
      <c r="K40" s="30" t="s">
        <v>485</v>
      </c>
      <c r="L40" s="169" t="n">
        <v>46246</v>
      </c>
      <c r="M40" s="169" t="n">
        <v>46242</v>
      </c>
      <c r="N40" s="160"/>
      <c r="O40" s="31" t="n">
        <f aca="false">IF($M40="",Dashboard!$C$7-$E40,$M40-$E40)</f>
        <v>17</v>
      </c>
      <c r="P40" s="92" t="n">
        <v>145019</v>
      </c>
      <c r="Q40" s="93" t="s">
        <v>1017</v>
      </c>
    </row>
    <row r="41" customFormat="false" ht="13.5" hidden="false" customHeight="true" outlineLevel="0" collapsed="false">
      <c r="A41" s="47" t="s">
        <v>300</v>
      </c>
      <c r="B41" s="154" t="str">
        <f aca="false">IFERROR(INDEX(Projects!$C$9:$C$16,MATCH($A41,Projects!$A$9:$A$16,0)),"")</f>
        <v>Mixed Use</v>
      </c>
      <c r="C41" s="155" t="n">
        <f aca="false">IF(Dashboard!$C$6="Corporate",1,IF(Dashboard!$C$6="Project",IF($A41=Dashboard!$M$6,1,0),IF($B41=Dashboard!$H$6,1,0)))</f>
        <v>1</v>
      </c>
      <c r="D41" s="47" t="s">
        <v>1039</v>
      </c>
      <c r="E41" s="98" t="n">
        <v>46256</v>
      </c>
      <c r="F41" s="51" t="s">
        <v>1019</v>
      </c>
      <c r="G41" s="51" t="s">
        <v>498</v>
      </c>
      <c r="H41" s="37" t="s">
        <v>1020</v>
      </c>
      <c r="I41" s="103" t="s">
        <v>1021</v>
      </c>
      <c r="J41" s="37" t="s">
        <v>1022</v>
      </c>
      <c r="K41" s="37" t="s">
        <v>510</v>
      </c>
      <c r="L41" s="96" t="n">
        <v>46277</v>
      </c>
      <c r="M41" s="96"/>
      <c r="N41" s="168"/>
      <c r="O41" s="49" t="n">
        <f aca="false">IF($M41="",Dashboard!$C$7-$E41,$M41-$E41)</f>
        <v>9</v>
      </c>
      <c r="P41" s="99" t="n">
        <v>36255</v>
      </c>
      <c r="Q41" s="103" t="s">
        <v>1023</v>
      </c>
    </row>
    <row r="42" customFormat="false" ht="13.5" hidden="false" customHeight="true" outlineLevel="0" collapsed="false">
      <c r="A42" s="149" t="s">
        <v>300</v>
      </c>
      <c r="B42" s="150" t="str">
        <f aca="false">IFERROR(INDEX(Projects!$C$9:$C$16,MATCH($A42,Projects!$A$9:$A$16,0)),"")</f>
        <v>Mixed Use</v>
      </c>
      <c r="C42" s="94" t="n">
        <f aca="false">IF(Dashboard!$C$6="Corporate",1,IF(Dashboard!$C$6="Project",IF($A42=Dashboard!$M$6,1,0),IF($B42=Dashboard!$H$6,1,0)))</f>
        <v>1</v>
      </c>
      <c r="D42" s="42" t="s">
        <v>1040</v>
      </c>
      <c r="E42" s="85" t="n">
        <v>46286</v>
      </c>
      <c r="F42" s="45" t="s">
        <v>1025</v>
      </c>
      <c r="G42" s="45" t="s">
        <v>501</v>
      </c>
      <c r="H42" s="30" t="s">
        <v>1026</v>
      </c>
      <c r="I42" s="93" t="s">
        <v>1015</v>
      </c>
      <c r="J42" s="30" t="s">
        <v>1027</v>
      </c>
      <c r="K42" s="30" t="s">
        <v>1028</v>
      </c>
      <c r="L42" s="169" t="n">
        <v>46307</v>
      </c>
      <c r="M42" s="169"/>
      <c r="N42" s="160"/>
      <c r="O42" s="31" t="n">
        <f aca="false">IF($M42="",Dashboard!$C$7-$E42,$M42-$E42)</f>
        <v>-21</v>
      </c>
      <c r="P42" s="92" t="n">
        <v>97608</v>
      </c>
      <c r="Q42" s="93" t="s">
        <v>1023</v>
      </c>
    </row>
    <row r="43" customFormat="false" ht="13.5" hidden="false" customHeight="true" outlineLevel="0" collapsed="false">
      <c r="A43" s="47" t="s">
        <v>301</v>
      </c>
      <c r="B43" s="154" t="str">
        <f aca="false">IFERROR(INDEX(Projects!$C$9:$C$16,MATCH($A43,Projects!$A$9:$A$16,0)),"")</f>
        <v>Mixed Use</v>
      </c>
      <c r="C43" s="155" t="n">
        <f aca="false">IF(Dashboard!$C$6="Corporate",1,IF(Dashboard!$C$6="Project",IF($A43=Dashboard!$M$6,1,0),IF($B43=Dashboard!$H$6,1,0)))</f>
        <v>1</v>
      </c>
      <c r="D43" s="47" t="s">
        <v>1041</v>
      </c>
      <c r="E43" s="98" t="n">
        <v>46194</v>
      </c>
      <c r="F43" s="51" t="s">
        <v>225</v>
      </c>
      <c r="G43" s="51" t="s">
        <v>495</v>
      </c>
      <c r="H43" s="37" t="s">
        <v>1014</v>
      </c>
      <c r="I43" s="103" t="s">
        <v>1015</v>
      </c>
      <c r="J43" s="37" t="s">
        <v>1016</v>
      </c>
      <c r="K43" s="37" t="s">
        <v>485</v>
      </c>
      <c r="L43" s="96" t="n">
        <v>46215</v>
      </c>
      <c r="M43" s="96" t="n">
        <v>46211</v>
      </c>
      <c r="N43" s="168"/>
      <c r="O43" s="49" t="n">
        <f aca="false">IF($M43="",Dashboard!$C$7-$E43,$M43-$E43)</f>
        <v>17</v>
      </c>
      <c r="P43" s="99" t="n">
        <v>131814</v>
      </c>
      <c r="Q43" s="103" t="s">
        <v>1017</v>
      </c>
    </row>
    <row r="44" customFormat="false" ht="13.5" hidden="false" customHeight="true" outlineLevel="0" collapsed="false">
      <c r="A44" s="149" t="s">
        <v>301</v>
      </c>
      <c r="B44" s="150" t="str">
        <f aca="false">IFERROR(INDEX(Projects!$C$9:$C$16,MATCH($A44,Projects!$A$9:$A$16,0)),"")</f>
        <v>Mixed Use</v>
      </c>
      <c r="C44" s="94" t="n">
        <f aca="false">IF(Dashboard!$C$6="Corporate",1,IF(Dashboard!$C$6="Project",IF($A44=Dashboard!$M$6,1,0),IF($B44=Dashboard!$H$6,1,0)))</f>
        <v>1</v>
      </c>
      <c r="D44" s="42" t="s">
        <v>1042</v>
      </c>
      <c r="E44" s="85" t="n">
        <v>46225</v>
      </c>
      <c r="F44" s="45" t="s">
        <v>1019</v>
      </c>
      <c r="G44" s="45" t="s">
        <v>498</v>
      </c>
      <c r="H44" s="30" t="s">
        <v>1020</v>
      </c>
      <c r="I44" s="93" t="s">
        <v>1021</v>
      </c>
      <c r="J44" s="30" t="s">
        <v>1022</v>
      </c>
      <c r="K44" s="30" t="s">
        <v>510</v>
      </c>
      <c r="L44" s="169" t="n">
        <v>46246</v>
      </c>
      <c r="M44" s="169"/>
      <c r="N44" s="160"/>
      <c r="O44" s="31" t="n">
        <f aca="false">IF($M44="",Dashboard!$C$7-$E44,$M44-$E44)</f>
        <v>40</v>
      </c>
      <c r="P44" s="92" t="n">
        <v>32954</v>
      </c>
      <c r="Q44" s="93" t="s">
        <v>1023</v>
      </c>
    </row>
    <row r="45" customFormat="false" ht="13.5" hidden="false" customHeight="true" outlineLevel="0" collapsed="false">
      <c r="A45" s="47" t="s">
        <v>301</v>
      </c>
      <c r="B45" s="154" t="str">
        <f aca="false">IFERROR(INDEX(Projects!$C$9:$C$16,MATCH($A45,Projects!$A$9:$A$16,0)),"")</f>
        <v>Mixed Use</v>
      </c>
      <c r="C45" s="155" t="n">
        <f aca="false">IF(Dashboard!$C$6="Corporate",1,IF(Dashboard!$C$6="Project",IF($A45=Dashboard!$M$6,1,0),IF($B45=Dashboard!$H$6,1,0)))</f>
        <v>1</v>
      </c>
      <c r="D45" s="47" t="s">
        <v>1043</v>
      </c>
      <c r="E45" s="98" t="n">
        <v>46256</v>
      </c>
      <c r="F45" s="51" t="s">
        <v>1025</v>
      </c>
      <c r="G45" s="51" t="s">
        <v>501</v>
      </c>
      <c r="H45" s="37" t="s">
        <v>1026</v>
      </c>
      <c r="I45" s="103" t="s">
        <v>1015</v>
      </c>
      <c r="J45" s="37" t="s">
        <v>1027</v>
      </c>
      <c r="K45" s="37" t="s">
        <v>1028</v>
      </c>
      <c r="L45" s="96" t="n">
        <v>46277</v>
      </c>
      <c r="M45" s="96"/>
      <c r="N45" s="168"/>
      <c r="O45" s="49" t="n">
        <f aca="false">IF($M45="",Dashboard!$C$7-$E45,$M45-$E45)</f>
        <v>9</v>
      </c>
      <c r="P45" s="99" t="n">
        <v>88721</v>
      </c>
      <c r="Q45" s="103" t="s">
        <v>1023</v>
      </c>
    </row>
    <row r="46" customFormat="false" ht="13.5" hidden="false" customHeight="true" outlineLevel="0" collapsed="false">
      <c r="A46" s="149" t="s">
        <v>303</v>
      </c>
      <c r="B46" s="150" t="str">
        <f aca="false">IFERROR(INDEX(Projects!$C$9:$C$16,MATCH($A46,Projects!$A$9:$A$16,0)),"")</f>
        <v>Land Development</v>
      </c>
      <c r="C46" s="94" t="n">
        <f aca="false">IF(Dashboard!$C$6="Corporate",1,IF(Dashboard!$C$6="Project",IF($A46=Dashboard!$M$6,1,0),IF($B46=Dashboard!$H$6,1,0)))</f>
        <v>1</v>
      </c>
      <c r="D46" s="42" t="s">
        <v>1044</v>
      </c>
      <c r="E46" s="85" t="n">
        <v>46164</v>
      </c>
      <c r="F46" s="45" t="s">
        <v>225</v>
      </c>
      <c r="G46" s="45" t="s">
        <v>495</v>
      </c>
      <c r="H46" s="30" t="s">
        <v>1014</v>
      </c>
      <c r="I46" s="93" t="s">
        <v>1015</v>
      </c>
      <c r="J46" s="30" t="s">
        <v>1016</v>
      </c>
      <c r="K46" s="30" t="s">
        <v>485</v>
      </c>
      <c r="L46" s="169" t="n">
        <v>46185</v>
      </c>
      <c r="M46" s="169" t="n">
        <v>46181</v>
      </c>
      <c r="N46" s="160"/>
      <c r="O46" s="31" t="n">
        <f aca="false">IF($M46="",Dashboard!$C$7-$E46,$M46-$E46)</f>
        <v>17</v>
      </c>
      <c r="P46" s="92" t="n">
        <v>223479</v>
      </c>
      <c r="Q46" s="93" t="s">
        <v>1017</v>
      </c>
    </row>
    <row r="47" customFormat="false" ht="13.5" hidden="false" customHeight="true" outlineLevel="0" collapsed="false">
      <c r="A47" s="47" t="s">
        <v>303</v>
      </c>
      <c r="B47" s="154" t="str">
        <f aca="false">IFERROR(INDEX(Projects!$C$9:$C$16,MATCH($A47,Projects!$A$9:$A$16,0)),"")</f>
        <v>Land Development</v>
      </c>
      <c r="C47" s="155" t="n">
        <f aca="false">IF(Dashboard!$C$6="Corporate",1,IF(Dashboard!$C$6="Project",IF($A47=Dashboard!$M$6,1,0),IF($B47=Dashboard!$H$6,1,0)))</f>
        <v>1</v>
      </c>
      <c r="D47" s="47" t="s">
        <v>1045</v>
      </c>
      <c r="E47" s="98" t="n">
        <v>46194</v>
      </c>
      <c r="F47" s="51" t="s">
        <v>1019</v>
      </c>
      <c r="G47" s="51" t="s">
        <v>498</v>
      </c>
      <c r="H47" s="37" t="s">
        <v>1020</v>
      </c>
      <c r="I47" s="103" t="s">
        <v>1021</v>
      </c>
      <c r="J47" s="37" t="s">
        <v>1022</v>
      </c>
      <c r="K47" s="37" t="s">
        <v>510</v>
      </c>
      <c r="L47" s="96" t="n">
        <v>46215</v>
      </c>
      <c r="M47" s="96"/>
      <c r="N47" s="168"/>
      <c r="O47" s="49" t="n">
        <f aca="false">IF($M47="",Dashboard!$C$7-$E47,$M47-$E47)</f>
        <v>71</v>
      </c>
      <c r="P47" s="99" t="n">
        <v>55870</v>
      </c>
      <c r="Q47" s="103" t="s">
        <v>1023</v>
      </c>
    </row>
    <row r="48" customFormat="false" ht="13.5" hidden="false" customHeight="true" outlineLevel="0" collapsed="false">
      <c r="A48" s="149" t="s">
        <v>303</v>
      </c>
      <c r="B48" s="150" t="str">
        <f aca="false">IFERROR(INDEX(Projects!$C$9:$C$16,MATCH($A48,Projects!$A$9:$A$16,0)),"")</f>
        <v>Land Development</v>
      </c>
      <c r="C48" s="94" t="n">
        <f aca="false">IF(Dashboard!$C$6="Corporate",1,IF(Dashboard!$C$6="Project",IF($A48=Dashboard!$M$6,1,0),IF($B48=Dashboard!$H$6,1,0)))</f>
        <v>1</v>
      </c>
      <c r="D48" s="42" t="s">
        <v>1046</v>
      </c>
      <c r="E48" s="85" t="n">
        <v>46225</v>
      </c>
      <c r="F48" s="45" t="s">
        <v>1025</v>
      </c>
      <c r="G48" s="45" t="s">
        <v>501</v>
      </c>
      <c r="H48" s="30" t="s">
        <v>1026</v>
      </c>
      <c r="I48" s="93" t="s">
        <v>1015</v>
      </c>
      <c r="J48" s="30" t="s">
        <v>1027</v>
      </c>
      <c r="K48" s="30" t="s">
        <v>1028</v>
      </c>
      <c r="L48" s="169" t="n">
        <v>46246</v>
      </c>
      <c r="M48" s="169"/>
      <c r="N48" s="160"/>
      <c r="O48" s="31" t="n">
        <f aca="false">IF($M48="",Dashboard!$C$7-$E48,$M48-$E48)</f>
        <v>40</v>
      </c>
      <c r="P48" s="92" t="n">
        <v>150418</v>
      </c>
      <c r="Q48" s="93" t="s">
        <v>1023</v>
      </c>
    </row>
    <row r="49" customFormat="false" ht="13.5" hidden="false" customHeight="true" outlineLevel="0" collapsed="false">
      <c r="A49" s="47" t="s">
        <v>304</v>
      </c>
      <c r="B49" s="154" t="str">
        <f aca="false">IFERROR(INDEX(Projects!$C$9:$C$16,MATCH($A49,Projects!$A$9:$A$16,0)),"")</f>
        <v>Land Development</v>
      </c>
      <c r="C49" s="155" t="n">
        <f aca="false">IF(Dashboard!$C$6="Corporate",1,IF(Dashboard!$C$6="Project",IF($A49=Dashboard!$M$6,1,0),IF($B49=Dashboard!$H$6,1,0)))</f>
        <v>1</v>
      </c>
      <c r="D49" s="47" t="s">
        <v>1047</v>
      </c>
      <c r="E49" s="98" t="n">
        <v>46194</v>
      </c>
      <c r="F49" s="51" t="s">
        <v>225</v>
      </c>
      <c r="G49" s="51" t="s">
        <v>495</v>
      </c>
      <c r="H49" s="37" t="s">
        <v>1014</v>
      </c>
      <c r="I49" s="103" t="s">
        <v>1015</v>
      </c>
      <c r="J49" s="37" t="s">
        <v>1016</v>
      </c>
      <c r="K49" s="37" t="s">
        <v>485</v>
      </c>
      <c r="L49" s="96" t="n">
        <v>46215</v>
      </c>
      <c r="M49" s="96" t="n">
        <v>46211</v>
      </c>
      <c r="N49" s="168"/>
      <c r="O49" s="49" t="n">
        <f aca="false">IF($M49="",Dashboard!$C$7-$E49,$M49-$E49)</f>
        <v>17</v>
      </c>
      <c r="P49" s="99" t="n">
        <v>97191</v>
      </c>
      <c r="Q49" s="103" t="s">
        <v>1017</v>
      </c>
    </row>
    <row r="50" customFormat="false" ht="13.5" hidden="false" customHeight="true" outlineLevel="0" collapsed="false">
      <c r="A50" s="149" t="s">
        <v>304</v>
      </c>
      <c r="B50" s="150" t="str">
        <f aca="false">IFERROR(INDEX(Projects!$C$9:$C$16,MATCH($A50,Projects!$A$9:$A$16,0)),"")</f>
        <v>Land Development</v>
      </c>
      <c r="C50" s="94" t="n">
        <f aca="false">IF(Dashboard!$C$6="Corporate",1,IF(Dashboard!$C$6="Project",IF($A50=Dashboard!$M$6,1,0),IF($B50=Dashboard!$H$6,1,0)))</f>
        <v>1</v>
      </c>
      <c r="D50" s="42" t="s">
        <v>1048</v>
      </c>
      <c r="E50" s="85" t="n">
        <v>46225</v>
      </c>
      <c r="F50" s="45" t="s">
        <v>1019</v>
      </c>
      <c r="G50" s="45" t="s">
        <v>498</v>
      </c>
      <c r="H50" s="30" t="s">
        <v>1020</v>
      </c>
      <c r="I50" s="93" t="s">
        <v>1021</v>
      </c>
      <c r="J50" s="30" t="s">
        <v>1022</v>
      </c>
      <c r="K50" s="30" t="s">
        <v>510</v>
      </c>
      <c r="L50" s="169" t="n">
        <v>46246</v>
      </c>
      <c r="M50" s="169"/>
      <c r="N50" s="160"/>
      <c r="O50" s="31" t="n">
        <f aca="false">IF($M50="",Dashboard!$C$7-$E50,$M50-$E50)</f>
        <v>40</v>
      </c>
      <c r="P50" s="92" t="n">
        <v>24298</v>
      </c>
      <c r="Q50" s="93" t="s">
        <v>1023</v>
      </c>
    </row>
    <row r="51" customFormat="false" ht="13.5" hidden="false" customHeight="true" outlineLevel="0" collapsed="false">
      <c r="A51" s="47" t="s">
        <v>304</v>
      </c>
      <c r="B51" s="154" t="str">
        <f aca="false">IFERROR(INDEX(Projects!$C$9:$C$16,MATCH($A51,Projects!$A$9:$A$16,0)),"")</f>
        <v>Land Development</v>
      </c>
      <c r="C51" s="155" t="n">
        <f aca="false">IF(Dashboard!$C$6="Corporate",1,IF(Dashboard!$C$6="Project",IF($A51=Dashboard!$M$6,1,0),IF($B51=Dashboard!$H$6,1,0)))</f>
        <v>1</v>
      </c>
      <c r="D51" s="47" t="s">
        <v>1049</v>
      </c>
      <c r="E51" s="98" t="n">
        <v>46256</v>
      </c>
      <c r="F51" s="51" t="s">
        <v>1025</v>
      </c>
      <c r="G51" s="51" t="s">
        <v>501</v>
      </c>
      <c r="H51" s="37" t="s">
        <v>1026</v>
      </c>
      <c r="I51" s="103" t="s">
        <v>1015</v>
      </c>
      <c r="J51" s="37" t="s">
        <v>1027</v>
      </c>
      <c r="K51" s="37" t="s">
        <v>1028</v>
      </c>
      <c r="L51" s="96" t="n">
        <v>46277</v>
      </c>
      <c r="M51" s="96"/>
      <c r="N51" s="168"/>
      <c r="O51" s="49" t="n">
        <f aca="false">IF($M51="",Dashboard!$C$7-$E51,$M51-$E51)</f>
        <v>9</v>
      </c>
      <c r="P51" s="99" t="n">
        <v>65416</v>
      </c>
      <c r="Q51" s="103" t="s">
        <v>1023</v>
      </c>
    </row>
    <row r="52" customFormat="false" ht="15" hidden="false" customHeight="true" outlineLevel="0" collapsed="false">
      <c r="A52" s="27" t="s">
        <v>633</v>
      </c>
      <c r="B52" s="27"/>
      <c r="C52" s="27"/>
      <c r="D52" s="27"/>
      <c r="E52" s="27"/>
      <c r="F52" s="27"/>
      <c r="G52" s="27"/>
      <c r="H52" s="27"/>
      <c r="I52" s="27"/>
      <c r="J52" s="27"/>
      <c r="K52" s="27"/>
      <c r="L52" s="27"/>
      <c r="M52" s="27"/>
      <c r="N52" s="27"/>
      <c r="O52" s="178" t="n">
        <f aca="false">IF(SUMPRODUCT(Quality_Register!$C$28:$C$51)=0,0,SUMPRODUCT(Quality_Register!$C$28:$C$51,$O$28:$O$51)/SUMPRODUCT(Quality_Register!$C$28:$C$51))</f>
        <v>24.6666666666667</v>
      </c>
      <c r="P52" s="28" t="n">
        <f aca="false">SUMPRODUCT(Quality_Register!$C$28:$C$51,$P$28:$P$51)</f>
        <v>2579208</v>
      </c>
      <c r="Q52" s="105"/>
    </row>
    <row r="53" customFormat="false" ht="15" hidden="false" customHeight="true" outlineLevel="0" collapsed="false">
      <c r="A53" s="5"/>
      <c r="B53" s="5"/>
      <c r="C53" s="5"/>
      <c r="D53" s="5"/>
      <c r="E53" s="5"/>
      <c r="F53" s="5"/>
      <c r="G53" s="5"/>
      <c r="H53" s="5"/>
      <c r="I53" s="5"/>
      <c r="J53" s="5"/>
      <c r="K53" s="5"/>
      <c r="L53" s="5"/>
      <c r="M53" s="5"/>
      <c r="N53" s="5"/>
      <c r="O53" s="5"/>
      <c r="P53" s="5"/>
      <c r="Q53" s="5"/>
    </row>
    <row r="54" customFormat="false" ht="25.5" hidden="false" customHeight="true" outlineLevel="0" collapsed="false">
      <c r="A54" s="58" t="s">
        <v>1050</v>
      </c>
      <c r="B54" s="58"/>
      <c r="C54" s="58"/>
      <c r="D54" s="58"/>
      <c r="E54" s="58"/>
      <c r="F54" s="58"/>
      <c r="G54" s="58"/>
      <c r="H54" s="58"/>
      <c r="I54" s="58"/>
      <c r="J54" s="58"/>
      <c r="K54" s="58"/>
      <c r="L54" s="58"/>
      <c r="M54" s="58"/>
      <c r="N54" s="58"/>
      <c r="O54" s="58"/>
      <c r="P54" s="58"/>
      <c r="Q54" s="58"/>
    </row>
  </sheetData>
  <mergeCells count="27">
    <mergeCell ref="A1:Q1"/>
    <mergeCell ref="A2:Q2"/>
    <mergeCell ref="A3:Q3"/>
    <mergeCell ref="A4:Q4"/>
    <mergeCell ref="A6:Q6"/>
    <mergeCell ref="A17:C17"/>
    <mergeCell ref="A19:Q19"/>
    <mergeCell ref="A20:C20"/>
    <mergeCell ref="D20:G20"/>
    <mergeCell ref="I20:L20"/>
    <mergeCell ref="M20:Q23"/>
    <mergeCell ref="A21:C21"/>
    <mergeCell ref="D21:G21"/>
    <mergeCell ref="I21:L21"/>
    <mergeCell ref="M21:Q21"/>
    <mergeCell ref="A22:C22"/>
    <mergeCell ref="D22:G22"/>
    <mergeCell ref="I22:L22"/>
    <mergeCell ref="M22:Q22"/>
    <mergeCell ref="A23:C23"/>
    <mergeCell ref="D23:G23"/>
    <mergeCell ref="I23:L23"/>
    <mergeCell ref="M23:Q23"/>
    <mergeCell ref="A25:Q25"/>
    <mergeCell ref="A26:Q26"/>
    <mergeCell ref="A52:N52"/>
    <mergeCell ref="A54:Q54"/>
  </mergeCells>
  <conditionalFormatting sqref="Q9:Q16">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C9:C16">
    <cfRule type="cellIs" priority="5" operator="equal" aboveAverage="0" equalAverage="0" bottom="0" percent="0" rank="0" text="" dxfId="0">
      <formula>"1"</formula>
    </cfRule>
  </conditionalFormatting>
  <conditionalFormatting sqref="I28:I51">
    <cfRule type="cellIs" priority="6" operator="equal" aboveAverage="0" equalAverage="0" bottom="0" percent="0" rank="0" text="" dxfId="0">
      <formula>"Minor"</formula>
    </cfRule>
    <cfRule type="cellIs" priority="7" operator="equal" aboveAverage="0" equalAverage="0" bottom="0" percent="0" rank="0" text="" dxfId="1">
      <formula>"Major"</formula>
    </cfRule>
    <cfRule type="cellIs" priority="8" operator="equal" aboveAverage="0" equalAverage="0" bottom="0" percent="0" rank="0" text="" dxfId="2">
      <formula>"Critical"</formula>
    </cfRule>
  </conditionalFormatting>
  <conditionalFormatting sqref="Q28:Q51">
    <cfRule type="cellIs" priority="9" operator="equal" aboveAverage="0" equalAverage="0" bottom="0" percent="0" rank="0" text="" dxfId="0">
      <formula>"Closed"</formula>
    </cfRule>
    <cfRule type="cellIs" priority="10" operator="equal" aboveAverage="0" equalAverage="0" bottom="0" percent="0" rank="0" text="" dxfId="0">
      <formula>"Void"</formula>
    </cfRule>
    <cfRule type="cellIs" priority="11" operator="equal" aboveAverage="0" equalAverage="0" bottom="0" percent="0" rank="0" text="" dxfId="1">
      <formula>"Under Action"</formula>
    </cfRule>
    <cfRule type="cellIs" priority="12" operator="equal" aboveAverage="0" equalAverage="0" bottom="0" percent="0" rank="0" text="" dxfId="2">
      <formula>"Open"</formula>
    </cfRule>
  </conditionalFormatting>
  <conditionalFormatting sqref="C28:C51">
    <cfRule type="cellIs" priority="13" operator="equal" aboveAverage="0" equalAverage="0" bottom="0" percent="0" rank="0" text="" dxfId="0">
      <formula>"1"</formula>
    </cfRule>
  </conditionalFormatting>
  <dataValidations count="3">
    <dataValidation allowBlank="true" errorStyle="stop" operator="between" showDropDown="false" showErrorMessage="false" showInputMessage="false" sqref="Q28:Q51" type="list">
      <formula1>"Open,Under Action,Closed,Void"</formula1>
      <formula2>0</formula2>
    </dataValidation>
    <dataValidation allowBlank="true" errorStyle="stop" operator="between" showDropDown="false" showErrorMessage="false" showInputMessage="false" sqref="I28:I51" type="list">
      <formula1>"Minor,Major,Critical"</formula1>
      <formula2>0</formula2>
    </dataValidation>
    <dataValidation allowBlank="true" errorStyle="stop" operator="between" showDropDown="false" showErrorMessage="false" showInputMessage="false" sqref="A28:A51"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Q5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27" topLeftCell="D28" activePane="bottomRight" state="frozen"/>
      <selection pane="topLeft" activeCell="A1" activeCellId="0" sqref="A1"/>
      <selection pane="topRight" activeCell="D1" activeCellId="0" sqref="D1"/>
      <selection pane="bottomLeft" activeCell="A28" activeCellId="0" sqref="A28"/>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5" min="4" style="1" width="13"/>
    <col collapsed="false" customWidth="true" hidden="false" outlineLevel="0" max="7" min="6" style="1" width="7"/>
    <col collapsed="false" customWidth="true" hidden="false" outlineLevel="0" max="8" min="8" style="1" width="44"/>
    <col collapsed="false" customWidth="true" hidden="false" outlineLevel="0" max="9" min="9" style="1" width="7"/>
    <col collapsed="false" customWidth="true" hidden="false" outlineLevel="0" max="10" min="10" style="1" width="24"/>
    <col collapsed="false" customWidth="true" hidden="false" outlineLevel="0" max="11" min="11" style="1" width="18"/>
    <col collapsed="false" customWidth="true" hidden="false" outlineLevel="0" max="16" min="12" style="1" width="9"/>
    <col collapsed="false" customWidth="true" hidden="false" outlineLevel="0" max="17" min="17" style="1" width="8"/>
  </cols>
  <sheetData>
    <row r="1" customFormat="false" ht="7.5" hidden="false" customHeight="true" outlineLevel="0" collapsed="false">
      <c r="A1" s="2"/>
      <c r="B1" s="2"/>
      <c r="C1" s="2"/>
      <c r="D1" s="2"/>
      <c r="E1" s="2"/>
      <c r="F1" s="2"/>
      <c r="G1" s="2"/>
      <c r="H1" s="2"/>
      <c r="I1" s="2"/>
      <c r="J1" s="2"/>
      <c r="K1" s="2"/>
      <c r="L1" s="2"/>
      <c r="M1" s="2"/>
      <c r="N1" s="2"/>
      <c r="O1" s="2"/>
      <c r="P1" s="2"/>
      <c r="Q1" s="2"/>
    </row>
    <row r="2" customFormat="false" ht="30" hidden="false" customHeight="true" outlineLevel="0" collapsed="false">
      <c r="A2" s="59" t="s">
        <v>1051</v>
      </c>
      <c r="B2" s="59"/>
      <c r="C2" s="59"/>
      <c r="D2" s="59"/>
      <c r="E2" s="59"/>
      <c r="F2" s="59"/>
      <c r="G2" s="59"/>
      <c r="H2" s="59"/>
      <c r="I2" s="59"/>
      <c r="J2" s="59"/>
      <c r="K2" s="59"/>
      <c r="L2" s="59"/>
      <c r="M2" s="59"/>
      <c r="N2" s="59"/>
      <c r="O2" s="59"/>
      <c r="P2" s="59"/>
      <c r="Q2" s="59"/>
    </row>
    <row r="3" customFormat="false" ht="16.5" hidden="false" customHeight="true" outlineLevel="0" collapsed="false">
      <c r="A3" s="60" t="s">
        <v>1052</v>
      </c>
      <c r="B3" s="60"/>
      <c r="C3" s="60"/>
      <c r="D3" s="60"/>
      <c r="E3" s="60"/>
      <c r="F3" s="60"/>
      <c r="G3" s="60"/>
      <c r="H3" s="60"/>
      <c r="I3" s="60"/>
      <c r="J3" s="60"/>
      <c r="K3" s="60"/>
      <c r="L3" s="60"/>
      <c r="M3" s="60"/>
      <c r="N3" s="60"/>
      <c r="O3" s="60"/>
      <c r="P3" s="60"/>
      <c r="Q3" s="60"/>
    </row>
    <row r="4" customFormat="false" ht="15" hidden="false" customHeight="true" outlineLevel="0" collapsed="false">
      <c r="A4" s="61" t="s">
        <v>1053</v>
      </c>
      <c r="B4" s="61"/>
      <c r="C4" s="61"/>
      <c r="D4" s="61"/>
      <c r="E4" s="61"/>
      <c r="F4" s="61"/>
      <c r="G4" s="61"/>
      <c r="H4" s="61"/>
      <c r="I4" s="61"/>
      <c r="J4" s="61"/>
      <c r="K4" s="61"/>
      <c r="L4" s="61"/>
      <c r="M4" s="61"/>
      <c r="N4" s="61"/>
      <c r="O4" s="61"/>
      <c r="P4" s="61"/>
      <c r="Q4" s="61"/>
    </row>
    <row r="5" customFormat="false" ht="15" hidden="false" customHeight="true" outlineLevel="0" collapsed="false">
      <c r="A5" s="5"/>
      <c r="B5" s="5"/>
      <c r="C5" s="5"/>
      <c r="D5" s="5"/>
      <c r="E5" s="5"/>
      <c r="F5" s="5"/>
      <c r="G5" s="5"/>
      <c r="H5" s="5"/>
      <c r="I5" s="5"/>
      <c r="J5" s="5"/>
      <c r="K5" s="5"/>
      <c r="L5" s="5"/>
      <c r="M5" s="5"/>
      <c r="N5" s="5"/>
      <c r="O5" s="5"/>
      <c r="P5" s="5"/>
      <c r="Q5" s="5"/>
    </row>
    <row r="6" customFormat="false" ht="19.5" hidden="false" customHeight="true" outlineLevel="0" collapsed="false">
      <c r="A6" s="13" t="s">
        <v>1054</v>
      </c>
      <c r="B6" s="13"/>
      <c r="C6" s="13"/>
      <c r="D6" s="13"/>
      <c r="E6" s="13"/>
      <c r="F6" s="13"/>
      <c r="G6" s="13"/>
      <c r="H6" s="13"/>
      <c r="I6" s="13"/>
      <c r="J6" s="13"/>
      <c r="K6" s="13"/>
      <c r="L6" s="13"/>
      <c r="M6" s="13"/>
      <c r="N6" s="13"/>
      <c r="O6" s="13"/>
      <c r="P6" s="13"/>
      <c r="Q6" s="13"/>
    </row>
    <row r="7" customFormat="false" ht="15" hidden="false" customHeight="true" outlineLevel="0" collapsed="false">
      <c r="A7" s="5"/>
      <c r="B7" s="5"/>
      <c r="C7" s="5"/>
      <c r="D7" s="5"/>
      <c r="E7" s="5"/>
      <c r="F7" s="5"/>
      <c r="G7" s="5"/>
      <c r="H7" s="5"/>
      <c r="I7" s="5"/>
      <c r="J7" s="5"/>
      <c r="K7" s="5"/>
      <c r="L7" s="5"/>
      <c r="M7" s="5"/>
      <c r="N7" s="5"/>
      <c r="O7" s="5"/>
      <c r="P7" s="5"/>
      <c r="Q7" s="5"/>
    </row>
    <row r="8" customFormat="false" ht="36" hidden="false" customHeight="true" outlineLevel="0" collapsed="false">
      <c r="A8" s="23" t="s">
        <v>256</v>
      </c>
      <c r="B8" s="23" t="s">
        <v>5</v>
      </c>
      <c r="C8" s="23" t="s">
        <v>289</v>
      </c>
      <c r="D8" s="23" t="s">
        <v>1055</v>
      </c>
      <c r="E8" s="23" t="s">
        <v>1056</v>
      </c>
      <c r="F8" s="23" t="s">
        <v>1057</v>
      </c>
      <c r="G8" s="23" t="s">
        <v>1058</v>
      </c>
      <c r="H8" s="23" t="s">
        <v>1059</v>
      </c>
      <c r="I8" s="23" t="s">
        <v>1060</v>
      </c>
      <c r="J8" s="23" t="s">
        <v>1061</v>
      </c>
      <c r="K8" s="23" t="s">
        <v>1062</v>
      </c>
      <c r="L8" s="23" t="s">
        <v>1063</v>
      </c>
      <c r="M8" s="23" t="s">
        <v>1064</v>
      </c>
      <c r="N8" s="23" t="s">
        <v>1065</v>
      </c>
      <c r="O8" s="23" t="s">
        <v>1066</v>
      </c>
      <c r="P8" s="23" t="s">
        <v>1067</v>
      </c>
      <c r="Q8" s="23" t="s">
        <v>288</v>
      </c>
    </row>
    <row r="9" customFormat="false" ht="1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86" t="n">
        <f aca="false">'PT_RES-01'!$D$93</f>
        <v>49728</v>
      </c>
      <c r="E9" s="92" t="n">
        <v>49529</v>
      </c>
      <c r="F9" s="86" t="n">
        <f aca="false">'PT_RES-01'!$J$93</f>
        <v>0</v>
      </c>
      <c r="G9" s="92" t="n">
        <v>1</v>
      </c>
      <c r="H9" s="92" t="n">
        <v>0</v>
      </c>
      <c r="I9" s="92" t="n">
        <v>2</v>
      </c>
      <c r="J9" s="92" t="n">
        <v>14</v>
      </c>
      <c r="K9" s="86" t="n">
        <f aca="false">'PT_RES-01'!$J$94</f>
        <v>84</v>
      </c>
      <c r="L9" s="86" t="n">
        <f aca="false">'PT_RES-01'!$P$94</f>
        <v>69</v>
      </c>
      <c r="M9" s="92" t="n">
        <v>40</v>
      </c>
      <c r="N9" s="92" t="n">
        <v>271</v>
      </c>
      <c r="O9" s="184" t="n">
        <v>0.74</v>
      </c>
      <c r="P9" s="91" t="n">
        <f aca="false">'PT_RES-01'!$P$93</f>
        <v>0.68</v>
      </c>
      <c r="Q9" s="46" t="str">
        <f aca="false">IF($F9&gt;0,"Red",IF(OR($G9+$H9&gt;1,$P9&lt;0.75),"Amber","Green"))</f>
        <v>Amber</v>
      </c>
    </row>
    <row r="10" customFormat="false" ht="15" hidden="false" customHeight="true" outlineLevel="0" collapsed="false">
      <c r="A10" s="47" t="s">
        <v>293</v>
      </c>
      <c r="B10" s="154" t="str">
        <f aca="false">IFERROR(INDEX(Projects!$C$9:$C$16,MATCH($A10,Projects!$A$9:$A$16,0)),"")</f>
        <v>Residential</v>
      </c>
      <c r="C10" s="155" t="n">
        <f aca="false">IF(Dashboard!$C$6="Corporate",1,IF(Dashboard!$C$6="Project",IF($A10=Dashboard!$M$6,1,0),IF($B10=Dashboard!$H$6,1,0)))</f>
        <v>1</v>
      </c>
      <c r="D10" s="99" t="n">
        <f aca="false">'PT_RES-02'!$D$93</f>
        <v>13497</v>
      </c>
      <c r="E10" s="99" t="n">
        <v>13443</v>
      </c>
      <c r="F10" s="99" t="n">
        <f aca="false">'PT_RES-02'!$J$93</f>
        <v>0</v>
      </c>
      <c r="G10" s="99" t="n">
        <v>0</v>
      </c>
      <c r="H10" s="99" t="n">
        <v>0</v>
      </c>
      <c r="I10" s="99" t="n">
        <v>3</v>
      </c>
      <c r="J10" s="99" t="n">
        <v>11</v>
      </c>
      <c r="K10" s="99" t="n">
        <f aca="false">'PT_RES-02'!$J$94</f>
        <v>65</v>
      </c>
      <c r="L10" s="99" t="n">
        <f aca="false">'PT_RES-02'!$P$94</f>
        <v>54</v>
      </c>
      <c r="M10" s="99" t="n">
        <v>30</v>
      </c>
      <c r="N10" s="99" t="n">
        <v>205</v>
      </c>
      <c r="O10" s="102" t="n">
        <v>0.77</v>
      </c>
      <c r="P10" s="102" t="n">
        <f aca="false">'PT_RES-02'!$P$93</f>
        <v>0.72</v>
      </c>
      <c r="Q10" s="52" t="str">
        <f aca="false">IF($F10&gt;0,"Red",IF(OR($G10+$H10&gt;1,$P10&lt;0.75),"Amber","Green"))</f>
        <v>Amber</v>
      </c>
    </row>
    <row r="11" customFormat="false" ht="15" hidden="false" customHeight="true" outlineLevel="0" collapsed="false">
      <c r="A11" s="149" t="s">
        <v>296</v>
      </c>
      <c r="B11" s="150" t="str">
        <f aca="false">IFERROR(INDEX(Projects!$C$9:$C$16,MATCH($A11,Projects!$A$9:$A$16,0)),"")</f>
        <v>Commercial</v>
      </c>
      <c r="C11" s="94" t="n">
        <f aca="false">IF(Dashboard!$C$6="Corporate",1,IF(Dashboard!$C$6="Project",IF($A11=Dashboard!$M$6,1,0),IF($B11=Dashboard!$H$6,1,0)))</f>
        <v>1</v>
      </c>
      <c r="D11" s="86" t="n">
        <f aca="false">'PT_COM-01'!$D$93</f>
        <v>110598</v>
      </c>
      <c r="E11" s="92" t="n">
        <v>110156</v>
      </c>
      <c r="F11" s="86" t="n">
        <f aca="false">'PT_COM-01'!$J$93</f>
        <v>0</v>
      </c>
      <c r="G11" s="92" t="n">
        <v>0</v>
      </c>
      <c r="H11" s="92" t="n">
        <v>0</v>
      </c>
      <c r="I11" s="92" t="n">
        <v>4</v>
      </c>
      <c r="J11" s="92" t="n">
        <v>14</v>
      </c>
      <c r="K11" s="86" t="n">
        <f aca="false">'PT_COM-01'!$J$94</f>
        <v>84</v>
      </c>
      <c r="L11" s="86" t="n">
        <f aca="false">'PT_COM-01'!$P$94</f>
        <v>69</v>
      </c>
      <c r="M11" s="92" t="n">
        <v>40</v>
      </c>
      <c r="N11" s="92" t="n">
        <v>271</v>
      </c>
      <c r="O11" s="184" t="n">
        <v>0.8</v>
      </c>
      <c r="P11" s="91" t="n">
        <f aca="false">'PT_COM-01'!$P$93</f>
        <v>0.76</v>
      </c>
      <c r="Q11" s="46" t="str">
        <f aca="false">IF($F11&gt;0,"Red",IF(OR($G11+$H11&gt;1,$P11&lt;0.75),"Amber","Green"))</f>
        <v>Green</v>
      </c>
    </row>
    <row r="12" customFormat="false" ht="15" hidden="false" customHeight="true" outlineLevel="0" collapsed="false">
      <c r="A12" s="47" t="s">
        <v>298</v>
      </c>
      <c r="B12" s="154" t="str">
        <f aca="false">IFERROR(INDEX(Projects!$C$9:$C$16,MATCH($A12,Projects!$A$9:$A$16,0)),"")</f>
        <v>Commercial</v>
      </c>
      <c r="C12" s="155" t="n">
        <f aca="false">IF(Dashboard!$C$6="Corporate",1,IF(Dashboard!$C$6="Project",IF($A12=Dashboard!$M$6,1,0),IF($B12=Dashboard!$H$6,1,0)))</f>
        <v>1</v>
      </c>
      <c r="D12" s="99" t="n">
        <f aca="false">'PT_COM-02'!$D$93</f>
        <v>67590</v>
      </c>
      <c r="E12" s="99" t="n">
        <v>67320</v>
      </c>
      <c r="F12" s="99" t="n">
        <f aca="false">'PT_COM-02'!$J$93</f>
        <v>0</v>
      </c>
      <c r="G12" s="99" t="n">
        <v>1</v>
      </c>
      <c r="H12" s="99" t="n">
        <v>0</v>
      </c>
      <c r="I12" s="99" t="n">
        <v>2</v>
      </c>
      <c r="J12" s="99" t="n">
        <v>14</v>
      </c>
      <c r="K12" s="99" t="n">
        <f aca="false">'PT_COM-02'!$J$94</f>
        <v>86</v>
      </c>
      <c r="L12" s="99" t="n">
        <f aca="false">'PT_COM-02'!$P$94</f>
        <v>71</v>
      </c>
      <c r="M12" s="99" t="n">
        <v>41</v>
      </c>
      <c r="N12" s="99" t="n">
        <v>278</v>
      </c>
      <c r="O12" s="102" t="n">
        <v>0.83</v>
      </c>
      <c r="P12" s="102" t="n">
        <f aca="false">'PT_COM-02'!$P$93</f>
        <v>0.8</v>
      </c>
      <c r="Q12" s="52" t="str">
        <f aca="false">IF($F12&gt;0,"Red",IF(OR($G12+$H12&gt;1,$P12&lt;0.75),"Amber","Green"))</f>
        <v>Green</v>
      </c>
    </row>
    <row r="13" customFormat="false" ht="15" hidden="false" customHeight="true" outlineLevel="0" collapsed="false">
      <c r="A13" s="149" t="s">
        <v>300</v>
      </c>
      <c r="B13" s="150" t="str">
        <f aca="false">IFERROR(INDEX(Projects!$C$9:$C$16,MATCH($A13,Projects!$A$9:$A$16,0)),"")</f>
        <v>Mixed Use</v>
      </c>
      <c r="C13" s="94" t="n">
        <f aca="false">IF(Dashboard!$C$6="Corporate",1,IF(Dashboard!$C$6="Project",IF($A13=Dashboard!$M$6,1,0),IF($B13=Dashboard!$H$6,1,0)))</f>
        <v>1</v>
      </c>
      <c r="D13" s="86" t="n">
        <f aca="false">'PT_MXU-01'!$D$93</f>
        <v>47217</v>
      </c>
      <c r="E13" s="92" t="n">
        <v>47028</v>
      </c>
      <c r="F13" s="86" t="n">
        <f aca="false">'PT_MXU-01'!$J$93</f>
        <v>0</v>
      </c>
      <c r="G13" s="92" t="n">
        <v>0</v>
      </c>
      <c r="H13" s="92" t="n">
        <v>0</v>
      </c>
      <c r="I13" s="92" t="n">
        <v>3</v>
      </c>
      <c r="J13" s="92" t="n">
        <v>10</v>
      </c>
      <c r="K13" s="86" t="n">
        <f aca="false">'PT_MXU-01'!$J$94</f>
        <v>62</v>
      </c>
      <c r="L13" s="86" t="n">
        <f aca="false">'PT_MXU-01'!$P$94</f>
        <v>51</v>
      </c>
      <c r="M13" s="92" t="n">
        <v>29</v>
      </c>
      <c r="N13" s="92" t="n">
        <v>195</v>
      </c>
      <c r="O13" s="184" t="n">
        <v>0.86</v>
      </c>
      <c r="P13" s="91" t="n">
        <f aca="false">'PT_MXU-01'!$P$93</f>
        <v>0.84</v>
      </c>
      <c r="Q13" s="46" t="str">
        <f aca="false">IF($F13&gt;0,"Red",IF(OR($G13+$H13&gt;1,$P13&lt;0.75),"Amber","Green"))</f>
        <v>Green</v>
      </c>
    </row>
    <row r="14" customFormat="false" ht="15" hidden="false" customHeight="true" outlineLevel="0" collapsed="false">
      <c r="A14" s="47" t="s">
        <v>301</v>
      </c>
      <c r="B14" s="154" t="str">
        <f aca="false">IFERROR(INDEX(Projects!$C$9:$C$16,MATCH($A14,Projects!$A$9:$A$16,0)),"")</f>
        <v>Mixed Use</v>
      </c>
      <c r="C14" s="155" t="n">
        <f aca="false">IF(Dashboard!$C$6="Corporate",1,IF(Dashboard!$C$6="Project",IF($A14=Dashboard!$M$6,1,0),IF($B14=Dashboard!$H$6,1,0)))</f>
        <v>1</v>
      </c>
      <c r="D14" s="99" t="n">
        <f aca="false">'PT_MXU-02'!$D$93</f>
        <v>41104</v>
      </c>
      <c r="E14" s="99" t="n">
        <v>40940</v>
      </c>
      <c r="F14" s="99" t="n">
        <f aca="false">'PT_MXU-02'!$J$93</f>
        <v>0</v>
      </c>
      <c r="G14" s="99" t="n">
        <v>0</v>
      </c>
      <c r="H14" s="99" t="n">
        <v>0</v>
      </c>
      <c r="I14" s="99" t="n">
        <v>4</v>
      </c>
      <c r="J14" s="99" t="n">
        <v>13</v>
      </c>
      <c r="K14" s="99" t="n">
        <f aca="false">'PT_MXU-02'!$J$94</f>
        <v>77</v>
      </c>
      <c r="L14" s="99" t="n">
        <f aca="false">'PT_MXU-02'!$P$94</f>
        <v>64</v>
      </c>
      <c r="M14" s="99" t="n">
        <v>36</v>
      </c>
      <c r="N14" s="99" t="n">
        <v>247</v>
      </c>
      <c r="O14" s="102" t="n">
        <v>0.74</v>
      </c>
      <c r="P14" s="102" t="n">
        <f aca="false">'PT_MXU-02'!$P$93</f>
        <v>0.88</v>
      </c>
      <c r="Q14" s="52" t="str">
        <f aca="false">IF($F14&gt;0,"Red",IF(OR($G14+$H14&gt;1,$P14&lt;0.75),"Amber","Green"))</f>
        <v>Green</v>
      </c>
    </row>
    <row r="15" customFormat="false" ht="15" hidden="false" customHeight="true" outlineLevel="0" collapsed="false">
      <c r="A15" s="149" t="s">
        <v>303</v>
      </c>
      <c r="B15" s="150" t="str">
        <f aca="false">IFERROR(INDEX(Projects!$C$9:$C$16,MATCH($A15,Projects!$A$9:$A$16,0)),"")</f>
        <v>Land Development</v>
      </c>
      <c r="C15" s="94" t="n">
        <f aca="false">IF(Dashboard!$C$6="Corporate",1,IF(Dashboard!$C$6="Project",IF($A15=Dashboard!$M$6,1,0),IF($B15=Dashboard!$H$6,1,0)))</f>
        <v>1</v>
      </c>
      <c r="D15" s="86" t="n">
        <f aca="false">'PT_LND-01'!$D$93</f>
        <v>73691</v>
      </c>
      <c r="E15" s="92" t="n">
        <v>73396</v>
      </c>
      <c r="F15" s="86" t="n">
        <f aca="false">'PT_LND-01'!$J$93</f>
        <v>0</v>
      </c>
      <c r="G15" s="92" t="n">
        <v>1</v>
      </c>
      <c r="H15" s="92" t="n">
        <v>0</v>
      </c>
      <c r="I15" s="92" t="n">
        <v>2</v>
      </c>
      <c r="J15" s="92" t="n">
        <v>14</v>
      </c>
      <c r="K15" s="86" t="n">
        <f aca="false">'PT_LND-01'!$J$94</f>
        <v>84</v>
      </c>
      <c r="L15" s="86" t="n">
        <f aca="false">'PT_LND-01'!$P$94</f>
        <v>69</v>
      </c>
      <c r="M15" s="92" t="n">
        <v>40</v>
      </c>
      <c r="N15" s="92" t="n">
        <v>271</v>
      </c>
      <c r="O15" s="184" t="n">
        <v>0.77</v>
      </c>
      <c r="P15" s="91" t="n">
        <f aca="false">'PT_LND-01'!$P$93</f>
        <v>0.68</v>
      </c>
      <c r="Q15" s="46" t="str">
        <f aca="false">IF($F15&gt;0,"Red",IF(OR($G15+$H15&gt;1,$P15&lt;0.75),"Amber","Green"))</f>
        <v>Amber</v>
      </c>
    </row>
    <row r="16" customFormat="false" ht="15" hidden="false" customHeight="true" outlineLevel="0" collapsed="false">
      <c r="A16" s="47" t="s">
        <v>304</v>
      </c>
      <c r="B16" s="154" t="str">
        <f aca="false">IFERROR(INDEX(Projects!$C$9:$C$16,MATCH($A16,Projects!$A$9:$A$16,0)),"")</f>
        <v>Land Development</v>
      </c>
      <c r="C16" s="155" t="n">
        <f aca="false">IF(Dashboard!$C$6="Corporate",1,IF(Dashboard!$C$6="Project",IF($A16=Dashboard!$M$6,1,0),IF($B16=Dashboard!$H$6,1,0)))</f>
        <v>1</v>
      </c>
      <c r="D16" s="99" t="n">
        <f aca="false">'PT_LND-02'!$D$93</f>
        <v>31656</v>
      </c>
      <c r="E16" s="99" t="n">
        <v>31529</v>
      </c>
      <c r="F16" s="99" t="n">
        <f aca="false">'PT_LND-02'!$J$93</f>
        <v>0</v>
      </c>
      <c r="G16" s="99" t="n">
        <v>0</v>
      </c>
      <c r="H16" s="99" t="n">
        <v>0</v>
      </c>
      <c r="I16" s="99" t="n">
        <v>3</v>
      </c>
      <c r="J16" s="99" t="n">
        <v>14</v>
      </c>
      <c r="K16" s="99" t="n">
        <f aca="false">'PT_LND-02'!$J$94</f>
        <v>81</v>
      </c>
      <c r="L16" s="99" t="n">
        <f aca="false">'PT_LND-02'!$P$94</f>
        <v>67</v>
      </c>
      <c r="M16" s="99" t="n">
        <v>38</v>
      </c>
      <c r="N16" s="99" t="n">
        <v>261</v>
      </c>
      <c r="O16" s="102" t="n">
        <v>0.8</v>
      </c>
      <c r="P16" s="102" t="n">
        <f aca="false">'PT_LND-02'!$P$93</f>
        <v>0.72</v>
      </c>
      <c r="Q16" s="52" t="str">
        <f aca="false">IF($F16&gt;0,"Red",IF(OR($G16+$H16&gt;1,$P16&lt;0.75),"Amber","Green"))</f>
        <v>Amber</v>
      </c>
    </row>
    <row r="17" customFormat="false" ht="15" hidden="false" customHeight="true" outlineLevel="0" collapsed="false">
      <c r="A17" s="27" t="s">
        <v>633</v>
      </c>
      <c r="B17" s="27"/>
      <c r="C17" s="27"/>
      <c r="D17" s="28" t="n">
        <f aca="false">SUMPRODUCT(HSE_Register!$C$9:$C$16,$D$9:$D$16)</f>
        <v>435081</v>
      </c>
      <c r="E17" s="28" t="n">
        <f aca="false">SUMPRODUCT(HSE_Register!$C$9:$C$16,$E$9:$E$16)</f>
        <v>433341</v>
      </c>
      <c r="F17" s="28" t="n">
        <f aca="false">SUMPRODUCT(HSE_Register!$C$9:$C$16,$F$9:$F$16)</f>
        <v>0</v>
      </c>
      <c r="G17" s="28" t="n">
        <f aca="false">SUMPRODUCT(HSE_Register!$C$9:$C$16,$G$9:$G$16)</f>
        <v>3</v>
      </c>
      <c r="H17" s="28" t="n">
        <f aca="false">SUMPRODUCT(HSE_Register!$C$9:$C$16,$H$9:$H$16)</f>
        <v>0</v>
      </c>
      <c r="I17" s="28" t="n">
        <f aca="false">SUMPRODUCT(HSE_Register!$C$9:$C$16,$I$9:$I$16)</f>
        <v>23</v>
      </c>
      <c r="J17" s="28" t="n">
        <f aca="false">SUMPRODUCT(HSE_Register!$C$9:$C$16,$J$9:$J$16)</f>
        <v>104</v>
      </c>
      <c r="K17" s="28" t="n">
        <f aca="false">SUMPRODUCT(HSE_Register!$C$9:$C$16,$K$9:$K$16)</f>
        <v>623</v>
      </c>
      <c r="L17" s="28" t="n">
        <f aca="false">SUMPRODUCT(HSE_Register!$C$9:$C$16,$L$9:$L$16)</f>
        <v>514</v>
      </c>
      <c r="M17" s="28" t="n">
        <f aca="false">SUMPRODUCT(HSE_Register!$C$9:$C$16,$M$9:$M$16)</f>
        <v>294</v>
      </c>
      <c r="N17" s="28" t="n">
        <f aca="false">SUMPRODUCT(HSE_Register!$C$9:$C$16,$N$9:$N$16)</f>
        <v>1999</v>
      </c>
      <c r="O17" s="104" t="n">
        <f aca="false">IF(SUMPRODUCT(HSE_Register!$C$9:$C$16)=0,0,SUMPRODUCT(HSE_Register!$C$9:$C$16,$O$9:$O$16)/SUMPRODUCT(HSE_Register!$C$9:$C$16))</f>
        <v>0.78875</v>
      </c>
      <c r="P17" s="104" t="n">
        <f aca="false">IF(SUMPRODUCT(HSE_Register!$C$9:$C$16)=0,0,SUMPRODUCT(HSE_Register!$C$9:$C$16,$P$9:$P$16)/SUMPRODUCT(HSE_Register!$C$9:$C$16))</f>
        <v>0.76</v>
      </c>
      <c r="Q17" s="145" t="str">
        <f aca="false">IF($F17&gt;0,"Red",IF(OR($G17+$H17&gt;2,$P17&lt;0.75),"Amber","Green"))</f>
        <v>Amber</v>
      </c>
    </row>
    <row r="18" customFormat="false" ht="15" hidden="false" customHeight="true" outlineLevel="0" collapsed="false">
      <c r="A18" s="5"/>
      <c r="B18" s="5"/>
      <c r="C18" s="5"/>
      <c r="D18" s="5"/>
      <c r="E18" s="5"/>
      <c r="F18" s="5"/>
      <c r="G18" s="5"/>
      <c r="H18" s="5"/>
      <c r="I18" s="5"/>
      <c r="J18" s="5"/>
      <c r="K18" s="5"/>
      <c r="L18" s="5"/>
      <c r="M18" s="5"/>
      <c r="N18" s="5"/>
      <c r="O18" s="5"/>
      <c r="P18" s="5"/>
      <c r="Q18" s="5"/>
    </row>
    <row r="19" customFormat="false" ht="19.5" hidden="false" customHeight="true" outlineLevel="0" collapsed="false">
      <c r="A19" s="13" t="s">
        <v>1068</v>
      </c>
      <c r="B19" s="13"/>
      <c r="C19" s="13"/>
      <c r="D19" s="13"/>
      <c r="E19" s="13"/>
      <c r="F19" s="13"/>
      <c r="G19" s="13"/>
      <c r="H19" s="13"/>
      <c r="I19" s="13"/>
      <c r="J19" s="13"/>
      <c r="K19" s="13"/>
      <c r="L19" s="13"/>
      <c r="M19" s="13"/>
      <c r="N19" s="13"/>
      <c r="O19" s="13"/>
      <c r="P19" s="13"/>
      <c r="Q19" s="13"/>
    </row>
    <row r="20" customFormat="false" ht="15.75" hidden="false" customHeight="true" outlineLevel="0" collapsed="false">
      <c r="A20" s="53" t="s">
        <v>1069</v>
      </c>
      <c r="B20" s="53"/>
      <c r="C20" s="53"/>
      <c r="D20" s="181" t="n">
        <f aca="false">$D$17</f>
        <v>435081</v>
      </c>
      <c r="E20" s="181"/>
      <c r="F20" s="181"/>
      <c r="G20" s="181"/>
      <c r="H20" s="53" t="s">
        <v>1070</v>
      </c>
      <c r="I20" s="181" t="n">
        <f aca="false">$F$17</f>
        <v>0</v>
      </c>
      <c r="J20" s="181"/>
      <c r="K20" s="181"/>
      <c r="L20" s="181"/>
      <c r="M20" s="180" t="s">
        <v>1071</v>
      </c>
      <c r="N20" s="180"/>
      <c r="O20" s="180"/>
      <c r="P20" s="180"/>
      <c r="Q20" s="180"/>
    </row>
    <row r="21" customFormat="false" ht="15.75" hidden="false" customHeight="true" outlineLevel="0" collapsed="false">
      <c r="A21" s="53" t="s">
        <v>1072</v>
      </c>
      <c r="B21" s="53"/>
      <c r="C21" s="53"/>
      <c r="D21" s="183" t="n">
        <f aca="false">IF($D$17=0,0,($F$17+$G$17+$H$17)*200000/$D$17)</f>
        <v>1.37905355554483</v>
      </c>
      <c r="E21" s="183"/>
      <c r="F21" s="183"/>
      <c r="G21" s="183"/>
      <c r="H21" s="53" t="s">
        <v>1073</v>
      </c>
      <c r="I21" s="183" t="n">
        <f aca="false">IF($D$17=0,0,$F$17*1000000/$D$17)</f>
        <v>0</v>
      </c>
      <c r="J21" s="183"/>
      <c r="K21" s="183"/>
      <c r="L21" s="183"/>
      <c r="M21" s="180"/>
      <c r="N21" s="180"/>
      <c r="O21" s="180"/>
      <c r="P21" s="180"/>
      <c r="Q21" s="180"/>
    </row>
    <row r="22" customFormat="false" ht="15.75" hidden="false" customHeight="true" outlineLevel="0" collapsed="false">
      <c r="A22" s="53" t="s">
        <v>1074</v>
      </c>
      <c r="B22" s="53"/>
      <c r="C22" s="53"/>
      <c r="D22" s="179" t="n">
        <f aca="false">IF($K$17=0,1,$L$17/$K$17)</f>
        <v>0.825040128410915</v>
      </c>
      <c r="E22" s="179"/>
      <c r="F22" s="179"/>
      <c r="G22" s="179"/>
      <c r="H22" s="53" t="s">
        <v>63</v>
      </c>
      <c r="I22" s="179" t="n">
        <f aca="false">$P$17</f>
        <v>0.76</v>
      </c>
      <c r="J22" s="179"/>
      <c r="K22" s="179"/>
      <c r="L22" s="179"/>
      <c r="M22" s="180"/>
      <c r="N22" s="180"/>
      <c r="O22" s="180"/>
      <c r="P22" s="180"/>
      <c r="Q22" s="180"/>
    </row>
    <row r="23" customFormat="false" ht="15.75" hidden="false" customHeight="true" outlineLevel="0" collapsed="false">
      <c r="A23" s="53" t="s">
        <v>1075</v>
      </c>
      <c r="B23" s="53"/>
      <c r="C23" s="53"/>
      <c r="D23" s="181" t="n">
        <f aca="false">$F$17+$G$17+$H$17</f>
        <v>3</v>
      </c>
      <c r="E23" s="181"/>
      <c r="F23" s="181"/>
      <c r="G23" s="181"/>
      <c r="H23" s="53" t="s">
        <v>1076</v>
      </c>
      <c r="I23" s="183" t="n">
        <f aca="false">ROUND(0.4*IF($F$17&gt;0,0,1)+0.2*MIN(1,IF(($F$17+$G$17+$H$17)=0,1,1/MAX(0.0001,($F$17+$G$17+$H$17)*200000/MAX(1,$D$17))))+0.2*IF($K$17=0,1,$L$17/$K$17)+0.2*MIN(1,$P$17/0.9),4)</f>
        <v>0.8789</v>
      </c>
      <c r="J23" s="183"/>
      <c r="K23" s="183"/>
      <c r="L23" s="183"/>
      <c r="M23" s="180"/>
      <c r="N23" s="180"/>
      <c r="O23" s="180"/>
      <c r="P23" s="180"/>
      <c r="Q23" s="180"/>
    </row>
    <row r="24" customFormat="false" ht="15" hidden="false" customHeight="true" outlineLevel="0" collapsed="false">
      <c r="A24" s="5"/>
      <c r="B24" s="5"/>
      <c r="C24" s="5"/>
      <c r="D24" s="5"/>
      <c r="E24" s="5"/>
      <c r="F24" s="5"/>
      <c r="G24" s="5"/>
      <c r="H24" s="5"/>
      <c r="I24" s="5"/>
      <c r="J24" s="5"/>
      <c r="K24" s="5"/>
      <c r="L24" s="5"/>
      <c r="M24" s="5"/>
      <c r="N24" s="5"/>
      <c r="O24" s="5"/>
      <c r="P24" s="5"/>
      <c r="Q24" s="5"/>
    </row>
    <row r="25" customFormat="false" ht="19.5" hidden="false" customHeight="true" outlineLevel="0" collapsed="false">
      <c r="A25" s="13" t="s">
        <v>1077</v>
      </c>
      <c r="B25" s="13"/>
      <c r="C25" s="13"/>
      <c r="D25" s="13"/>
      <c r="E25" s="13"/>
      <c r="F25" s="13"/>
      <c r="G25" s="13"/>
      <c r="H25" s="13"/>
      <c r="I25" s="13"/>
      <c r="J25" s="13"/>
      <c r="K25" s="13"/>
      <c r="L25" s="13"/>
      <c r="M25" s="13"/>
      <c r="N25" s="13"/>
      <c r="O25" s="13"/>
      <c r="P25" s="13"/>
      <c r="Q25" s="13"/>
    </row>
    <row r="26" customFormat="false" ht="13.5" hidden="false" customHeight="true" outlineLevel="0" collapsed="false">
      <c r="A26" s="80" t="s">
        <v>1078</v>
      </c>
      <c r="B26" s="80"/>
      <c r="C26" s="80"/>
      <c r="D26" s="80"/>
      <c r="E26" s="80"/>
      <c r="F26" s="80"/>
      <c r="G26" s="80"/>
      <c r="H26" s="80"/>
      <c r="I26" s="80"/>
      <c r="J26" s="80"/>
      <c r="K26" s="80"/>
      <c r="L26" s="80"/>
      <c r="M26" s="80"/>
      <c r="N26" s="80"/>
      <c r="O26" s="80"/>
      <c r="P26" s="80"/>
      <c r="Q26" s="80"/>
    </row>
    <row r="27" customFormat="false" ht="36" hidden="false" customHeight="true" outlineLevel="0" collapsed="false">
      <c r="A27" s="23" t="s">
        <v>256</v>
      </c>
      <c r="B27" s="23" t="s">
        <v>5</v>
      </c>
      <c r="C27" s="23" t="s">
        <v>289</v>
      </c>
      <c r="D27" s="23" t="s">
        <v>420</v>
      </c>
      <c r="E27" s="23" t="s">
        <v>1079</v>
      </c>
      <c r="F27" s="23" t="s">
        <v>1080</v>
      </c>
      <c r="G27" s="23" t="s">
        <v>1081</v>
      </c>
      <c r="H27" s="23" t="s">
        <v>1082</v>
      </c>
      <c r="I27" s="23" t="s">
        <v>1009</v>
      </c>
      <c r="J27" s="23" t="s">
        <v>1010</v>
      </c>
      <c r="K27" s="23" t="s">
        <v>1083</v>
      </c>
      <c r="L27" s="23" t="s">
        <v>1084</v>
      </c>
      <c r="M27" s="23" t="s">
        <v>663</v>
      </c>
      <c r="N27" s="23"/>
      <c r="O27" s="23"/>
      <c r="P27" s="23"/>
      <c r="Q27" s="23" t="s">
        <v>78</v>
      </c>
    </row>
    <row r="28" customFormat="false" ht="13.5" hidden="false" customHeight="true" outlineLevel="0" collapsed="false">
      <c r="A28" s="149" t="s">
        <v>8</v>
      </c>
      <c r="B28" s="150" t="str">
        <f aca="false">IFERROR(INDEX(Projects!$C$9:$C$16,MATCH($A28,Projects!$A$9:$A$16,0)),"")</f>
        <v>Residential</v>
      </c>
      <c r="C28" s="94" t="n">
        <f aca="false">IF(Dashboard!$C$6="Corporate",1,IF(Dashboard!$C$6="Project",IF($A28=Dashboard!$M$6,1,0),IF($B28=Dashboard!$H$6,1,0)))</f>
        <v>1</v>
      </c>
      <c r="D28" s="42" t="s">
        <v>1085</v>
      </c>
      <c r="E28" s="85" t="n">
        <v>46167</v>
      </c>
      <c r="F28" s="93" t="s">
        <v>1086</v>
      </c>
      <c r="G28" s="30" t="s">
        <v>496</v>
      </c>
      <c r="H28" s="30" t="s">
        <v>1087</v>
      </c>
      <c r="I28" s="93" t="s">
        <v>1088</v>
      </c>
      <c r="J28" s="30" t="s">
        <v>1089</v>
      </c>
      <c r="K28" s="30" t="s">
        <v>1090</v>
      </c>
      <c r="L28" s="31" t="n">
        <v>0</v>
      </c>
      <c r="M28" s="85" t="n">
        <v>46181</v>
      </c>
      <c r="N28" s="160"/>
      <c r="O28" s="160"/>
      <c r="P28" s="160"/>
      <c r="Q28" s="93" t="s">
        <v>1017</v>
      </c>
    </row>
    <row r="29" customFormat="false" ht="13.5" hidden="false" customHeight="true" outlineLevel="0" collapsed="false">
      <c r="A29" s="47" t="s">
        <v>8</v>
      </c>
      <c r="B29" s="154" t="str">
        <f aca="false">IFERROR(INDEX(Projects!$C$9:$C$16,MATCH($A29,Projects!$A$9:$A$16,0)),"")</f>
        <v>Residential</v>
      </c>
      <c r="C29" s="155" t="n">
        <f aca="false">IF(Dashboard!$C$6="Corporate",1,IF(Dashboard!$C$6="Project",IF($A29=Dashboard!$M$6,1,0),IF($B29=Dashboard!$H$6,1,0)))</f>
        <v>1</v>
      </c>
      <c r="D29" s="47" t="s">
        <v>1091</v>
      </c>
      <c r="E29" s="98" t="n">
        <v>46197</v>
      </c>
      <c r="F29" s="103" t="s">
        <v>1092</v>
      </c>
      <c r="G29" s="37" t="s">
        <v>499</v>
      </c>
      <c r="H29" s="37" t="s">
        <v>1093</v>
      </c>
      <c r="I29" s="103" t="s">
        <v>1088</v>
      </c>
      <c r="J29" s="37" t="s">
        <v>1094</v>
      </c>
      <c r="K29" s="37" t="s">
        <v>1090</v>
      </c>
      <c r="L29" s="49" t="n">
        <v>0</v>
      </c>
      <c r="M29" s="98" t="n">
        <v>46211</v>
      </c>
      <c r="N29" s="168"/>
      <c r="O29" s="168"/>
      <c r="P29" s="168"/>
      <c r="Q29" s="103" t="s">
        <v>1017</v>
      </c>
    </row>
    <row r="30" customFormat="false" ht="13.5" hidden="false" customHeight="true" outlineLevel="0" collapsed="false">
      <c r="A30" s="149" t="s">
        <v>8</v>
      </c>
      <c r="B30" s="150" t="str">
        <f aca="false">IFERROR(INDEX(Projects!$C$9:$C$16,MATCH($A30,Projects!$A$9:$A$16,0)),"")</f>
        <v>Residential</v>
      </c>
      <c r="C30" s="94" t="n">
        <f aca="false">IF(Dashboard!$C$6="Corporate",1,IF(Dashboard!$C$6="Project",IF($A30=Dashboard!$M$6,1,0),IF($B30=Dashboard!$H$6,1,0)))</f>
        <v>1</v>
      </c>
      <c r="D30" s="42" t="s">
        <v>1095</v>
      </c>
      <c r="E30" s="85" t="n">
        <v>46228</v>
      </c>
      <c r="F30" s="93" t="s">
        <v>1086</v>
      </c>
      <c r="G30" s="30" t="s">
        <v>502</v>
      </c>
      <c r="H30" s="30" t="s">
        <v>1096</v>
      </c>
      <c r="I30" s="93" t="s">
        <v>1097</v>
      </c>
      <c r="J30" s="30" t="s">
        <v>1098</v>
      </c>
      <c r="K30" s="30" t="s">
        <v>1090</v>
      </c>
      <c r="L30" s="31" t="n">
        <v>0</v>
      </c>
      <c r="M30" s="85" t="n">
        <v>46242</v>
      </c>
      <c r="N30" s="160"/>
      <c r="O30" s="160"/>
      <c r="P30" s="160"/>
      <c r="Q30" s="93" t="s">
        <v>1023</v>
      </c>
    </row>
    <row r="31" customFormat="false" ht="13.5" hidden="false" customHeight="true" outlineLevel="0" collapsed="false">
      <c r="A31" s="47" t="s">
        <v>293</v>
      </c>
      <c r="B31" s="154" t="str">
        <f aca="false">IFERROR(INDEX(Projects!$C$9:$C$16,MATCH($A31,Projects!$A$9:$A$16,0)),"")</f>
        <v>Residential</v>
      </c>
      <c r="C31" s="155" t="n">
        <f aca="false">IF(Dashboard!$C$6="Corporate",1,IF(Dashboard!$C$6="Project",IF($A31=Dashboard!$M$6,1,0),IF($B31=Dashboard!$H$6,1,0)))</f>
        <v>1</v>
      </c>
      <c r="D31" s="47" t="s">
        <v>1099</v>
      </c>
      <c r="E31" s="98" t="n">
        <v>46228</v>
      </c>
      <c r="F31" s="103" t="s">
        <v>1086</v>
      </c>
      <c r="G31" s="37" t="s">
        <v>496</v>
      </c>
      <c r="H31" s="37" t="s">
        <v>1087</v>
      </c>
      <c r="I31" s="103" t="s">
        <v>1088</v>
      </c>
      <c r="J31" s="37" t="s">
        <v>1089</v>
      </c>
      <c r="K31" s="37" t="s">
        <v>1090</v>
      </c>
      <c r="L31" s="49" t="n">
        <v>0</v>
      </c>
      <c r="M31" s="98" t="n">
        <v>46242</v>
      </c>
      <c r="N31" s="168"/>
      <c r="O31" s="168"/>
      <c r="P31" s="168"/>
      <c r="Q31" s="103" t="s">
        <v>1017</v>
      </c>
    </row>
    <row r="32" customFormat="false" ht="13.5" hidden="false" customHeight="true" outlineLevel="0" collapsed="false">
      <c r="A32" s="149" t="s">
        <v>293</v>
      </c>
      <c r="B32" s="150" t="str">
        <f aca="false">IFERROR(INDEX(Projects!$C$9:$C$16,MATCH($A32,Projects!$A$9:$A$16,0)),"")</f>
        <v>Residential</v>
      </c>
      <c r="C32" s="94" t="n">
        <f aca="false">IF(Dashboard!$C$6="Corporate",1,IF(Dashboard!$C$6="Project",IF($A32=Dashboard!$M$6,1,0),IF($B32=Dashboard!$H$6,1,0)))</f>
        <v>1</v>
      </c>
      <c r="D32" s="42" t="s">
        <v>1100</v>
      </c>
      <c r="E32" s="85" t="n">
        <v>46259</v>
      </c>
      <c r="F32" s="93" t="s">
        <v>1092</v>
      </c>
      <c r="G32" s="30" t="s">
        <v>499</v>
      </c>
      <c r="H32" s="30" t="s">
        <v>1093</v>
      </c>
      <c r="I32" s="93" t="s">
        <v>1088</v>
      </c>
      <c r="J32" s="30" t="s">
        <v>1094</v>
      </c>
      <c r="K32" s="30" t="s">
        <v>1090</v>
      </c>
      <c r="L32" s="31" t="n">
        <v>0</v>
      </c>
      <c r="M32" s="85" t="n">
        <v>46273</v>
      </c>
      <c r="N32" s="160"/>
      <c r="O32" s="160"/>
      <c r="P32" s="160"/>
      <c r="Q32" s="93" t="s">
        <v>1017</v>
      </c>
    </row>
    <row r="33" customFormat="false" ht="13.5" hidden="false" customHeight="true" outlineLevel="0" collapsed="false">
      <c r="A33" s="47" t="s">
        <v>293</v>
      </c>
      <c r="B33" s="154" t="str">
        <f aca="false">IFERROR(INDEX(Projects!$C$9:$C$16,MATCH($A33,Projects!$A$9:$A$16,0)),"")</f>
        <v>Residential</v>
      </c>
      <c r="C33" s="155" t="n">
        <f aca="false">IF(Dashboard!$C$6="Corporate",1,IF(Dashboard!$C$6="Project",IF($A33=Dashboard!$M$6,1,0),IF($B33=Dashboard!$H$6,1,0)))</f>
        <v>1</v>
      </c>
      <c r="D33" s="47" t="s">
        <v>1101</v>
      </c>
      <c r="E33" s="98" t="n">
        <v>46289</v>
      </c>
      <c r="F33" s="103" t="s">
        <v>1086</v>
      </c>
      <c r="G33" s="37" t="s">
        <v>502</v>
      </c>
      <c r="H33" s="37" t="s">
        <v>1096</v>
      </c>
      <c r="I33" s="103" t="s">
        <v>1097</v>
      </c>
      <c r="J33" s="37" t="s">
        <v>1098</v>
      </c>
      <c r="K33" s="37" t="s">
        <v>1090</v>
      </c>
      <c r="L33" s="49" t="n">
        <v>0</v>
      </c>
      <c r="M33" s="98" t="n">
        <v>46303</v>
      </c>
      <c r="N33" s="168"/>
      <c r="O33" s="168"/>
      <c r="P33" s="168"/>
      <c r="Q33" s="103" t="s">
        <v>1023</v>
      </c>
    </row>
    <row r="34" customFormat="false" ht="13.5" hidden="false" customHeight="true" outlineLevel="0" collapsed="false">
      <c r="A34" s="149" t="s">
        <v>296</v>
      </c>
      <c r="B34" s="150" t="str">
        <f aca="false">IFERROR(INDEX(Projects!$C$9:$C$16,MATCH($A34,Projects!$A$9:$A$16,0)),"")</f>
        <v>Commercial</v>
      </c>
      <c r="C34" s="94" t="n">
        <f aca="false">IF(Dashboard!$C$6="Corporate",1,IF(Dashboard!$C$6="Project",IF($A34=Dashboard!$M$6,1,0),IF($B34=Dashboard!$H$6,1,0)))</f>
        <v>1</v>
      </c>
      <c r="D34" s="42" t="s">
        <v>1102</v>
      </c>
      <c r="E34" s="85" t="n">
        <v>46167</v>
      </c>
      <c r="F34" s="93" t="s">
        <v>1086</v>
      </c>
      <c r="G34" s="30" t="s">
        <v>522</v>
      </c>
      <c r="H34" s="30" t="s">
        <v>1087</v>
      </c>
      <c r="I34" s="93" t="s">
        <v>1088</v>
      </c>
      <c r="J34" s="30" t="s">
        <v>1089</v>
      </c>
      <c r="K34" s="30" t="s">
        <v>1090</v>
      </c>
      <c r="L34" s="31" t="n">
        <v>0</v>
      </c>
      <c r="M34" s="85" t="n">
        <v>46181</v>
      </c>
      <c r="N34" s="160"/>
      <c r="O34" s="160"/>
      <c r="P34" s="160"/>
      <c r="Q34" s="93" t="s">
        <v>1017</v>
      </c>
    </row>
    <row r="35" customFormat="false" ht="13.5" hidden="false" customHeight="true" outlineLevel="0" collapsed="false">
      <c r="A35" s="47" t="s">
        <v>296</v>
      </c>
      <c r="B35" s="154" t="str">
        <f aca="false">IFERROR(INDEX(Projects!$C$9:$C$16,MATCH($A35,Projects!$A$9:$A$16,0)),"")</f>
        <v>Commercial</v>
      </c>
      <c r="C35" s="155" t="n">
        <f aca="false">IF(Dashboard!$C$6="Corporate",1,IF(Dashboard!$C$6="Project",IF($A35=Dashboard!$M$6,1,0),IF($B35=Dashboard!$H$6,1,0)))</f>
        <v>1</v>
      </c>
      <c r="D35" s="47" t="s">
        <v>1103</v>
      </c>
      <c r="E35" s="98" t="n">
        <v>46197</v>
      </c>
      <c r="F35" s="103" t="s">
        <v>1092</v>
      </c>
      <c r="G35" s="37" t="s">
        <v>523</v>
      </c>
      <c r="H35" s="37" t="s">
        <v>1093</v>
      </c>
      <c r="I35" s="103" t="s">
        <v>1088</v>
      </c>
      <c r="J35" s="37" t="s">
        <v>1094</v>
      </c>
      <c r="K35" s="37" t="s">
        <v>1090</v>
      </c>
      <c r="L35" s="49" t="n">
        <v>0</v>
      </c>
      <c r="M35" s="98" t="n">
        <v>46211</v>
      </c>
      <c r="N35" s="168"/>
      <c r="O35" s="168"/>
      <c r="P35" s="168"/>
      <c r="Q35" s="103" t="s">
        <v>1017</v>
      </c>
    </row>
    <row r="36" customFormat="false" ht="13.5" hidden="false" customHeight="true" outlineLevel="0" collapsed="false">
      <c r="A36" s="149" t="s">
        <v>296</v>
      </c>
      <c r="B36" s="150" t="str">
        <f aca="false">IFERROR(INDEX(Projects!$C$9:$C$16,MATCH($A36,Projects!$A$9:$A$16,0)),"")</f>
        <v>Commercial</v>
      </c>
      <c r="C36" s="94" t="n">
        <f aca="false">IF(Dashboard!$C$6="Corporate",1,IF(Dashboard!$C$6="Project",IF($A36=Dashboard!$M$6,1,0),IF($B36=Dashboard!$H$6,1,0)))</f>
        <v>1</v>
      </c>
      <c r="D36" s="42" t="s">
        <v>1104</v>
      </c>
      <c r="E36" s="85" t="n">
        <v>46228</v>
      </c>
      <c r="F36" s="93" t="s">
        <v>1086</v>
      </c>
      <c r="G36" s="30" t="s">
        <v>524</v>
      </c>
      <c r="H36" s="30" t="s">
        <v>1096</v>
      </c>
      <c r="I36" s="93" t="s">
        <v>1097</v>
      </c>
      <c r="J36" s="30" t="s">
        <v>1098</v>
      </c>
      <c r="K36" s="30" t="s">
        <v>1090</v>
      </c>
      <c r="L36" s="31" t="n">
        <v>0</v>
      </c>
      <c r="M36" s="85" t="n">
        <v>46242</v>
      </c>
      <c r="N36" s="160"/>
      <c r="O36" s="160"/>
      <c r="P36" s="160"/>
      <c r="Q36" s="93" t="s">
        <v>1023</v>
      </c>
    </row>
    <row r="37" customFormat="false" ht="13.5" hidden="false" customHeight="true" outlineLevel="0" collapsed="false">
      <c r="A37" s="47" t="s">
        <v>298</v>
      </c>
      <c r="B37" s="154" t="str">
        <f aca="false">IFERROR(INDEX(Projects!$C$9:$C$16,MATCH($A37,Projects!$A$9:$A$16,0)),"")</f>
        <v>Commercial</v>
      </c>
      <c r="C37" s="155" t="n">
        <f aca="false">IF(Dashboard!$C$6="Corporate",1,IF(Dashboard!$C$6="Project",IF($A37=Dashboard!$M$6,1,0),IF($B37=Dashboard!$H$6,1,0)))</f>
        <v>1</v>
      </c>
      <c r="D37" s="47" t="s">
        <v>1105</v>
      </c>
      <c r="E37" s="98" t="n">
        <v>46197</v>
      </c>
      <c r="F37" s="103" t="s">
        <v>1086</v>
      </c>
      <c r="G37" s="37" t="s">
        <v>522</v>
      </c>
      <c r="H37" s="37" t="s">
        <v>1087</v>
      </c>
      <c r="I37" s="103" t="s">
        <v>1088</v>
      </c>
      <c r="J37" s="37" t="s">
        <v>1089</v>
      </c>
      <c r="K37" s="37" t="s">
        <v>1090</v>
      </c>
      <c r="L37" s="49" t="n">
        <v>0</v>
      </c>
      <c r="M37" s="98" t="n">
        <v>46211</v>
      </c>
      <c r="N37" s="168"/>
      <c r="O37" s="168"/>
      <c r="P37" s="168"/>
      <c r="Q37" s="103" t="s">
        <v>1017</v>
      </c>
    </row>
    <row r="38" customFormat="false" ht="13.5" hidden="false" customHeight="true" outlineLevel="0" collapsed="false">
      <c r="A38" s="149" t="s">
        <v>298</v>
      </c>
      <c r="B38" s="150" t="str">
        <f aca="false">IFERROR(INDEX(Projects!$C$9:$C$16,MATCH($A38,Projects!$A$9:$A$16,0)),"")</f>
        <v>Commercial</v>
      </c>
      <c r="C38" s="94" t="n">
        <f aca="false">IF(Dashboard!$C$6="Corporate",1,IF(Dashboard!$C$6="Project",IF($A38=Dashboard!$M$6,1,0),IF($B38=Dashboard!$H$6,1,0)))</f>
        <v>1</v>
      </c>
      <c r="D38" s="42" t="s">
        <v>1106</v>
      </c>
      <c r="E38" s="85" t="n">
        <v>46228</v>
      </c>
      <c r="F38" s="93" t="s">
        <v>1092</v>
      </c>
      <c r="G38" s="30" t="s">
        <v>523</v>
      </c>
      <c r="H38" s="30" t="s">
        <v>1093</v>
      </c>
      <c r="I38" s="93" t="s">
        <v>1088</v>
      </c>
      <c r="J38" s="30" t="s">
        <v>1094</v>
      </c>
      <c r="K38" s="30" t="s">
        <v>1090</v>
      </c>
      <c r="L38" s="31" t="n">
        <v>0</v>
      </c>
      <c r="M38" s="85" t="n">
        <v>46242</v>
      </c>
      <c r="N38" s="160"/>
      <c r="O38" s="160"/>
      <c r="P38" s="160"/>
      <c r="Q38" s="93" t="s">
        <v>1017</v>
      </c>
    </row>
    <row r="39" customFormat="false" ht="13.5" hidden="false" customHeight="true" outlineLevel="0" collapsed="false">
      <c r="A39" s="47" t="s">
        <v>298</v>
      </c>
      <c r="B39" s="154" t="str">
        <f aca="false">IFERROR(INDEX(Projects!$C$9:$C$16,MATCH($A39,Projects!$A$9:$A$16,0)),"")</f>
        <v>Commercial</v>
      </c>
      <c r="C39" s="155" t="n">
        <f aca="false">IF(Dashboard!$C$6="Corporate",1,IF(Dashboard!$C$6="Project",IF($A39=Dashboard!$M$6,1,0),IF($B39=Dashboard!$H$6,1,0)))</f>
        <v>1</v>
      </c>
      <c r="D39" s="47" t="s">
        <v>1107</v>
      </c>
      <c r="E39" s="98" t="n">
        <v>46259</v>
      </c>
      <c r="F39" s="103" t="s">
        <v>1086</v>
      </c>
      <c r="G39" s="37" t="s">
        <v>524</v>
      </c>
      <c r="H39" s="37" t="s">
        <v>1096</v>
      </c>
      <c r="I39" s="103" t="s">
        <v>1097</v>
      </c>
      <c r="J39" s="37" t="s">
        <v>1098</v>
      </c>
      <c r="K39" s="37" t="s">
        <v>1090</v>
      </c>
      <c r="L39" s="49" t="n">
        <v>0</v>
      </c>
      <c r="M39" s="98" t="n">
        <v>46273</v>
      </c>
      <c r="N39" s="168"/>
      <c r="O39" s="168"/>
      <c r="P39" s="168"/>
      <c r="Q39" s="103" t="s">
        <v>1023</v>
      </c>
    </row>
    <row r="40" customFormat="false" ht="13.5" hidden="false" customHeight="true" outlineLevel="0" collapsed="false">
      <c r="A40" s="149" t="s">
        <v>300</v>
      </c>
      <c r="B40" s="150" t="str">
        <f aca="false">IFERROR(INDEX(Projects!$C$9:$C$16,MATCH($A40,Projects!$A$9:$A$16,0)),"")</f>
        <v>Mixed Use</v>
      </c>
      <c r="C40" s="94" t="n">
        <f aca="false">IF(Dashboard!$C$6="Corporate",1,IF(Dashboard!$C$6="Project",IF($A40=Dashboard!$M$6,1,0),IF($B40=Dashboard!$H$6,1,0)))</f>
        <v>1</v>
      </c>
      <c r="D40" s="42" t="s">
        <v>1108</v>
      </c>
      <c r="E40" s="85" t="n">
        <v>46228</v>
      </c>
      <c r="F40" s="93" t="s">
        <v>1086</v>
      </c>
      <c r="G40" s="30" t="s">
        <v>527</v>
      </c>
      <c r="H40" s="30" t="s">
        <v>1087</v>
      </c>
      <c r="I40" s="93" t="s">
        <v>1088</v>
      </c>
      <c r="J40" s="30" t="s">
        <v>1089</v>
      </c>
      <c r="K40" s="30" t="s">
        <v>1090</v>
      </c>
      <c r="L40" s="31" t="n">
        <v>0</v>
      </c>
      <c r="M40" s="85" t="n">
        <v>46242</v>
      </c>
      <c r="N40" s="160"/>
      <c r="O40" s="160"/>
      <c r="P40" s="160"/>
      <c r="Q40" s="93" t="s">
        <v>1017</v>
      </c>
    </row>
    <row r="41" customFormat="false" ht="13.5" hidden="false" customHeight="true" outlineLevel="0" collapsed="false">
      <c r="A41" s="47" t="s">
        <v>300</v>
      </c>
      <c r="B41" s="154" t="str">
        <f aca="false">IFERROR(INDEX(Projects!$C$9:$C$16,MATCH($A41,Projects!$A$9:$A$16,0)),"")</f>
        <v>Mixed Use</v>
      </c>
      <c r="C41" s="155" t="n">
        <f aca="false">IF(Dashboard!$C$6="Corporate",1,IF(Dashboard!$C$6="Project",IF($A41=Dashboard!$M$6,1,0),IF($B41=Dashboard!$H$6,1,0)))</f>
        <v>1</v>
      </c>
      <c r="D41" s="47" t="s">
        <v>1109</v>
      </c>
      <c r="E41" s="98" t="n">
        <v>46259</v>
      </c>
      <c r="F41" s="103" t="s">
        <v>1092</v>
      </c>
      <c r="G41" s="37" t="s">
        <v>528</v>
      </c>
      <c r="H41" s="37" t="s">
        <v>1093</v>
      </c>
      <c r="I41" s="103" t="s">
        <v>1088</v>
      </c>
      <c r="J41" s="37" t="s">
        <v>1094</v>
      </c>
      <c r="K41" s="37" t="s">
        <v>1090</v>
      </c>
      <c r="L41" s="49" t="n">
        <v>0</v>
      </c>
      <c r="M41" s="98" t="n">
        <v>46273</v>
      </c>
      <c r="N41" s="168"/>
      <c r="O41" s="168"/>
      <c r="P41" s="168"/>
      <c r="Q41" s="103" t="s">
        <v>1017</v>
      </c>
    </row>
    <row r="42" customFormat="false" ht="13.5" hidden="false" customHeight="true" outlineLevel="0" collapsed="false">
      <c r="A42" s="149" t="s">
        <v>300</v>
      </c>
      <c r="B42" s="150" t="str">
        <f aca="false">IFERROR(INDEX(Projects!$C$9:$C$16,MATCH($A42,Projects!$A$9:$A$16,0)),"")</f>
        <v>Mixed Use</v>
      </c>
      <c r="C42" s="94" t="n">
        <f aca="false">IF(Dashboard!$C$6="Corporate",1,IF(Dashboard!$C$6="Project",IF($A42=Dashboard!$M$6,1,0),IF($B42=Dashboard!$H$6,1,0)))</f>
        <v>1</v>
      </c>
      <c r="D42" s="42" t="s">
        <v>1110</v>
      </c>
      <c r="E42" s="85" t="n">
        <v>46289</v>
      </c>
      <c r="F42" s="93" t="s">
        <v>1086</v>
      </c>
      <c r="G42" s="30" t="s">
        <v>529</v>
      </c>
      <c r="H42" s="30" t="s">
        <v>1096</v>
      </c>
      <c r="I42" s="93" t="s">
        <v>1097</v>
      </c>
      <c r="J42" s="30" t="s">
        <v>1098</v>
      </c>
      <c r="K42" s="30" t="s">
        <v>1090</v>
      </c>
      <c r="L42" s="31" t="n">
        <v>0</v>
      </c>
      <c r="M42" s="85" t="n">
        <v>46303</v>
      </c>
      <c r="N42" s="160"/>
      <c r="O42" s="160"/>
      <c r="P42" s="160"/>
      <c r="Q42" s="93" t="s">
        <v>1023</v>
      </c>
    </row>
    <row r="43" customFormat="false" ht="13.5" hidden="false" customHeight="true" outlineLevel="0" collapsed="false">
      <c r="A43" s="47" t="s">
        <v>301</v>
      </c>
      <c r="B43" s="154" t="str">
        <f aca="false">IFERROR(INDEX(Projects!$C$9:$C$16,MATCH($A43,Projects!$A$9:$A$16,0)),"")</f>
        <v>Mixed Use</v>
      </c>
      <c r="C43" s="155" t="n">
        <f aca="false">IF(Dashboard!$C$6="Corporate",1,IF(Dashboard!$C$6="Project",IF($A43=Dashboard!$M$6,1,0),IF($B43=Dashboard!$H$6,1,0)))</f>
        <v>1</v>
      </c>
      <c r="D43" s="47" t="s">
        <v>1111</v>
      </c>
      <c r="E43" s="98" t="n">
        <v>46197</v>
      </c>
      <c r="F43" s="103" t="s">
        <v>1086</v>
      </c>
      <c r="G43" s="37" t="s">
        <v>527</v>
      </c>
      <c r="H43" s="37" t="s">
        <v>1087</v>
      </c>
      <c r="I43" s="103" t="s">
        <v>1088</v>
      </c>
      <c r="J43" s="37" t="s">
        <v>1089</v>
      </c>
      <c r="K43" s="37" t="s">
        <v>1090</v>
      </c>
      <c r="L43" s="49" t="n">
        <v>0</v>
      </c>
      <c r="M43" s="98" t="n">
        <v>46211</v>
      </c>
      <c r="N43" s="168"/>
      <c r="O43" s="168"/>
      <c r="P43" s="168"/>
      <c r="Q43" s="103" t="s">
        <v>1017</v>
      </c>
    </row>
    <row r="44" customFormat="false" ht="13.5" hidden="false" customHeight="true" outlineLevel="0" collapsed="false">
      <c r="A44" s="149" t="s">
        <v>301</v>
      </c>
      <c r="B44" s="150" t="str">
        <f aca="false">IFERROR(INDEX(Projects!$C$9:$C$16,MATCH($A44,Projects!$A$9:$A$16,0)),"")</f>
        <v>Mixed Use</v>
      </c>
      <c r="C44" s="94" t="n">
        <f aca="false">IF(Dashboard!$C$6="Corporate",1,IF(Dashboard!$C$6="Project",IF($A44=Dashboard!$M$6,1,0),IF($B44=Dashboard!$H$6,1,0)))</f>
        <v>1</v>
      </c>
      <c r="D44" s="42" t="s">
        <v>1112</v>
      </c>
      <c r="E44" s="85" t="n">
        <v>46228</v>
      </c>
      <c r="F44" s="93" t="s">
        <v>1092</v>
      </c>
      <c r="G44" s="30" t="s">
        <v>528</v>
      </c>
      <c r="H44" s="30" t="s">
        <v>1093</v>
      </c>
      <c r="I44" s="93" t="s">
        <v>1088</v>
      </c>
      <c r="J44" s="30" t="s">
        <v>1094</v>
      </c>
      <c r="K44" s="30" t="s">
        <v>1090</v>
      </c>
      <c r="L44" s="31" t="n">
        <v>0</v>
      </c>
      <c r="M44" s="85" t="n">
        <v>46242</v>
      </c>
      <c r="N44" s="160"/>
      <c r="O44" s="160"/>
      <c r="P44" s="160"/>
      <c r="Q44" s="93" t="s">
        <v>1017</v>
      </c>
    </row>
    <row r="45" customFormat="false" ht="13.5" hidden="false" customHeight="true" outlineLevel="0" collapsed="false">
      <c r="A45" s="47" t="s">
        <v>301</v>
      </c>
      <c r="B45" s="154" t="str">
        <f aca="false">IFERROR(INDEX(Projects!$C$9:$C$16,MATCH($A45,Projects!$A$9:$A$16,0)),"")</f>
        <v>Mixed Use</v>
      </c>
      <c r="C45" s="155" t="n">
        <f aca="false">IF(Dashboard!$C$6="Corporate",1,IF(Dashboard!$C$6="Project",IF($A45=Dashboard!$M$6,1,0),IF($B45=Dashboard!$H$6,1,0)))</f>
        <v>1</v>
      </c>
      <c r="D45" s="47" t="s">
        <v>1113</v>
      </c>
      <c r="E45" s="98" t="n">
        <v>46259</v>
      </c>
      <c r="F45" s="103" t="s">
        <v>1086</v>
      </c>
      <c r="G45" s="37" t="s">
        <v>529</v>
      </c>
      <c r="H45" s="37" t="s">
        <v>1096</v>
      </c>
      <c r="I45" s="103" t="s">
        <v>1097</v>
      </c>
      <c r="J45" s="37" t="s">
        <v>1098</v>
      </c>
      <c r="K45" s="37" t="s">
        <v>1090</v>
      </c>
      <c r="L45" s="49" t="n">
        <v>0</v>
      </c>
      <c r="M45" s="98" t="n">
        <v>46273</v>
      </c>
      <c r="N45" s="168"/>
      <c r="O45" s="168"/>
      <c r="P45" s="168"/>
      <c r="Q45" s="103" t="s">
        <v>1023</v>
      </c>
    </row>
    <row r="46" customFormat="false" ht="13.5" hidden="false" customHeight="true" outlineLevel="0" collapsed="false">
      <c r="A46" s="149" t="s">
        <v>303</v>
      </c>
      <c r="B46" s="150" t="str">
        <f aca="false">IFERROR(INDEX(Projects!$C$9:$C$16,MATCH($A46,Projects!$A$9:$A$16,0)),"")</f>
        <v>Land Development</v>
      </c>
      <c r="C46" s="94" t="n">
        <f aca="false">IF(Dashboard!$C$6="Corporate",1,IF(Dashboard!$C$6="Project",IF($A46=Dashboard!$M$6,1,0),IF($B46=Dashboard!$H$6,1,0)))</f>
        <v>1</v>
      </c>
      <c r="D46" s="42" t="s">
        <v>1114</v>
      </c>
      <c r="E46" s="85" t="n">
        <v>46167</v>
      </c>
      <c r="F46" s="93" t="s">
        <v>1086</v>
      </c>
      <c r="G46" s="30" t="s">
        <v>532</v>
      </c>
      <c r="H46" s="30" t="s">
        <v>1087</v>
      </c>
      <c r="I46" s="93" t="s">
        <v>1088</v>
      </c>
      <c r="J46" s="30" t="s">
        <v>1089</v>
      </c>
      <c r="K46" s="30" t="s">
        <v>1090</v>
      </c>
      <c r="L46" s="31" t="n">
        <v>0</v>
      </c>
      <c r="M46" s="85" t="n">
        <v>46181</v>
      </c>
      <c r="N46" s="160"/>
      <c r="O46" s="160"/>
      <c r="P46" s="160"/>
      <c r="Q46" s="93" t="s">
        <v>1017</v>
      </c>
    </row>
    <row r="47" customFormat="false" ht="13.5" hidden="false" customHeight="true" outlineLevel="0" collapsed="false">
      <c r="A47" s="47" t="s">
        <v>303</v>
      </c>
      <c r="B47" s="154" t="str">
        <f aca="false">IFERROR(INDEX(Projects!$C$9:$C$16,MATCH($A47,Projects!$A$9:$A$16,0)),"")</f>
        <v>Land Development</v>
      </c>
      <c r="C47" s="155" t="n">
        <f aca="false">IF(Dashboard!$C$6="Corporate",1,IF(Dashboard!$C$6="Project",IF($A47=Dashboard!$M$6,1,0),IF($B47=Dashboard!$H$6,1,0)))</f>
        <v>1</v>
      </c>
      <c r="D47" s="47" t="s">
        <v>1115</v>
      </c>
      <c r="E47" s="98" t="n">
        <v>46197</v>
      </c>
      <c r="F47" s="103" t="s">
        <v>1092</v>
      </c>
      <c r="G47" s="37" t="s">
        <v>533</v>
      </c>
      <c r="H47" s="37" t="s">
        <v>1093</v>
      </c>
      <c r="I47" s="103" t="s">
        <v>1088</v>
      </c>
      <c r="J47" s="37" t="s">
        <v>1094</v>
      </c>
      <c r="K47" s="37" t="s">
        <v>1090</v>
      </c>
      <c r="L47" s="49" t="n">
        <v>0</v>
      </c>
      <c r="M47" s="98" t="n">
        <v>46211</v>
      </c>
      <c r="N47" s="168"/>
      <c r="O47" s="168"/>
      <c r="P47" s="168"/>
      <c r="Q47" s="103" t="s">
        <v>1017</v>
      </c>
    </row>
    <row r="48" customFormat="false" ht="13.5" hidden="false" customHeight="true" outlineLevel="0" collapsed="false">
      <c r="A48" s="149" t="s">
        <v>303</v>
      </c>
      <c r="B48" s="150" t="str">
        <f aca="false">IFERROR(INDEX(Projects!$C$9:$C$16,MATCH($A48,Projects!$A$9:$A$16,0)),"")</f>
        <v>Land Development</v>
      </c>
      <c r="C48" s="94" t="n">
        <f aca="false">IF(Dashboard!$C$6="Corporate",1,IF(Dashboard!$C$6="Project",IF($A48=Dashboard!$M$6,1,0),IF($B48=Dashboard!$H$6,1,0)))</f>
        <v>1</v>
      </c>
      <c r="D48" s="42" t="s">
        <v>1116</v>
      </c>
      <c r="E48" s="85" t="n">
        <v>46228</v>
      </c>
      <c r="F48" s="93" t="s">
        <v>1086</v>
      </c>
      <c r="G48" s="30" t="s">
        <v>534</v>
      </c>
      <c r="H48" s="30" t="s">
        <v>1096</v>
      </c>
      <c r="I48" s="93" t="s">
        <v>1097</v>
      </c>
      <c r="J48" s="30" t="s">
        <v>1098</v>
      </c>
      <c r="K48" s="30" t="s">
        <v>1090</v>
      </c>
      <c r="L48" s="31" t="n">
        <v>0</v>
      </c>
      <c r="M48" s="85" t="n">
        <v>46242</v>
      </c>
      <c r="N48" s="160"/>
      <c r="O48" s="160"/>
      <c r="P48" s="160"/>
      <c r="Q48" s="93" t="s">
        <v>1023</v>
      </c>
    </row>
    <row r="49" customFormat="false" ht="13.5" hidden="false" customHeight="true" outlineLevel="0" collapsed="false">
      <c r="A49" s="47" t="s">
        <v>304</v>
      </c>
      <c r="B49" s="154" t="str">
        <f aca="false">IFERROR(INDEX(Projects!$C$9:$C$16,MATCH($A49,Projects!$A$9:$A$16,0)),"")</f>
        <v>Land Development</v>
      </c>
      <c r="C49" s="155" t="n">
        <f aca="false">IF(Dashboard!$C$6="Corporate",1,IF(Dashboard!$C$6="Project",IF($A49=Dashboard!$M$6,1,0),IF($B49=Dashboard!$H$6,1,0)))</f>
        <v>1</v>
      </c>
      <c r="D49" s="47" t="s">
        <v>1117</v>
      </c>
      <c r="E49" s="98" t="n">
        <v>46197</v>
      </c>
      <c r="F49" s="103" t="s">
        <v>1086</v>
      </c>
      <c r="G49" s="37" t="s">
        <v>532</v>
      </c>
      <c r="H49" s="37" t="s">
        <v>1087</v>
      </c>
      <c r="I49" s="103" t="s">
        <v>1088</v>
      </c>
      <c r="J49" s="37" t="s">
        <v>1089</v>
      </c>
      <c r="K49" s="37" t="s">
        <v>1090</v>
      </c>
      <c r="L49" s="49" t="n">
        <v>0</v>
      </c>
      <c r="M49" s="98" t="n">
        <v>46211</v>
      </c>
      <c r="N49" s="168"/>
      <c r="O49" s="168"/>
      <c r="P49" s="168"/>
      <c r="Q49" s="103" t="s">
        <v>1017</v>
      </c>
    </row>
    <row r="50" customFormat="false" ht="13.5" hidden="false" customHeight="true" outlineLevel="0" collapsed="false">
      <c r="A50" s="149" t="s">
        <v>304</v>
      </c>
      <c r="B50" s="150" t="str">
        <f aca="false">IFERROR(INDEX(Projects!$C$9:$C$16,MATCH($A50,Projects!$A$9:$A$16,0)),"")</f>
        <v>Land Development</v>
      </c>
      <c r="C50" s="94" t="n">
        <f aca="false">IF(Dashboard!$C$6="Corporate",1,IF(Dashboard!$C$6="Project",IF($A50=Dashboard!$M$6,1,0),IF($B50=Dashboard!$H$6,1,0)))</f>
        <v>1</v>
      </c>
      <c r="D50" s="42" t="s">
        <v>1118</v>
      </c>
      <c r="E50" s="85" t="n">
        <v>46228</v>
      </c>
      <c r="F50" s="93" t="s">
        <v>1092</v>
      </c>
      <c r="G50" s="30" t="s">
        <v>533</v>
      </c>
      <c r="H50" s="30" t="s">
        <v>1093</v>
      </c>
      <c r="I50" s="93" t="s">
        <v>1088</v>
      </c>
      <c r="J50" s="30" t="s">
        <v>1094</v>
      </c>
      <c r="K50" s="30" t="s">
        <v>1090</v>
      </c>
      <c r="L50" s="31" t="n">
        <v>0</v>
      </c>
      <c r="M50" s="85" t="n">
        <v>46242</v>
      </c>
      <c r="N50" s="160"/>
      <c r="O50" s="160"/>
      <c r="P50" s="160"/>
      <c r="Q50" s="93" t="s">
        <v>1017</v>
      </c>
    </row>
    <row r="51" customFormat="false" ht="13.5" hidden="false" customHeight="true" outlineLevel="0" collapsed="false">
      <c r="A51" s="47" t="s">
        <v>304</v>
      </c>
      <c r="B51" s="154" t="str">
        <f aca="false">IFERROR(INDEX(Projects!$C$9:$C$16,MATCH($A51,Projects!$A$9:$A$16,0)),"")</f>
        <v>Land Development</v>
      </c>
      <c r="C51" s="155" t="n">
        <f aca="false">IF(Dashboard!$C$6="Corporate",1,IF(Dashboard!$C$6="Project",IF($A51=Dashboard!$M$6,1,0),IF($B51=Dashboard!$H$6,1,0)))</f>
        <v>1</v>
      </c>
      <c r="D51" s="47" t="s">
        <v>1119</v>
      </c>
      <c r="E51" s="98" t="n">
        <v>46259</v>
      </c>
      <c r="F51" s="103" t="s">
        <v>1086</v>
      </c>
      <c r="G51" s="37" t="s">
        <v>534</v>
      </c>
      <c r="H51" s="37" t="s">
        <v>1096</v>
      </c>
      <c r="I51" s="103" t="s">
        <v>1097</v>
      </c>
      <c r="J51" s="37" t="s">
        <v>1098</v>
      </c>
      <c r="K51" s="37" t="s">
        <v>1090</v>
      </c>
      <c r="L51" s="49" t="n">
        <v>0</v>
      </c>
      <c r="M51" s="98" t="n">
        <v>46273</v>
      </c>
      <c r="N51" s="168"/>
      <c r="O51" s="168"/>
      <c r="P51" s="168"/>
      <c r="Q51" s="103" t="s">
        <v>1023</v>
      </c>
    </row>
    <row r="52" customFormat="false" ht="15" hidden="false" customHeight="true" outlineLevel="0" collapsed="false">
      <c r="A52" s="5"/>
      <c r="B52" s="5"/>
      <c r="C52" s="5"/>
      <c r="D52" s="5"/>
      <c r="E52" s="5"/>
      <c r="F52" s="5"/>
      <c r="G52" s="5"/>
      <c r="H52" s="5"/>
      <c r="I52" s="5"/>
      <c r="J52" s="5"/>
      <c r="K52" s="5"/>
      <c r="L52" s="5"/>
      <c r="M52" s="5"/>
      <c r="N52" s="5"/>
      <c r="O52" s="5"/>
      <c r="P52" s="5"/>
      <c r="Q52" s="5"/>
    </row>
    <row r="53" customFormat="false" ht="25.5" hidden="false" customHeight="true" outlineLevel="0" collapsed="false">
      <c r="A53" s="58" t="s">
        <v>1120</v>
      </c>
      <c r="B53" s="58"/>
      <c r="C53" s="58"/>
      <c r="D53" s="58"/>
      <c r="E53" s="58"/>
      <c r="F53" s="58"/>
      <c r="G53" s="58"/>
      <c r="H53" s="58"/>
      <c r="I53" s="58"/>
      <c r="J53" s="58"/>
      <c r="K53" s="58"/>
      <c r="L53" s="58"/>
      <c r="M53" s="58"/>
      <c r="N53" s="58"/>
      <c r="O53" s="58"/>
      <c r="P53" s="58"/>
      <c r="Q53" s="58"/>
    </row>
  </sheetData>
  <mergeCells count="26">
    <mergeCell ref="A1:Q1"/>
    <mergeCell ref="A2:Q2"/>
    <mergeCell ref="A3:Q3"/>
    <mergeCell ref="A4:Q4"/>
    <mergeCell ref="A6:Q6"/>
    <mergeCell ref="A17:C17"/>
    <mergeCell ref="A19:Q19"/>
    <mergeCell ref="A20:C20"/>
    <mergeCell ref="D20:G20"/>
    <mergeCell ref="I20:L20"/>
    <mergeCell ref="M20:Q23"/>
    <mergeCell ref="A21:C21"/>
    <mergeCell ref="D21:G21"/>
    <mergeCell ref="I21:L21"/>
    <mergeCell ref="M21:Q21"/>
    <mergeCell ref="A22:C22"/>
    <mergeCell ref="D22:G22"/>
    <mergeCell ref="I22:L22"/>
    <mergeCell ref="M22:Q22"/>
    <mergeCell ref="A23:C23"/>
    <mergeCell ref="D23:G23"/>
    <mergeCell ref="I23:L23"/>
    <mergeCell ref="M23:Q23"/>
    <mergeCell ref="A25:Q25"/>
    <mergeCell ref="A26:Q26"/>
    <mergeCell ref="A53:Q53"/>
  </mergeCells>
  <conditionalFormatting sqref="Q9:Q16">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C9:C16">
    <cfRule type="cellIs" priority="5" operator="equal" aboveAverage="0" equalAverage="0" bottom="0" percent="0" rank="0" text="" dxfId="0">
      <formula>"1"</formula>
    </cfRule>
  </conditionalFormatting>
  <conditionalFormatting sqref="I28:I51">
    <cfRule type="cellIs" priority="6" operator="equal" aboveAverage="0" equalAverage="0" bottom="0" percent="0" rank="0" text="" dxfId="0">
      <formula>"Low"</formula>
    </cfRule>
    <cfRule type="cellIs" priority="7" operator="equal" aboveAverage="0" equalAverage="0" bottom="0" percent="0" rank="0" text="" dxfId="1">
      <formula>"Medium"</formula>
    </cfRule>
    <cfRule type="cellIs" priority="8" operator="equal" aboveAverage="0" equalAverage="0" bottom="0" percent="0" rank="0" text="" dxfId="2">
      <formula>"High"</formula>
    </cfRule>
    <cfRule type="cellIs" priority="9" operator="equal" aboveAverage="0" equalAverage="0" bottom="0" percent="0" rank="0" text="" dxfId="2">
      <formula>"Critical"</formula>
    </cfRule>
  </conditionalFormatting>
  <conditionalFormatting sqref="Q28:Q51">
    <cfRule type="cellIs" priority="10" operator="equal" aboveAverage="0" equalAverage="0" bottom="0" percent="0" rank="0" text="" dxfId="0">
      <formula>"Closed"</formula>
    </cfRule>
    <cfRule type="cellIs" priority="11" operator="equal" aboveAverage="0" equalAverage="0" bottom="0" percent="0" rank="0" text="" dxfId="1">
      <formula>"Under Investigation"</formula>
    </cfRule>
    <cfRule type="cellIs" priority="12" operator="equal" aboveAverage="0" equalAverage="0" bottom="0" percent="0" rank="0" text="" dxfId="2">
      <formula>"Open"</formula>
    </cfRule>
  </conditionalFormatting>
  <conditionalFormatting sqref="C28:C51">
    <cfRule type="cellIs" priority="13" operator="equal" aboveAverage="0" equalAverage="0" bottom="0" percent="0" rank="0" text="" dxfId="0">
      <formula>"1"</formula>
    </cfRule>
  </conditionalFormatting>
  <dataValidations count="4">
    <dataValidation allowBlank="true" errorStyle="stop" operator="between" showDropDown="false" showErrorMessage="false" showInputMessage="false" sqref="A9:A16" type="list">
      <formula1>"RES-01,RES-02,COM-01,COM-02,MXU-01,MXU-02,LND-01,LND-02"</formula1>
      <formula2>0</formula2>
    </dataValidation>
    <dataValidation allowBlank="true" errorStyle="stop" operator="between" showDropDown="false" showErrorMessage="false" showInputMessage="false" sqref="Q28:Q51" type="list">
      <formula1>"Open,Under Investigation,Closed"</formula1>
      <formula2>0</formula2>
    </dataValidation>
    <dataValidation allowBlank="true" errorStyle="stop" operator="between" showDropDown="false" showErrorMessage="false" showInputMessage="false" sqref="I28:I51" type="list">
      <formula1>"Low,Medium,High,Critical"</formula1>
      <formula2>0</formula2>
    </dataValidation>
    <dataValidation allowBlank="true" errorStyle="stop" operator="between" showDropDown="false" showErrorMessage="false" showInputMessage="false" sqref="A28:A51"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A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4" min="4" style="1" width="12"/>
    <col collapsed="false" customWidth="true" hidden="false" outlineLevel="0" max="5" min="5" style="1" width="14"/>
    <col collapsed="false" customWidth="true" hidden="false" outlineLevel="0" max="7" min="6" style="1" width="40"/>
    <col collapsed="false" customWidth="true" hidden="false" outlineLevel="0" max="9" min="8" style="1" width="6"/>
    <col collapsed="false" customWidth="true" hidden="false" outlineLevel="0" max="10" min="10" style="1" width="7"/>
    <col collapsed="false" customWidth="true" hidden="false" outlineLevel="0" max="11" min="11" style="1" width="10"/>
    <col collapsed="false" customWidth="true" hidden="false" outlineLevel="0" max="12" min="12" style="1" width="14"/>
    <col collapsed="false" customWidth="true" hidden="false" outlineLevel="0" max="13" min="13" style="1" width="9"/>
    <col collapsed="false" customWidth="true" hidden="false" outlineLevel="0" max="14" min="14" style="1" width="7"/>
    <col collapsed="false" customWidth="true" hidden="false" outlineLevel="0" max="15" min="15" style="1" width="13"/>
    <col collapsed="false" customWidth="true" hidden="false" outlineLevel="0" max="16" min="16" style="1" width="9"/>
    <col collapsed="false" customWidth="true" hidden="false" outlineLevel="0" max="17" min="17" style="1" width="12"/>
    <col collapsed="false" customWidth="true" hidden="false" outlineLevel="0" max="18" min="18" style="1" width="44"/>
    <col collapsed="false" customWidth="true" hidden="false" outlineLevel="0" max="19" min="19" style="1" width="18"/>
    <col collapsed="false" customWidth="true" hidden="false" outlineLevel="0" max="20" min="20" style="1" width="10"/>
    <col collapsed="false" customWidth="true" hidden="false" outlineLevel="0" max="22" min="21" style="1" width="6"/>
    <col collapsed="false" customWidth="true" hidden="false" outlineLevel="0" max="23" min="23" style="1" width="8"/>
    <col collapsed="false" customWidth="true" hidden="false" outlineLevel="0" max="25" min="24" style="1" width="10"/>
    <col collapsed="false" customWidth="true" hidden="false" outlineLevel="0" max="26" min="26" style="1" width="9"/>
    <col collapsed="false" customWidth="true" hidden="false" outlineLevel="0" max="27" min="27" style="1" width="7"/>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c r="V1" s="2"/>
      <c r="W1" s="2"/>
      <c r="X1" s="2"/>
      <c r="Y1" s="2"/>
      <c r="Z1" s="2"/>
      <c r="AA1" s="2"/>
    </row>
    <row r="2" customFormat="false" ht="30" hidden="false" customHeight="true" outlineLevel="0" collapsed="false">
      <c r="A2" s="59" t="s">
        <v>1121</v>
      </c>
      <c r="B2" s="59"/>
      <c r="C2" s="59"/>
      <c r="D2" s="59"/>
      <c r="E2" s="59"/>
      <c r="F2" s="59"/>
      <c r="G2" s="59"/>
      <c r="H2" s="59"/>
      <c r="I2" s="59"/>
      <c r="J2" s="59"/>
      <c r="K2" s="59"/>
      <c r="L2" s="59"/>
      <c r="M2" s="59"/>
      <c r="N2" s="59"/>
      <c r="O2" s="59"/>
      <c r="P2" s="59"/>
      <c r="Q2" s="59"/>
      <c r="R2" s="59"/>
      <c r="S2" s="59"/>
      <c r="T2" s="59"/>
      <c r="U2" s="59"/>
      <c r="V2" s="59"/>
      <c r="W2" s="59"/>
      <c r="X2" s="59"/>
      <c r="Y2" s="59"/>
      <c r="Z2" s="59"/>
      <c r="AA2" s="59"/>
    </row>
    <row r="3" customFormat="false" ht="16.5" hidden="false" customHeight="true" outlineLevel="0" collapsed="false">
      <c r="A3" s="60" t="s">
        <v>1122</v>
      </c>
      <c r="B3" s="60"/>
      <c r="C3" s="60"/>
      <c r="D3" s="60"/>
      <c r="E3" s="60"/>
      <c r="F3" s="60"/>
      <c r="G3" s="60"/>
      <c r="H3" s="60"/>
      <c r="I3" s="60"/>
      <c r="J3" s="60"/>
      <c r="K3" s="60"/>
      <c r="L3" s="60"/>
      <c r="M3" s="60"/>
      <c r="N3" s="60"/>
      <c r="O3" s="60"/>
      <c r="P3" s="60"/>
      <c r="Q3" s="60"/>
      <c r="R3" s="60"/>
      <c r="S3" s="60"/>
      <c r="T3" s="60"/>
      <c r="U3" s="60"/>
      <c r="V3" s="60"/>
      <c r="W3" s="60"/>
      <c r="X3" s="60"/>
      <c r="Y3" s="60"/>
      <c r="Z3" s="60"/>
      <c r="AA3" s="60"/>
    </row>
    <row r="4" customFormat="false" ht="15" hidden="false" customHeight="true" outlineLevel="0" collapsed="false">
      <c r="A4" s="61" t="s">
        <v>1123</v>
      </c>
      <c r="B4" s="61"/>
      <c r="C4" s="61"/>
      <c r="D4" s="61"/>
      <c r="E4" s="61"/>
      <c r="F4" s="61"/>
      <c r="G4" s="61"/>
      <c r="H4" s="61"/>
      <c r="I4" s="61"/>
      <c r="J4" s="61"/>
      <c r="K4" s="61"/>
      <c r="L4" s="61"/>
      <c r="M4" s="61"/>
      <c r="N4" s="61"/>
      <c r="O4" s="61"/>
      <c r="P4" s="61"/>
      <c r="Q4" s="61"/>
      <c r="R4" s="61"/>
      <c r="S4" s="61"/>
      <c r="T4" s="61"/>
      <c r="U4" s="61"/>
      <c r="V4" s="61"/>
      <c r="W4" s="61"/>
      <c r="X4" s="61"/>
      <c r="Y4" s="61"/>
      <c r="Z4" s="61"/>
      <c r="AA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c r="V5" s="5"/>
      <c r="W5" s="5"/>
      <c r="X5" s="5"/>
      <c r="Y5" s="5"/>
      <c r="Z5" s="5"/>
      <c r="AA5" s="5"/>
    </row>
    <row r="6" customFormat="false" ht="19.5" hidden="false" customHeight="true" outlineLevel="0" collapsed="false">
      <c r="A6" s="13" t="s">
        <v>1124</v>
      </c>
      <c r="B6" s="13"/>
      <c r="C6" s="13"/>
      <c r="D6" s="13"/>
      <c r="E6" s="13"/>
      <c r="F6" s="13"/>
      <c r="G6" s="13"/>
      <c r="H6" s="13"/>
      <c r="I6" s="13"/>
      <c r="J6" s="13"/>
      <c r="K6" s="13"/>
      <c r="L6" s="13"/>
      <c r="M6" s="13"/>
      <c r="N6" s="13"/>
      <c r="O6" s="13"/>
      <c r="P6" s="13"/>
      <c r="Q6" s="13"/>
      <c r="R6" s="13"/>
      <c r="S6" s="13"/>
      <c r="T6" s="13"/>
      <c r="U6" s="13"/>
      <c r="V6" s="13"/>
      <c r="W6" s="13"/>
      <c r="X6" s="13"/>
      <c r="Y6" s="13"/>
      <c r="Z6" s="13"/>
      <c r="AA6" s="13"/>
    </row>
    <row r="7" customFormat="false" ht="15" hidden="false" customHeight="true" outlineLevel="0" collapsed="false">
      <c r="A7" s="5"/>
      <c r="B7" s="5"/>
      <c r="C7" s="5"/>
      <c r="D7" s="5"/>
      <c r="E7" s="5"/>
      <c r="F7" s="5"/>
      <c r="G7" s="5"/>
      <c r="H7" s="5"/>
      <c r="I7" s="5"/>
      <c r="J7" s="5"/>
      <c r="K7" s="5"/>
      <c r="L7" s="5"/>
      <c r="M7" s="5"/>
      <c r="N7" s="5"/>
      <c r="O7" s="5"/>
      <c r="P7" s="5"/>
      <c r="Q7" s="5"/>
      <c r="R7" s="5"/>
      <c r="S7" s="5"/>
      <c r="T7" s="5"/>
      <c r="U7" s="5"/>
      <c r="V7" s="5"/>
      <c r="W7" s="5"/>
      <c r="X7" s="5"/>
      <c r="Y7" s="5"/>
      <c r="Z7" s="5"/>
      <c r="AA7" s="5"/>
    </row>
    <row r="8" customFormat="false" ht="43.5" hidden="false" customHeight="true" outlineLevel="0" collapsed="false">
      <c r="A8" s="23" t="s">
        <v>256</v>
      </c>
      <c r="B8" s="23" t="s">
        <v>5</v>
      </c>
      <c r="C8" s="23" t="s">
        <v>289</v>
      </c>
      <c r="D8" s="23" t="s">
        <v>1125</v>
      </c>
      <c r="E8" s="23" t="s">
        <v>655</v>
      </c>
      <c r="F8" s="23" t="s">
        <v>1126</v>
      </c>
      <c r="G8" s="23" t="s">
        <v>1127</v>
      </c>
      <c r="H8" s="23" t="s">
        <v>1128</v>
      </c>
      <c r="I8" s="23" t="s">
        <v>1129</v>
      </c>
      <c r="J8" s="23" t="s">
        <v>1130</v>
      </c>
      <c r="K8" s="23" t="s">
        <v>1131</v>
      </c>
      <c r="L8" s="23" t="s">
        <v>1132</v>
      </c>
      <c r="M8" s="23" t="s">
        <v>658</v>
      </c>
      <c r="N8" s="23" t="s">
        <v>1133</v>
      </c>
      <c r="O8" s="23" t="s">
        <v>1134</v>
      </c>
      <c r="P8" s="23" t="s">
        <v>1135</v>
      </c>
      <c r="Q8" s="23" t="s">
        <v>71</v>
      </c>
      <c r="R8" s="23" t="s">
        <v>1136</v>
      </c>
      <c r="S8" s="23" t="s">
        <v>70</v>
      </c>
      <c r="T8" s="23" t="s">
        <v>1137</v>
      </c>
      <c r="U8" s="23" t="s">
        <v>1138</v>
      </c>
      <c r="V8" s="23" t="s">
        <v>1139</v>
      </c>
      <c r="W8" s="23" t="s">
        <v>1140</v>
      </c>
      <c r="X8" s="23" t="s">
        <v>1141</v>
      </c>
      <c r="Y8" s="23" t="s">
        <v>78</v>
      </c>
      <c r="Z8" s="23" t="s">
        <v>1142</v>
      </c>
      <c r="AA8" s="23" t="s">
        <v>777</v>
      </c>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42" t="s">
        <v>669</v>
      </c>
      <c r="E9" s="30" t="s">
        <v>356</v>
      </c>
      <c r="F9" s="30" t="s">
        <v>1143</v>
      </c>
      <c r="G9" s="30" t="s">
        <v>1144</v>
      </c>
      <c r="H9" s="185" t="n">
        <f aca="false">'PT_RES-01'!$E$104</f>
        <v>4</v>
      </c>
      <c r="I9" s="185" t="n">
        <f aca="false">'PT_RES-01'!$F$104</f>
        <v>4</v>
      </c>
      <c r="J9" s="43" t="n">
        <f aca="false">$H9*$I9</f>
        <v>16</v>
      </c>
      <c r="K9" s="46" t="str">
        <f aca="false">IF($J9&gt;=15,"Critical",IF($J9&gt;=10,"High",IF($J9&gt;=5,"Medium","Low")))</f>
        <v>Critical</v>
      </c>
      <c r="L9" s="86" t="n">
        <f aca="false">'PT_RES-01'!$H$104</f>
        <v>3335176</v>
      </c>
      <c r="M9" s="92" t="n">
        <v>45</v>
      </c>
      <c r="N9" s="87" t="n">
        <f aca="false">($H9*2-1)/10</f>
        <v>0.7</v>
      </c>
      <c r="O9" s="31" t="n">
        <f aca="false">$N9*$L9</f>
        <v>2334623.2</v>
      </c>
      <c r="P9" s="44" t="n">
        <f aca="false">$N9*$M9</f>
        <v>31.5</v>
      </c>
      <c r="Q9" s="93" t="s">
        <v>1145</v>
      </c>
      <c r="R9" s="30" t="s">
        <v>1146</v>
      </c>
      <c r="S9" s="30" t="s">
        <v>1147</v>
      </c>
      <c r="T9" s="169" t="n">
        <v>46295</v>
      </c>
      <c r="U9" s="84" t="n">
        <v>3</v>
      </c>
      <c r="V9" s="84" t="n">
        <v>3</v>
      </c>
      <c r="W9" s="43" t="n">
        <f aca="false">$U9*$V9</f>
        <v>9</v>
      </c>
      <c r="X9" s="46" t="str">
        <f aca="false">IF($W9&gt;=15,"Critical",IF($W9&gt;=10,"High",IF($W9&gt;=5,"Medium","Low")))</f>
        <v>Medium</v>
      </c>
      <c r="Y9" s="93" t="s">
        <v>1023</v>
      </c>
      <c r="Z9" s="174" t="n">
        <f aca="false">$C9*($O9+ROW()/1000000)</f>
        <v>2334623.200009</v>
      </c>
      <c r="AA9" s="94" t="n">
        <f aca="false">RANK($Z9,$Z$9:$Z$120)</f>
        <v>8</v>
      </c>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47" t="s">
        <v>676</v>
      </c>
      <c r="E10" s="37" t="s">
        <v>1148</v>
      </c>
      <c r="F10" s="37" t="s">
        <v>1149</v>
      </c>
      <c r="G10" s="37" t="s">
        <v>1150</v>
      </c>
      <c r="H10" s="97" t="n">
        <f aca="false">'PT_RES-01'!$E$105</f>
        <v>4</v>
      </c>
      <c r="I10" s="97" t="n">
        <f aca="false">'PT_RES-01'!$F$105</f>
        <v>4</v>
      </c>
      <c r="J10" s="48" t="n">
        <f aca="false">$H10*$I10</f>
        <v>16</v>
      </c>
      <c r="K10" s="52" t="str">
        <f aca="false">IF($J10&gt;=15,"Critical",IF($J10&gt;=10,"High",IF($J10&gt;=5,"Medium","Low")))</f>
        <v>Critical</v>
      </c>
      <c r="L10" s="99" t="n">
        <f aca="false">'PT_RES-01'!$H$105</f>
        <v>2720801</v>
      </c>
      <c r="M10" s="99" t="n">
        <v>60</v>
      </c>
      <c r="N10" s="100" t="n">
        <f aca="false">($H10*2-1)/10</f>
        <v>0.7</v>
      </c>
      <c r="O10" s="49" t="n">
        <f aca="false">$N10*$L10</f>
        <v>1904560.7</v>
      </c>
      <c r="P10" s="50" t="n">
        <f aca="false">$N10*$M10</f>
        <v>42</v>
      </c>
      <c r="Q10" s="103" t="s">
        <v>1145</v>
      </c>
      <c r="R10" s="37" t="s">
        <v>1151</v>
      </c>
      <c r="S10" s="37" t="s">
        <v>1152</v>
      </c>
      <c r="T10" s="96" t="n">
        <v>46305</v>
      </c>
      <c r="U10" s="97" t="n">
        <v>3</v>
      </c>
      <c r="V10" s="97" t="n">
        <v>3</v>
      </c>
      <c r="W10" s="48" t="n">
        <f aca="false">$U10*$V10</f>
        <v>9</v>
      </c>
      <c r="X10" s="52" t="str">
        <f aca="false">IF($W10&gt;=15,"Critical",IF($W10&gt;=10,"High",IF($W10&gt;=5,"Medium","Low")))</f>
        <v>Medium</v>
      </c>
      <c r="Y10" s="103" t="s">
        <v>1023</v>
      </c>
      <c r="Z10" s="175" t="n">
        <f aca="false">$C10*($O10+ROW()/1000000)</f>
        <v>1904560.70001</v>
      </c>
      <c r="AA10" s="155" t="n">
        <f aca="false">RANK($Z10,$Z$9:$Z$120)</f>
        <v>11</v>
      </c>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42" t="s">
        <v>682</v>
      </c>
      <c r="E11" s="30" t="s">
        <v>369</v>
      </c>
      <c r="F11" s="30" t="s">
        <v>1153</v>
      </c>
      <c r="G11" s="30" t="s">
        <v>1154</v>
      </c>
      <c r="H11" s="185" t="n">
        <f aca="false">'PT_RES-01'!$E$106</f>
        <v>3</v>
      </c>
      <c r="I11" s="185" t="n">
        <f aca="false">'PT_RES-01'!$F$106</f>
        <v>4</v>
      </c>
      <c r="J11" s="43" t="n">
        <f aca="false">$H11*$I11</f>
        <v>12</v>
      </c>
      <c r="K11" s="46" t="str">
        <f aca="false">IF($J11&gt;=15,"Critical",IF($J11&gt;=10,"High",IF($J11&gt;=5,"Medium","Low")))</f>
        <v>High</v>
      </c>
      <c r="L11" s="86" t="n">
        <f aca="false">'PT_RES-01'!$H$106</f>
        <v>1930891</v>
      </c>
      <c r="M11" s="92" t="n">
        <v>0</v>
      </c>
      <c r="N11" s="87" t="n">
        <f aca="false">($H11*2-1)/10</f>
        <v>0.5</v>
      </c>
      <c r="O11" s="31" t="n">
        <f aca="false">$N11*$L11</f>
        <v>965445.5</v>
      </c>
      <c r="P11" s="44" t="n">
        <f aca="false">$N11*$M11</f>
        <v>0</v>
      </c>
      <c r="Q11" s="93" t="s">
        <v>1145</v>
      </c>
      <c r="R11" s="30" t="s">
        <v>1155</v>
      </c>
      <c r="S11" s="30" t="s">
        <v>667</v>
      </c>
      <c r="T11" s="169" t="n">
        <v>46315</v>
      </c>
      <c r="U11" s="84" t="n">
        <v>2</v>
      </c>
      <c r="V11" s="84" t="n">
        <v>3</v>
      </c>
      <c r="W11" s="43" t="n">
        <f aca="false">$U11*$V11</f>
        <v>6</v>
      </c>
      <c r="X11" s="46" t="str">
        <f aca="false">IF($W11&gt;=15,"Critical",IF($W11&gt;=10,"High",IF($W11&gt;=5,"Medium","Low")))</f>
        <v>Medium</v>
      </c>
      <c r="Y11" s="93" t="s">
        <v>1023</v>
      </c>
      <c r="Z11" s="174" t="n">
        <f aca="false">$C11*($O11+ROW()/1000000)</f>
        <v>965445.500011</v>
      </c>
      <c r="AA11" s="94" t="n">
        <f aca="false">RANK($Z11,$Z$9:$Z$120)</f>
        <v>25</v>
      </c>
    </row>
    <row r="12" customFormat="false" ht="13.5" hidden="false" customHeight="true" outlineLevel="0" collapsed="false">
      <c r="A12" s="47" t="s">
        <v>8</v>
      </c>
      <c r="B12" s="154" t="str">
        <f aca="false">IFERROR(INDEX(Projects!$C$9:$C$16,MATCH($A12,Projects!$A$9:$A$16,0)),"")</f>
        <v>Residential</v>
      </c>
      <c r="C12" s="155" t="n">
        <f aca="false">IF(Dashboard!$C$6="Corporate",1,IF(Dashboard!$C$6="Project",IF($A12=Dashboard!$M$6,1,0),IF($B12=Dashboard!$H$6,1,0)))</f>
        <v>1</v>
      </c>
      <c r="D12" s="47" t="s">
        <v>1156</v>
      </c>
      <c r="E12" s="37" t="s">
        <v>381</v>
      </c>
      <c r="F12" s="37" t="s">
        <v>1157</v>
      </c>
      <c r="G12" s="37" t="s">
        <v>1158</v>
      </c>
      <c r="H12" s="97" t="n">
        <f aca="false">'PT_RES-01'!$E$107</f>
        <v>4</v>
      </c>
      <c r="I12" s="97" t="n">
        <f aca="false">'PT_RES-01'!$F$107</f>
        <v>3</v>
      </c>
      <c r="J12" s="48" t="n">
        <f aca="false">$H12*$I12</f>
        <v>12</v>
      </c>
      <c r="K12" s="52" t="str">
        <f aca="false">IF($J12&gt;=15,"Critical",IF($J12&gt;=10,"High",IF($J12&gt;=5,"Medium","Low")))</f>
        <v>High</v>
      </c>
      <c r="L12" s="99" t="n">
        <f aca="false">'PT_RES-01'!$H$107</f>
        <v>2194195</v>
      </c>
      <c r="M12" s="99" t="n">
        <v>40</v>
      </c>
      <c r="N12" s="100" t="n">
        <f aca="false">($H12*2-1)/10</f>
        <v>0.7</v>
      </c>
      <c r="O12" s="49" t="n">
        <f aca="false">$N12*$L12</f>
        <v>1535936.5</v>
      </c>
      <c r="P12" s="50" t="n">
        <f aca="false">$N12*$M12</f>
        <v>28</v>
      </c>
      <c r="Q12" s="103" t="s">
        <v>1145</v>
      </c>
      <c r="R12" s="37" t="s">
        <v>1159</v>
      </c>
      <c r="S12" s="37" t="s">
        <v>1160</v>
      </c>
      <c r="T12" s="96" t="n">
        <v>46325</v>
      </c>
      <c r="U12" s="97" t="n">
        <v>3</v>
      </c>
      <c r="V12" s="97" t="n">
        <v>2</v>
      </c>
      <c r="W12" s="48" t="n">
        <f aca="false">$U12*$V12</f>
        <v>6</v>
      </c>
      <c r="X12" s="52" t="str">
        <f aca="false">IF($W12&gt;=15,"Critical",IF($W12&gt;=10,"High",IF($W12&gt;=5,"Medium","Low")))</f>
        <v>Medium</v>
      </c>
      <c r="Y12" s="103" t="s">
        <v>1161</v>
      </c>
      <c r="Z12" s="175" t="n">
        <f aca="false">$C12*($O12+ROW()/1000000)</f>
        <v>1535936.500012</v>
      </c>
      <c r="AA12" s="155" t="n">
        <f aca="false">RANK($Z12,$Z$9:$Z$120)</f>
        <v>17</v>
      </c>
    </row>
    <row r="13" customFormat="false" ht="13.5" hidden="false" customHeight="true" outlineLevel="0" collapsed="false">
      <c r="A13" s="149" t="s">
        <v>293</v>
      </c>
      <c r="B13" s="150" t="str">
        <f aca="false">IFERROR(INDEX(Projects!$C$9:$C$16,MATCH($A13,Projects!$A$9:$A$16,0)),"")</f>
        <v>Residential</v>
      </c>
      <c r="C13" s="94" t="n">
        <f aca="false">IF(Dashboard!$C$6="Corporate",1,IF(Dashboard!$C$6="Project",IF($A13=Dashboard!$M$6,1,0),IF($B13=Dashboard!$H$6,1,0)))</f>
        <v>1</v>
      </c>
      <c r="D13" s="42" t="s">
        <v>685</v>
      </c>
      <c r="E13" s="30" t="s">
        <v>356</v>
      </c>
      <c r="F13" s="30" t="s">
        <v>1143</v>
      </c>
      <c r="G13" s="30" t="s">
        <v>1144</v>
      </c>
      <c r="H13" s="185" t="n">
        <f aca="false">'PT_RES-02'!$E$104</f>
        <v>4</v>
      </c>
      <c r="I13" s="185" t="n">
        <f aca="false">'PT_RES-02'!$F$104</f>
        <v>4</v>
      </c>
      <c r="J13" s="43" t="n">
        <f aca="false">$H13*$I13</f>
        <v>16</v>
      </c>
      <c r="K13" s="46" t="str">
        <f aca="false">IF($J13&gt;=15,"Critical",IF($J13&gt;=10,"High",IF($J13&gt;=5,"Medium","Low")))</f>
        <v>Critical</v>
      </c>
      <c r="L13" s="86" t="n">
        <f aca="false">'PT_RES-02'!$H$104</f>
        <v>1653671</v>
      </c>
      <c r="M13" s="92" t="n">
        <v>45</v>
      </c>
      <c r="N13" s="87" t="n">
        <f aca="false">($H13*2-1)/10</f>
        <v>0.7</v>
      </c>
      <c r="O13" s="31" t="n">
        <f aca="false">$N13*$L13</f>
        <v>1157569.7</v>
      </c>
      <c r="P13" s="44" t="n">
        <f aca="false">$N13*$M13</f>
        <v>31.5</v>
      </c>
      <c r="Q13" s="93" t="s">
        <v>1145</v>
      </c>
      <c r="R13" s="30" t="s">
        <v>1146</v>
      </c>
      <c r="S13" s="30" t="s">
        <v>1147</v>
      </c>
      <c r="T13" s="169" t="n">
        <v>46295</v>
      </c>
      <c r="U13" s="84" t="n">
        <v>3</v>
      </c>
      <c r="V13" s="84" t="n">
        <v>3</v>
      </c>
      <c r="W13" s="43" t="n">
        <f aca="false">$U13*$V13</f>
        <v>9</v>
      </c>
      <c r="X13" s="46" t="str">
        <f aca="false">IF($W13&gt;=15,"Critical",IF($W13&gt;=10,"High",IF($W13&gt;=5,"Medium","Low")))</f>
        <v>Medium</v>
      </c>
      <c r="Y13" s="93" t="s">
        <v>1023</v>
      </c>
      <c r="Z13" s="174" t="n">
        <f aca="false">$C13*($O13+ROW()/1000000)</f>
        <v>1157569.700013</v>
      </c>
      <c r="AA13" s="94" t="n">
        <f aca="false">RANK($Z13,$Z$9:$Z$120)</f>
        <v>22</v>
      </c>
    </row>
    <row r="14" customFormat="false" ht="13.5" hidden="false" customHeight="true" outlineLevel="0" collapsed="false">
      <c r="A14" s="47" t="s">
        <v>293</v>
      </c>
      <c r="B14" s="154" t="str">
        <f aca="false">IFERROR(INDEX(Projects!$C$9:$C$16,MATCH($A14,Projects!$A$9:$A$16,0)),"")</f>
        <v>Residential</v>
      </c>
      <c r="C14" s="155" t="n">
        <f aca="false">IF(Dashboard!$C$6="Corporate",1,IF(Dashboard!$C$6="Project",IF($A14=Dashboard!$M$6,1,0),IF($B14=Dashboard!$H$6,1,0)))</f>
        <v>1</v>
      </c>
      <c r="D14" s="47" t="s">
        <v>688</v>
      </c>
      <c r="E14" s="37" t="s">
        <v>1148</v>
      </c>
      <c r="F14" s="37" t="s">
        <v>1149</v>
      </c>
      <c r="G14" s="37" t="s">
        <v>1150</v>
      </c>
      <c r="H14" s="97" t="n">
        <f aca="false">'PT_RES-02'!$E$105</f>
        <v>4</v>
      </c>
      <c r="I14" s="97" t="n">
        <f aca="false">'PT_RES-02'!$F$105</f>
        <v>4</v>
      </c>
      <c r="J14" s="48" t="n">
        <f aca="false">$H14*$I14</f>
        <v>16</v>
      </c>
      <c r="K14" s="52" t="str">
        <f aca="false">IF($J14&gt;=15,"Critical",IF($J14&gt;=10,"High",IF($J14&gt;=5,"Medium","Low")))</f>
        <v>Critical</v>
      </c>
      <c r="L14" s="99" t="n">
        <f aca="false">'PT_RES-02'!$H$105</f>
        <v>1349047</v>
      </c>
      <c r="M14" s="99" t="n">
        <v>60</v>
      </c>
      <c r="N14" s="100" t="n">
        <f aca="false">($H14*2-1)/10</f>
        <v>0.7</v>
      </c>
      <c r="O14" s="49" t="n">
        <f aca="false">$N14*$L14</f>
        <v>944332.9</v>
      </c>
      <c r="P14" s="50" t="n">
        <f aca="false">$N14*$M14</f>
        <v>42</v>
      </c>
      <c r="Q14" s="103" t="s">
        <v>1145</v>
      </c>
      <c r="R14" s="37" t="s">
        <v>1151</v>
      </c>
      <c r="S14" s="37" t="s">
        <v>1152</v>
      </c>
      <c r="T14" s="96" t="n">
        <v>46305</v>
      </c>
      <c r="U14" s="97" t="n">
        <v>3</v>
      </c>
      <c r="V14" s="97" t="n">
        <v>3</v>
      </c>
      <c r="W14" s="48" t="n">
        <f aca="false">$U14*$V14</f>
        <v>9</v>
      </c>
      <c r="X14" s="52" t="str">
        <f aca="false">IF($W14&gt;=15,"Critical",IF($W14&gt;=10,"High",IF($W14&gt;=5,"Medium","Low")))</f>
        <v>Medium</v>
      </c>
      <c r="Y14" s="103" t="s">
        <v>1023</v>
      </c>
      <c r="Z14" s="175" t="n">
        <f aca="false">$C14*($O14+ROW()/1000000)</f>
        <v>944332.900014</v>
      </c>
      <c r="AA14" s="155" t="n">
        <f aca="false">RANK($Z14,$Z$9:$Z$120)</f>
        <v>26</v>
      </c>
    </row>
    <row r="15" customFormat="false" ht="13.5" hidden="false" customHeight="true" outlineLevel="0" collapsed="false">
      <c r="A15" s="149" t="s">
        <v>293</v>
      </c>
      <c r="B15" s="150" t="str">
        <f aca="false">IFERROR(INDEX(Projects!$C$9:$C$16,MATCH($A15,Projects!$A$9:$A$16,0)),"")</f>
        <v>Residential</v>
      </c>
      <c r="C15" s="94" t="n">
        <f aca="false">IF(Dashboard!$C$6="Corporate",1,IF(Dashboard!$C$6="Project",IF($A15=Dashboard!$M$6,1,0),IF($B15=Dashboard!$H$6,1,0)))</f>
        <v>1</v>
      </c>
      <c r="D15" s="42" t="s">
        <v>691</v>
      </c>
      <c r="E15" s="30" t="s">
        <v>369</v>
      </c>
      <c r="F15" s="30" t="s">
        <v>1153</v>
      </c>
      <c r="G15" s="30" t="s">
        <v>1154</v>
      </c>
      <c r="H15" s="185" t="n">
        <f aca="false">'PT_RES-02'!$E$106</f>
        <v>3</v>
      </c>
      <c r="I15" s="185" t="n">
        <f aca="false">'PT_RES-02'!$F$106</f>
        <v>4</v>
      </c>
      <c r="J15" s="43" t="n">
        <f aca="false">$H15*$I15</f>
        <v>12</v>
      </c>
      <c r="K15" s="46" t="str">
        <f aca="false">IF($J15&gt;=15,"Critical",IF($J15&gt;=10,"High",IF($J15&gt;=5,"Medium","Low")))</f>
        <v>High</v>
      </c>
      <c r="L15" s="86" t="n">
        <f aca="false">'PT_RES-02'!$H$106</f>
        <v>957388</v>
      </c>
      <c r="M15" s="92" t="n">
        <v>0</v>
      </c>
      <c r="N15" s="87" t="n">
        <f aca="false">($H15*2-1)/10</f>
        <v>0.5</v>
      </c>
      <c r="O15" s="31" t="n">
        <f aca="false">$N15*$L15</f>
        <v>478694</v>
      </c>
      <c r="P15" s="44" t="n">
        <f aca="false">$N15*$M15</f>
        <v>0</v>
      </c>
      <c r="Q15" s="93" t="s">
        <v>1145</v>
      </c>
      <c r="R15" s="30" t="s">
        <v>1155</v>
      </c>
      <c r="S15" s="30" t="s">
        <v>667</v>
      </c>
      <c r="T15" s="169" t="n">
        <v>46315</v>
      </c>
      <c r="U15" s="84" t="n">
        <v>2</v>
      </c>
      <c r="V15" s="84" t="n">
        <v>3</v>
      </c>
      <c r="W15" s="43" t="n">
        <f aca="false">$U15*$V15</f>
        <v>6</v>
      </c>
      <c r="X15" s="46" t="str">
        <f aca="false">IF($W15&gt;=15,"Critical",IF($W15&gt;=10,"High",IF($W15&gt;=5,"Medium","Low")))</f>
        <v>Medium</v>
      </c>
      <c r="Y15" s="93" t="s">
        <v>1023</v>
      </c>
      <c r="Z15" s="174" t="n">
        <f aca="false">$C15*($O15+ROW()/1000000)</f>
        <v>478694.000015</v>
      </c>
      <c r="AA15" s="94" t="n">
        <f aca="false">RANK($Z15,$Z$9:$Z$120)</f>
        <v>32</v>
      </c>
    </row>
    <row r="16" customFormat="false" ht="13.5" hidden="false" customHeight="true" outlineLevel="0" collapsed="false">
      <c r="A16" s="47" t="s">
        <v>293</v>
      </c>
      <c r="B16" s="154" t="str">
        <f aca="false">IFERROR(INDEX(Projects!$C$9:$C$16,MATCH($A16,Projects!$A$9:$A$16,0)),"")</f>
        <v>Residential</v>
      </c>
      <c r="C16" s="155" t="n">
        <f aca="false">IF(Dashboard!$C$6="Corporate",1,IF(Dashboard!$C$6="Project",IF($A16=Dashboard!$M$6,1,0),IF($B16=Dashboard!$H$6,1,0)))</f>
        <v>1</v>
      </c>
      <c r="D16" s="47" t="s">
        <v>1162</v>
      </c>
      <c r="E16" s="37" t="s">
        <v>381</v>
      </c>
      <c r="F16" s="37" t="s">
        <v>1157</v>
      </c>
      <c r="G16" s="37" t="s">
        <v>1158</v>
      </c>
      <c r="H16" s="97" t="n">
        <f aca="false">'PT_RES-02'!$E$107</f>
        <v>4</v>
      </c>
      <c r="I16" s="97" t="n">
        <f aca="false">'PT_RES-02'!$F$107</f>
        <v>3</v>
      </c>
      <c r="J16" s="48" t="n">
        <f aca="false">$H16*$I16</f>
        <v>12</v>
      </c>
      <c r="K16" s="52" t="str">
        <f aca="false">IF($J16&gt;=15,"Critical",IF($J16&gt;=10,"High",IF($J16&gt;=5,"Medium","Low")))</f>
        <v>High</v>
      </c>
      <c r="L16" s="99" t="n">
        <f aca="false">'PT_RES-02'!$H$107</f>
        <v>1087941</v>
      </c>
      <c r="M16" s="99" t="n">
        <v>40</v>
      </c>
      <c r="N16" s="100" t="n">
        <f aca="false">($H16*2-1)/10</f>
        <v>0.7</v>
      </c>
      <c r="O16" s="49" t="n">
        <f aca="false">$N16*$L16</f>
        <v>761558.7</v>
      </c>
      <c r="P16" s="50" t="n">
        <f aca="false">$N16*$M16</f>
        <v>28</v>
      </c>
      <c r="Q16" s="103" t="s">
        <v>1145</v>
      </c>
      <c r="R16" s="37" t="s">
        <v>1159</v>
      </c>
      <c r="S16" s="37" t="s">
        <v>1160</v>
      </c>
      <c r="T16" s="96" t="n">
        <v>46325</v>
      </c>
      <c r="U16" s="97" t="n">
        <v>3</v>
      </c>
      <c r="V16" s="97" t="n">
        <v>2</v>
      </c>
      <c r="W16" s="48" t="n">
        <f aca="false">$U16*$V16</f>
        <v>6</v>
      </c>
      <c r="X16" s="52" t="str">
        <f aca="false">IF($W16&gt;=15,"Critical",IF($W16&gt;=10,"High",IF($W16&gt;=5,"Medium","Low")))</f>
        <v>Medium</v>
      </c>
      <c r="Y16" s="103" t="s">
        <v>1161</v>
      </c>
      <c r="Z16" s="175" t="n">
        <f aca="false">$C16*($O16+ROW()/1000000)</f>
        <v>761558.700016</v>
      </c>
      <c r="AA16" s="155" t="n">
        <f aca="false">RANK($Z16,$Z$9:$Z$120)</f>
        <v>28</v>
      </c>
    </row>
    <row r="17" customFormat="false" ht="13.5" hidden="false" customHeight="true" outlineLevel="0" collapsed="false">
      <c r="A17" s="149" t="s">
        <v>296</v>
      </c>
      <c r="B17" s="150" t="str">
        <f aca="false">IFERROR(INDEX(Projects!$C$9:$C$16,MATCH($A17,Projects!$A$9:$A$16,0)),"")</f>
        <v>Commercial</v>
      </c>
      <c r="C17" s="94" t="n">
        <f aca="false">IF(Dashboard!$C$6="Corporate",1,IF(Dashboard!$C$6="Project",IF($A17=Dashboard!$M$6,1,0),IF($B17=Dashboard!$H$6,1,0)))</f>
        <v>1</v>
      </c>
      <c r="D17" s="42" t="s">
        <v>694</v>
      </c>
      <c r="E17" s="30" t="s">
        <v>356</v>
      </c>
      <c r="F17" s="30" t="s">
        <v>1143</v>
      </c>
      <c r="G17" s="30" t="s">
        <v>1144</v>
      </c>
      <c r="H17" s="185" t="n">
        <f aca="false">'PT_COM-01'!$E$104</f>
        <v>3</v>
      </c>
      <c r="I17" s="185" t="n">
        <f aca="false">'PT_COM-01'!$F$104</f>
        <v>4</v>
      </c>
      <c r="J17" s="43" t="n">
        <f aca="false">$H17*$I17</f>
        <v>12</v>
      </c>
      <c r="K17" s="46" t="str">
        <f aca="false">IF($J17&gt;=15,"Critical",IF($J17&gt;=10,"High",IF($J17&gt;=5,"Medium","Low")))</f>
        <v>High</v>
      </c>
      <c r="L17" s="86" t="n">
        <f aca="false">'PT_COM-01'!$H$104</f>
        <v>7245970</v>
      </c>
      <c r="M17" s="92" t="n">
        <v>45</v>
      </c>
      <c r="N17" s="87" t="n">
        <f aca="false">($H17*2-1)/10</f>
        <v>0.5</v>
      </c>
      <c r="O17" s="31" t="n">
        <f aca="false">$N17*$L17</f>
        <v>3622985</v>
      </c>
      <c r="P17" s="44" t="n">
        <f aca="false">$N17*$M17</f>
        <v>22.5</v>
      </c>
      <c r="Q17" s="93" t="s">
        <v>1145</v>
      </c>
      <c r="R17" s="30" t="s">
        <v>1146</v>
      </c>
      <c r="S17" s="30" t="s">
        <v>1147</v>
      </c>
      <c r="T17" s="169" t="n">
        <v>46295</v>
      </c>
      <c r="U17" s="84" t="n">
        <v>2</v>
      </c>
      <c r="V17" s="84" t="n">
        <v>3</v>
      </c>
      <c r="W17" s="43" t="n">
        <f aca="false">$U17*$V17</f>
        <v>6</v>
      </c>
      <c r="X17" s="46" t="str">
        <f aca="false">IF($W17&gt;=15,"Critical",IF($W17&gt;=10,"High",IF($W17&gt;=5,"Medium","Low")))</f>
        <v>Medium</v>
      </c>
      <c r="Y17" s="93" t="s">
        <v>1023</v>
      </c>
      <c r="Z17" s="174" t="n">
        <f aca="false">$C17*($O17+ROW()/1000000)</f>
        <v>3622985.000017</v>
      </c>
      <c r="AA17" s="94" t="n">
        <f aca="false">RANK($Z17,$Z$9:$Z$120)</f>
        <v>3</v>
      </c>
    </row>
    <row r="18" customFormat="false" ht="13.5" hidden="false" customHeight="true" outlineLevel="0" collapsed="false">
      <c r="A18" s="47" t="s">
        <v>296</v>
      </c>
      <c r="B18" s="154" t="str">
        <f aca="false">IFERROR(INDEX(Projects!$C$9:$C$16,MATCH($A18,Projects!$A$9:$A$16,0)),"")</f>
        <v>Commercial</v>
      </c>
      <c r="C18" s="155" t="n">
        <f aca="false">IF(Dashboard!$C$6="Corporate",1,IF(Dashboard!$C$6="Project",IF($A18=Dashboard!$M$6,1,0),IF($B18=Dashboard!$H$6,1,0)))</f>
        <v>1</v>
      </c>
      <c r="D18" s="47" t="s">
        <v>697</v>
      </c>
      <c r="E18" s="37" t="s">
        <v>1148</v>
      </c>
      <c r="F18" s="37" t="s">
        <v>1149</v>
      </c>
      <c r="G18" s="37" t="s">
        <v>1150</v>
      </c>
      <c r="H18" s="97" t="n">
        <f aca="false">'PT_COM-01'!$E$105</f>
        <v>3</v>
      </c>
      <c r="I18" s="97" t="n">
        <f aca="false">'PT_COM-01'!$F$105</f>
        <v>4</v>
      </c>
      <c r="J18" s="48" t="n">
        <f aca="false">$H18*$I18</f>
        <v>12</v>
      </c>
      <c r="K18" s="52" t="str">
        <f aca="false">IF($J18&gt;=15,"Critical",IF($J18&gt;=10,"High",IF($J18&gt;=5,"Medium","Low")))</f>
        <v>High</v>
      </c>
      <c r="L18" s="99" t="n">
        <f aca="false">'PT_COM-01'!$H$105</f>
        <v>5911186</v>
      </c>
      <c r="M18" s="99" t="n">
        <v>60</v>
      </c>
      <c r="N18" s="100" t="n">
        <f aca="false">($H18*2-1)/10</f>
        <v>0.5</v>
      </c>
      <c r="O18" s="49" t="n">
        <f aca="false">$N18*$L18</f>
        <v>2955593</v>
      </c>
      <c r="P18" s="50" t="n">
        <f aca="false">$N18*$M18</f>
        <v>30</v>
      </c>
      <c r="Q18" s="103" t="s">
        <v>1145</v>
      </c>
      <c r="R18" s="37" t="s">
        <v>1151</v>
      </c>
      <c r="S18" s="37" t="s">
        <v>1152</v>
      </c>
      <c r="T18" s="96" t="n">
        <v>46305</v>
      </c>
      <c r="U18" s="97" t="n">
        <v>2</v>
      </c>
      <c r="V18" s="97" t="n">
        <v>3</v>
      </c>
      <c r="W18" s="48" t="n">
        <f aca="false">$U18*$V18</f>
        <v>6</v>
      </c>
      <c r="X18" s="52" t="str">
        <f aca="false">IF($W18&gt;=15,"Critical",IF($W18&gt;=10,"High",IF($W18&gt;=5,"Medium","Low")))</f>
        <v>Medium</v>
      </c>
      <c r="Y18" s="103" t="s">
        <v>1023</v>
      </c>
      <c r="Z18" s="175" t="n">
        <f aca="false">$C18*($O18+ROW()/1000000)</f>
        <v>2955593.000018</v>
      </c>
      <c r="AA18" s="155" t="n">
        <f aca="false">RANK($Z18,$Z$9:$Z$120)</f>
        <v>4</v>
      </c>
    </row>
    <row r="19" customFormat="false" ht="13.5" hidden="false" customHeight="true" outlineLevel="0" collapsed="false">
      <c r="A19" s="149" t="s">
        <v>296</v>
      </c>
      <c r="B19" s="150" t="str">
        <f aca="false">IFERROR(INDEX(Projects!$C$9:$C$16,MATCH($A19,Projects!$A$9:$A$16,0)),"")</f>
        <v>Commercial</v>
      </c>
      <c r="C19" s="94" t="n">
        <f aca="false">IF(Dashboard!$C$6="Corporate",1,IF(Dashboard!$C$6="Project",IF($A19=Dashboard!$M$6,1,0),IF($B19=Dashboard!$H$6,1,0)))</f>
        <v>1</v>
      </c>
      <c r="D19" s="42" t="s">
        <v>700</v>
      </c>
      <c r="E19" s="30" t="s">
        <v>369</v>
      </c>
      <c r="F19" s="30" t="s">
        <v>1153</v>
      </c>
      <c r="G19" s="30" t="s">
        <v>1154</v>
      </c>
      <c r="H19" s="185" t="n">
        <f aca="false">'PT_COM-01'!$E$106</f>
        <v>2</v>
      </c>
      <c r="I19" s="185" t="n">
        <f aca="false">'PT_COM-01'!$F$106</f>
        <v>4</v>
      </c>
      <c r="J19" s="43" t="n">
        <f aca="false">$H19*$I19</f>
        <v>8</v>
      </c>
      <c r="K19" s="46" t="str">
        <f aca="false">IF($J19&gt;=15,"Critical",IF($J19&gt;=10,"High",IF($J19&gt;=5,"Medium","Low")))</f>
        <v>Medium</v>
      </c>
      <c r="L19" s="86" t="n">
        <f aca="false">'PT_COM-01'!$H$106</f>
        <v>4195035</v>
      </c>
      <c r="M19" s="92" t="n">
        <v>0</v>
      </c>
      <c r="N19" s="87" t="n">
        <f aca="false">($H19*2-1)/10</f>
        <v>0.3</v>
      </c>
      <c r="O19" s="31" t="n">
        <f aca="false">$N19*$L19</f>
        <v>1258510.5</v>
      </c>
      <c r="P19" s="44" t="n">
        <f aca="false">$N19*$M19</f>
        <v>0</v>
      </c>
      <c r="Q19" s="93" t="s">
        <v>1145</v>
      </c>
      <c r="R19" s="30" t="s">
        <v>1155</v>
      </c>
      <c r="S19" s="30" t="s">
        <v>667</v>
      </c>
      <c r="T19" s="169" t="n">
        <v>46315</v>
      </c>
      <c r="U19" s="84" t="n">
        <v>1</v>
      </c>
      <c r="V19" s="84" t="n">
        <v>3</v>
      </c>
      <c r="W19" s="43" t="n">
        <f aca="false">$U19*$V19</f>
        <v>3</v>
      </c>
      <c r="X19" s="46" t="str">
        <f aca="false">IF($W19&gt;=15,"Critical",IF($W19&gt;=10,"High",IF($W19&gt;=5,"Medium","Low")))</f>
        <v>Low</v>
      </c>
      <c r="Y19" s="93" t="s">
        <v>1023</v>
      </c>
      <c r="Z19" s="174" t="n">
        <f aca="false">$C19*($O19+ROW()/1000000)</f>
        <v>1258510.500019</v>
      </c>
      <c r="AA19" s="94" t="n">
        <f aca="false">RANK($Z19,$Z$9:$Z$120)</f>
        <v>21</v>
      </c>
    </row>
    <row r="20" customFormat="false" ht="13.5" hidden="false" customHeight="true" outlineLevel="0" collapsed="false">
      <c r="A20" s="47" t="s">
        <v>296</v>
      </c>
      <c r="B20" s="154" t="str">
        <f aca="false">IFERROR(INDEX(Projects!$C$9:$C$16,MATCH($A20,Projects!$A$9:$A$16,0)),"")</f>
        <v>Commercial</v>
      </c>
      <c r="C20" s="155" t="n">
        <f aca="false">IF(Dashboard!$C$6="Corporate",1,IF(Dashboard!$C$6="Project",IF($A20=Dashboard!$M$6,1,0),IF($B20=Dashboard!$H$6,1,0)))</f>
        <v>1</v>
      </c>
      <c r="D20" s="47" t="s">
        <v>1163</v>
      </c>
      <c r="E20" s="37" t="s">
        <v>381</v>
      </c>
      <c r="F20" s="37" t="s">
        <v>1157</v>
      </c>
      <c r="G20" s="37" t="s">
        <v>1158</v>
      </c>
      <c r="H20" s="97" t="n">
        <f aca="false">'PT_COM-01'!$E$107</f>
        <v>3</v>
      </c>
      <c r="I20" s="97" t="n">
        <f aca="false">'PT_COM-01'!$F$107</f>
        <v>3</v>
      </c>
      <c r="J20" s="48" t="n">
        <f aca="false">$H20*$I20</f>
        <v>9</v>
      </c>
      <c r="K20" s="52" t="str">
        <f aca="false">IF($J20&gt;=15,"Critical",IF($J20&gt;=10,"High",IF($J20&gt;=5,"Medium","Low")))</f>
        <v>Medium</v>
      </c>
      <c r="L20" s="99" t="n">
        <f aca="false">'PT_COM-01'!$H$107</f>
        <v>4767085</v>
      </c>
      <c r="M20" s="99" t="n">
        <v>40</v>
      </c>
      <c r="N20" s="100" t="n">
        <f aca="false">($H20*2-1)/10</f>
        <v>0.5</v>
      </c>
      <c r="O20" s="49" t="n">
        <f aca="false">$N20*$L20</f>
        <v>2383542.5</v>
      </c>
      <c r="P20" s="50" t="n">
        <f aca="false">$N20*$M20</f>
        <v>20</v>
      </c>
      <c r="Q20" s="103" t="s">
        <v>1145</v>
      </c>
      <c r="R20" s="37" t="s">
        <v>1159</v>
      </c>
      <c r="S20" s="37" t="s">
        <v>1160</v>
      </c>
      <c r="T20" s="96" t="n">
        <v>46325</v>
      </c>
      <c r="U20" s="97" t="n">
        <v>2</v>
      </c>
      <c r="V20" s="97" t="n">
        <v>2</v>
      </c>
      <c r="W20" s="48" t="n">
        <f aca="false">$U20*$V20</f>
        <v>4</v>
      </c>
      <c r="X20" s="52" t="str">
        <f aca="false">IF($W20&gt;=15,"Critical",IF($W20&gt;=10,"High",IF($W20&gt;=5,"Medium","Low")))</f>
        <v>Low</v>
      </c>
      <c r="Y20" s="103" t="s">
        <v>1161</v>
      </c>
      <c r="Z20" s="175" t="n">
        <f aca="false">$C20*($O20+ROW()/1000000)</f>
        <v>2383542.50002</v>
      </c>
      <c r="AA20" s="155" t="n">
        <f aca="false">RANK($Z20,$Z$9:$Z$120)</f>
        <v>7</v>
      </c>
    </row>
    <row r="21" customFormat="false" ht="13.5" hidden="false" customHeight="true" outlineLevel="0" collapsed="false">
      <c r="A21" s="149" t="s">
        <v>298</v>
      </c>
      <c r="B21" s="150" t="str">
        <f aca="false">IFERROR(INDEX(Projects!$C$9:$C$16,MATCH($A21,Projects!$A$9:$A$16,0)),"")</f>
        <v>Commercial</v>
      </c>
      <c r="C21" s="94" t="n">
        <f aca="false">IF(Dashboard!$C$6="Corporate",1,IF(Dashboard!$C$6="Project",IF($A21=Dashboard!$M$6,1,0),IF($B21=Dashboard!$H$6,1,0)))</f>
        <v>1</v>
      </c>
      <c r="D21" s="42" t="s">
        <v>703</v>
      </c>
      <c r="E21" s="30" t="s">
        <v>356</v>
      </c>
      <c r="F21" s="30" t="s">
        <v>1143</v>
      </c>
      <c r="G21" s="30" t="s">
        <v>1144</v>
      </c>
      <c r="H21" s="185" t="n">
        <f aca="false">'PT_COM-02'!$E$104</f>
        <v>3</v>
      </c>
      <c r="I21" s="185" t="n">
        <f aca="false">'PT_COM-02'!$F$104</f>
        <v>4</v>
      </c>
      <c r="J21" s="43" t="n">
        <f aca="false">$H21*$I21</f>
        <v>12</v>
      </c>
      <c r="K21" s="46" t="str">
        <f aca="false">IF($J21&gt;=15,"Critical",IF($J21&gt;=10,"High",IF($J21&gt;=5,"Medium","Low")))</f>
        <v>High</v>
      </c>
      <c r="L21" s="86" t="n">
        <f aca="false">'PT_COM-02'!$H$104</f>
        <v>4173094</v>
      </c>
      <c r="M21" s="92" t="n">
        <v>45</v>
      </c>
      <c r="N21" s="87" t="n">
        <f aca="false">($H21*2-1)/10</f>
        <v>0.5</v>
      </c>
      <c r="O21" s="31" t="n">
        <f aca="false">$N21*$L21</f>
        <v>2086547</v>
      </c>
      <c r="P21" s="44" t="n">
        <f aca="false">$N21*$M21</f>
        <v>22.5</v>
      </c>
      <c r="Q21" s="93" t="s">
        <v>1145</v>
      </c>
      <c r="R21" s="30" t="s">
        <v>1146</v>
      </c>
      <c r="S21" s="30" t="s">
        <v>1147</v>
      </c>
      <c r="T21" s="169" t="n">
        <v>46295</v>
      </c>
      <c r="U21" s="84" t="n">
        <v>2</v>
      </c>
      <c r="V21" s="84" t="n">
        <v>3</v>
      </c>
      <c r="W21" s="43" t="n">
        <f aca="false">$U21*$V21</f>
        <v>6</v>
      </c>
      <c r="X21" s="46" t="str">
        <f aca="false">IF($W21&gt;=15,"Critical",IF($W21&gt;=10,"High",IF($W21&gt;=5,"Medium","Low")))</f>
        <v>Medium</v>
      </c>
      <c r="Y21" s="93" t="s">
        <v>1023</v>
      </c>
      <c r="Z21" s="174" t="n">
        <f aca="false">$C21*($O21+ROW()/1000000)</f>
        <v>2086547.000021</v>
      </c>
      <c r="AA21" s="94" t="n">
        <f aca="false">RANK($Z21,$Z$9:$Z$120)</f>
        <v>9</v>
      </c>
    </row>
    <row r="22" customFormat="false" ht="13.5" hidden="false" customHeight="true" outlineLevel="0" collapsed="false">
      <c r="A22" s="47" t="s">
        <v>298</v>
      </c>
      <c r="B22" s="154" t="str">
        <f aca="false">IFERROR(INDEX(Projects!$C$9:$C$16,MATCH($A22,Projects!$A$9:$A$16,0)),"")</f>
        <v>Commercial</v>
      </c>
      <c r="C22" s="155" t="n">
        <f aca="false">IF(Dashboard!$C$6="Corporate",1,IF(Dashboard!$C$6="Project",IF($A22=Dashboard!$M$6,1,0),IF($B22=Dashboard!$H$6,1,0)))</f>
        <v>1</v>
      </c>
      <c r="D22" s="47" t="s">
        <v>706</v>
      </c>
      <c r="E22" s="37" t="s">
        <v>1148</v>
      </c>
      <c r="F22" s="37" t="s">
        <v>1149</v>
      </c>
      <c r="G22" s="37" t="s">
        <v>1150</v>
      </c>
      <c r="H22" s="97" t="n">
        <f aca="false">'PT_COM-02'!$E$105</f>
        <v>3</v>
      </c>
      <c r="I22" s="97" t="n">
        <f aca="false">'PT_COM-02'!$F$105</f>
        <v>4</v>
      </c>
      <c r="J22" s="48" t="n">
        <f aca="false">$H22*$I22</f>
        <v>12</v>
      </c>
      <c r="K22" s="52" t="str">
        <f aca="false">IF($J22&gt;=15,"Critical",IF($J22&gt;=10,"High",IF($J22&gt;=5,"Medium","Low")))</f>
        <v>High</v>
      </c>
      <c r="L22" s="99" t="n">
        <f aca="false">'PT_COM-02'!$H$105</f>
        <v>3404366</v>
      </c>
      <c r="M22" s="99" t="n">
        <v>60</v>
      </c>
      <c r="N22" s="100" t="n">
        <f aca="false">($H22*2-1)/10</f>
        <v>0.5</v>
      </c>
      <c r="O22" s="49" t="n">
        <f aca="false">$N22*$L22</f>
        <v>1702183</v>
      </c>
      <c r="P22" s="50" t="n">
        <f aca="false">$N22*$M22</f>
        <v>30</v>
      </c>
      <c r="Q22" s="103" t="s">
        <v>1145</v>
      </c>
      <c r="R22" s="37" t="s">
        <v>1151</v>
      </c>
      <c r="S22" s="37" t="s">
        <v>1152</v>
      </c>
      <c r="T22" s="96" t="n">
        <v>46305</v>
      </c>
      <c r="U22" s="97" t="n">
        <v>2</v>
      </c>
      <c r="V22" s="97" t="n">
        <v>3</v>
      </c>
      <c r="W22" s="48" t="n">
        <f aca="false">$U22*$V22</f>
        <v>6</v>
      </c>
      <c r="X22" s="52" t="str">
        <f aca="false">IF($W22&gt;=15,"Critical",IF($W22&gt;=10,"High",IF($W22&gt;=5,"Medium","Low")))</f>
        <v>Medium</v>
      </c>
      <c r="Y22" s="103" t="s">
        <v>1023</v>
      </c>
      <c r="Z22" s="175" t="n">
        <f aca="false">$C22*($O22+ROW()/1000000)</f>
        <v>1702183.000022</v>
      </c>
      <c r="AA22" s="155" t="n">
        <f aca="false">RANK($Z22,$Z$9:$Z$120)</f>
        <v>13</v>
      </c>
    </row>
    <row r="23" customFormat="false" ht="13.5" hidden="false" customHeight="true" outlineLevel="0" collapsed="false">
      <c r="A23" s="149" t="s">
        <v>298</v>
      </c>
      <c r="B23" s="150" t="str">
        <f aca="false">IFERROR(INDEX(Projects!$C$9:$C$16,MATCH($A23,Projects!$A$9:$A$16,0)),"")</f>
        <v>Commercial</v>
      </c>
      <c r="C23" s="94" t="n">
        <f aca="false">IF(Dashboard!$C$6="Corporate",1,IF(Dashboard!$C$6="Project",IF($A23=Dashboard!$M$6,1,0),IF($B23=Dashboard!$H$6,1,0)))</f>
        <v>1</v>
      </c>
      <c r="D23" s="42" t="s">
        <v>709</v>
      </c>
      <c r="E23" s="30" t="s">
        <v>369</v>
      </c>
      <c r="F23" s="30" t="s">
        <v>1153</v>
      </c>
      <c r="G23" s="30" t="s">
        <v>1154</v>
      </c>
      <c r="H23" s="185" t="n">
        <f aca="false">'PT_COM-02'!$E$106</f>
        <v>2</v>
      </c>
      <c r="I23" s="185" t="n">
        <f aca="false">'PT_COM-02'!$F$106</f>
        <v>4</v>
      </c>
      <c r="J23" s="43" t="n">
        <f aca="false">$H23*$I23</f>
        <v>8</v>
      </c>
      <c r="K23" s="46" t="str">
        <f aca="false">IF($J23&gt;=15,"Critical",IF($J23&gt;=10,"High",IF($J23&gt;=5,"Medium","Low")))</f>
        <v>Medium</v>
      </c>
      <c r="L23" s="86" t="n">
        <f aca="false">'PT_COM-02'!$H$106</f>
        <v>2416002</v>
      </c>
      <c r="M23" s="92" t="n">
        <v>0</v>
      </c>
      <c r="N23" s="87" t="n">
        <f aca="false">($H23*2-1)/10</f>
        <v>0.3</v>
      </c>
      <c r="O23" s="31" t="n">
        <f aca="false">$N23*$L23</f>
        <v>724800.6</v>
      </c>
      <c r="P23" s="44" t="n">
        <f aca="false">$N23*$M23</f>
        <v>0</v>
      </c>
      <c r="Q23" s="93" t="s">
        <v>1145</v>
      </c>
      <c r="R23" s="30" t="s">
        <v>1155</v>
      </c>
      <c r="S23" s="30" t="s">
        <v>667</v>
      </c>
      <c r="T23" s="169" t="n">
        <v>46315</v>
      </c>
      <c r="U23" s="84" t="n">
        <v>1</v>
      </c>
      <c r="V23" s="84" t="n">
        <v>3</v>
      </c>
      <c r="W23" s="43" t="n">
        <f aca="false">$U23*$V23</f>
        <v>3</v>
      </c>
      <c r="X23" s="46" t="str">
        <f aca="false">IF($W23&gt;=15,"Critical",IF($W23&gt;=10,"High",IF($W23&gt;=5,"Medium","Low")))</f>
        <v>Low</v>
      </c>
      <c r="Y23" s="93" t="s">
        <v>1023</v>
      </c>
      <c r="Z23" s="174" t="n">
        <f aca="false">$C23*($O23+ROW()/1000000)</f>
        <v>724800.600023</v>
      </c>
      <c r="AA23" s="94" t="n">
        <f aca="false">RANK($Z23,$Z$9:$Z$120)</f>
        <v>29</v>
      </c>
    </row>
    <row r="24" customFormat="false" ht="13.5" hidden="false" customHeight="true" outlineLevel="0" collapsed="false">
      <c r="A24" s="47" t="s">
        <v>298</v>
      </c>
      <c r="B24" s="154" t="str">
        <f aca="false">IFERROR(INDEX(Projects!$C$9:$C$16,MATCH($A24,Projects!$A$9:$A$16,0)),"")</f>
        <v>Commercial</v>
      </c>
      <c r="C24" s="155" t="n">
        <f aca="false">IF(Dashboard!$C$6="Corporate",1,IF(Dashboard!$C$6="Project",IF($A24=Dashboard!$M$6,1,0),IF($B24=Dashboard!$H$6,1,0)))</f>
        <v>1</v>
      </c>
      <c r="D24" s="47" t="s">
        <v>1164</v>
      </c>
      <c r="E24" s="37" t="s">
        <v>381</v>
      </c>
      <c r="F24" s="37" t="s">
        <v>1157</v>
      </c>
      <c r="G24" s="37" t="s">
        <v>1158</v>
      </c>
      <c r="H24" s="97" t="n">
        <f aca="false">'PT_COM-02'!$E$107</f>
        <v>3</v>
      </c>
      <c r="I24" s="97" t="n">
        <f aca="false">'PT_COM-02'!$F$107</f>
        <v>3</v>
      </c>
      <c r="J24" s="48" t="n">
        <f aca="false">$H24*$I24</f>
        <v>9</v>
      </c>
      <c r="K24" s="52" t="str">
        <f aca="false">IF($J24&gt;=15,"Critical",IF($J24&gt;=10,"High",IF($J24&gt;=5,"Medium","Low")))</f>
        <v>Medium</v>
      </c>
      <c r="L24" s="99" t="n">
        <f aca="false">'PT_COM-02'!$H$107</f>
        <v>2745456</v>
      </c>
      <c r="M24" s="99" t="n">
        <v>40</v>
      </c>
      <c r="N24" s="100" t="n">
        <f aca="false">($H24*2-1)/10</f>
        <v>0.5</v>
      </c>
      <c r="O24" s="49" t="n">
        <f aca="false">$N24*$L24</f>
        <v>1372728</v>
      </c>
      <c r="P24" s="50" t="n">
        <f aca="false">$N24*$M24</f>
        <v>20</v>
      </c>
      <c r="Q24" s="103" t="s">
        <v>1145</v>
      </c>
      <c r="R24" s="37" t="s">
        <v>1159</v>
      </c>
      <c r="S24" s="37" t="s">
        <v>1160</v>
      </c>
      <c r="T24" s="96" t="n">
        <v>46325</v>
      </c>
      <c r="U24" s="97" t="n">
        <v>2</v>
      </c>
      <c r="V24" s="97" t="n">
        <v>2</v>
      </c>
      <c r="W24" s="48" t="n">
        <f aca="false">$U24*$V24</f>
        <v>4</v>
      </c>
      <c r="X24" s="52" t="str">
        <f aca="false">IF($W24&gt;=15,"Critical",IF($W24&gt;=10,"High",IF($W24&gt;=5,"Medium","Low")))</f>
        <v>Low</v>
      </c>
      <c r="Y24" s="103" t="s">
        <v>1161</v>
      </c>
      <c r="Z24" s="175" t="n">
        <f aca="false">$C24*($O24+ROW()/1000000)</f>
        <v>1372728.000024</v>
      </c>
      <c r="AA24" s="155" t="n">
        <f aca="false">RANK($Z24,$Z$9:$Z$120)</f>
        <v>18</v>
      </c>
    </row>
    <row r="25" customFormat="false" ht="13.5" hidden="false" customHeight="true" outlineLevel="0" collapsed="false">
      <c r="A25" s="149" t="s">
        <v>300</v>
      </c>
      <c r="B25" s="150" t="str">
        <f aca="false">IFERROR(INDEX(Projects!$C$9:$C$16,MATCH($A25,Projects!$A$9:$A$16,0)),"")</f>
        <v>Mixed Use</v>
      </c>
      <c r="C25" s="94" t="n">
        <f aca="false">IF(Dashboard!$C$6="Corporate",1,IF(Dashboard!$C$6="Project",IF($A25=Dashboard!$M$6,1,0),IF($B25=Dashboard!$H$6,1,0)))</f>
        <v>1</v>
      </c>
      <c r="D25" s="42" t="s">
        <v>712</v>
      </c>
      <c r="E25" s="30" t="s">
        <v>356</v>
      </c>
      <c r="F25" s="30" t="s">
        <v>1143</v>
      </c>
      <c r="G25" s="30" t="s">
        <v>1144</v>
      </c>
      <c r="H25" s="185" t="n">
        <f aca="false">'PT_MXU-01'!$E$104</f>
        <v>4</v>
      </c>
      <c r="I25" s="185" t="n">
        <f aca="false">'PT_MXU-01'!$F$104</f>
        <v>4</v>
      </c>
      <c r="J25" s="43" t="n">
        <f aca="false">$H25*$I25</f>
        <v>16</v>
      </c>
      <c r="K25" s="46" t="str">
        <f aca="false">IF($J25&gt;=15,"Critical",IF($J25&gt;=10,"High",IF($J25&gt;=5,"Medium","Low")))</f>
        <v>Critical</v>
      </c>
      <c r="L25" s="86" t="n">
        <f aca="false">'PT_MXU-01'!$H$104</f>
        <v>6380592</v>
      </c>
      <c r="M25" s="92" t="n">
        <v>45</v>
      </c>
      <c r="N25" s="87" t="n">
        <f aca="false">($H25*2-1)/10</f>
        <v>0.7</v>
      </c>
      <c r="O25" s="31" t="n">
        <f aca="false">$N25*$L25</f>
        <v>4466414.4</v>
      </c>
      <c r="P25" s="44" t="n">
        <f aca="false">$N25*$M25</f>
        <v>31.5</v>
      </c>
      <c r="Q25" s="93" t="s">
        <v>1145</v>
      </c>
      <c r="R25" s="30" t="s">
        <v>1146</v>
      </c>
      <c r="S25" s="30" t="s">
        <v>1147</v>
      </c>
      <c r="T25" s="169" t="n">
        <v>46295</v>
      </c>
      <c r="U25" s="84" t="n">
        <v>3</v>
      </c>
      <c r="V25" s="84" t="n">
        <v>3</v>
      </c>
      <c r="W25" s="43" t="n">
        <f aca="false">$U25*$V25</f>
        <v>9</v>
      </c>
      <c r="X25" s="46" t="str">
        <f aca="false">IF($W25&gt;=15,"Critical",IF($W25&gt;=10,"High",IF($W25&gt;=5,"Medium","Low")))</f>
        <v>Medium</v>
      </c>
      <c r="Y25" s="93" t="s">
        <v>1023</v>
      </c>
      <c r="Z25" s="174" t="n">
        <f aca="false">$C25*($O25+ROW()/1000000)</f>
        <v>4466414.400025</v>
      </c>
      <c r="AA25" s="94" t="n">
        <f aca="false">RANK($Z25,$Z$9:$Z$120)</f>
        <v>1</v>
      </c>
    </row>
    <row r="26" customFormat="false" ht="13.5" hidden="false" customHeight="true" outlineLevel="0" collapsed="false">
      <c r="A26" s="47" t="s">
        <v>300</v>
      </c>
      <c r="B26" s="154" t="str">
        <f aca="false">IFERROR(INDEX(Projects!$C$9:$C$16,MATCH($A26,Projects!$A$9:$A$16,0)),"")</f>
        <v>Mixed Use</v>
      </c>
      <c r="C26" s="155" t="n">
        <f aca="false">IF(Dashboard!$C$6="Corporate",1,IF(Dashboard!$C$6="Project",IF($A26=Dashboard!$M$6,1,0),IF($B26=Dashboard!$H$6,1,0)))</f>
        <v>1</v>
      </c>
      <c r="D26" s="47" t="s">
        <v>715</v>
      </c>
      <c r="E26" s="37" t="s">
        <v>1148</v>
      </c>
      <c r="F26" s="37" t="s">
        <v>1149</v>
      </c>
      <c r="G26" s="37" t="s">
        <v>1150</v>
      </c>
      <c r="H26" s="97" t="n">
        <f aca="false">'PT_MXU-01'!$E$105</f>
        <v>4</v>
      </c>
      <c r="I26" s="97" t="n">
        <f aca="false">'PT_MXU-01'!$F$105</f>
        <v>4</v>
      </c>
      <c r="J26" s="48" t="n">
        <f aca="false">$H26*$I26</f>
        <v>16</v>
      </c>
      <c r="K26" s="52" t="str">
        <f aca="false">IF($J26&gt;=15,"Critical",IF($J26&gt;=10,"High",IF($J26&gt;=5,"Medium","Low")))</f>
        <v>Critical</v>
      </c>
      <c r="L26" s="99" t="n">
        <f aca="false">'PT_MXU-01'!$H$105</f>
        <v>5205220</v>
      </c>
      <c r="M26" s="99" t="n">
        <v>60</v>
      </c>
      <c r="N26" s="100" t="n">
        <f aca="false">($H26*2-1)/10</f>
        <v>0.7</v>
      </c>
      <c r="O26" s="49" t="n">
        <f aca="false">$N26*$L26</f>
        <v>3643654</v>
      </c>
      <c r="P26" s="50" t="n">
        <f aca="false">$N26*$M26</f>
        <v>42</v>
      </c>
      <c r="Q26" s="103" t="s">
        <v>1145</v>
      </c>
      <c r="R26" s="37" t="s">
        <v>1151</v>
      </c>
      <c r="S26" s="37" t="s">
        <v>1152</v>
      </c>
      <c r="T26" s="96" t="n">
        <v>46305</v>
      </c>
      <c r="U26" s="97" t="n">
        <v>3</v>
      </c>
      <c r="V26" s="97" t="n">
        <v>3</v>
      </c>
      <c r="W26" s="48" t="n">
        <f aca="false">$U26*$V26</f>
        <v>9</v>
      </c>
      <c r="X26" s="52" t="str">
        <f aca="false">IF($W26&gt;=15,"Critical",IF($W26&gt;=10,"High",IF($W26&gt;=5,"Medium","Low")))</f>
        <v>Medium</v>
      </c>
      <c r="Y26" s="103" t="s">
        <v>1023</v>
      </c>
      <c r="Z26" s="175" t="n">
        <f aca="false">$C26*($O26+ROW()/1000000)</f>
        <v>3643654.000026</v>
      </c>
      <c r="AA26" s="155" t="n">
        <f aca="false">RANK($Z26,$Z$9:$Z$120)</f>
        <v>2</v>
      </c>
    </row>
    <row r="27" customFormat="false" ht="13.5" hidden="false" customHeight="true" outlineLevel="0" collapsed="false">
      <c r="A27" s="149" t="s">
        <v>300</v>
      </c>
      <c r="B27" s="150" t="str">
        <f aca="false">IFERROR(INDEX(Projects!$C$9:$C$16,MATCH($A27,Projects!$A$9:$A$16,0)),"")</f>
        <v>Mixed Use</v>
      </c>
      <c r="C27" s="94" t="n">
        <f aca="false">IF(Dashboard!$C$6="Corporate",1,IF(Dashboard!$C$6="Project",IF($A27=Dashboard!$M$6,1,0),IF($B27=Dashboard!$H$6,1,0)))</f>
        <v>1</v>
      </c>
      <c r="D27" s="42" t="s">
        <v>718</v>
      </c>
      <c r="E27" s="30" t="s">
        <v>369</v>
      </c>
      <c r="F27" s="30" t="s">
        <v>1153</v>
      </c>
      <c r="G27" s="30" t="s">
        <v>1154</v>
      </c>
      <c r="H27" s="185" t="n">
        <f aca="false">'PT_MXU-01'!$E$106</f>
        <v>3</v>
      </c>
      <c r="I27" s="185" t="n">
        <f aca="false">'PT_MXU-01'!$F$106</f>
        <v>4</v>
      </c>
      <c r="J27" s="43" t="n">
        <f aca="false">$H27*$I27</f>
        <v>12</v>
      </c>
      <c r="K27" s="46" t="str">
        <f aca="false">IF($J27&gt;=15,"Critical",IF($J27&gt;=10,"High",IF($J27&gt;=5,"Medium","Low")))</f>
        <v>High</v>
      </c>
      <c r="L27" s="86" t="n">
        <f aca="false">'PT_MXU-01'!$H$106</f>
        <v>3694027</v>
      </c>
      <c r="M27" s="92" t="n">
        <v>0</v>
      </c>
      <c r="N27" s="87" t="n">
        <f aca="false">($H27*2-1)/10</f>
        <v>0.5</v>
      </c>
      <c r="O27" s="31" t="n">
        <f aca="false">$N27*$L27</f>
        <v>1847013.5</v>
      </c>
      <c r="P27" s="44" t="n">
        <f aca="false">$N27*$M27</f>
        <v>0</v>
      </c>
      <c r="Q27" s="93" t="s">
        <v>1145</v>
      </c>
      <c r="R27" s="30" t="s">
        <v>1155</v>
      </c>
      <c r="S27" s="30" t="s">
        <v>667</v>
      </c>
      <c r="T27" s="169" t="n">
        <v>46315</v>
      </c>
      <c r="U27" s="84" t="n">
        <v>2</v>
      </c>
      <c r="V27" s="84" t="n">
        <v>3</v>
      </c>
      <c r="W27" s="43" t="n">
        <f aca="false">$U27*$V27</f>
        <v>6</v>
      </c>
      <c r="X27" s="46" t="str">
        <f aca="false">IF($W27&gt;=15,"Critical",IF($W27&gt;=10,"High",IF($W27&gt;=5,"Medium","Low")))</f>
        <v>Medium</v>
      </c>
      <c r="Y27" s="93" t="s">
        <v>1023</v>
      </c>
      <c r="Z27" s="174" t="n">
        <f aca="false">$C27*($O27+ROW()/1000000)</f>
        <v>1847013.500027</v>
      </c>
      <c r="AA27" s="94" t="n">
        <f aca="false">RANK($Z27,$Z$9:$Z$120)</f>
        <v>12</v>
      </c>
    </row>
    <row r="28" customFormat="false" ht="13.5" hidden="false" customHeight="true" outlineLevel="0" collapsed="false">
      <c r="A28" s="47" t="s">
        <v>300</v>
      </c>
      <c r="B28" s="154" t="str">
        <f aca="false">IFERROR(INDEX(Projects!$C$9:$C$16,MATCH($A28,Projects!$A$9:$A$16,0)),"")</f>
        <v>Mixed Use</v>
      </c>
      <c r="C28" s="155" t="n">
        <f aca="false">IF(Dashboard!$C$6="Corporate",1,IF(Dashboard!$C$6="Project",IF($A28=Dashboard!$M$6,1,0),IF($B28=Dashboard!$H$6,1,0)))</f>
        <v>1</v>
      </c>
      <c r="D28" s="47" t="s">
        <v>1165</v>
      </c>
      <c r="E28" s="37" t="s">
        <v>381</v>
      </c>
      <c r="F28" s="37" t="s">
        <v>1157</v>
      </c>
      <c r="G28" s="37" t="s">
        <v>1158</v>
      </c>
      <c r="H28" s="97" t="n">
        <f aca="false">'PT_MXU-01'!$E$107</f>
        <v>4</v>
      </c>
      <c r="I28" s="97" t="n">
        <f aca="false">'PT_MXU-01'!$F$107</f>
        <v>3</v>
      </c>
      <c r="J28" s="48" t="n">
        <f aca="false">$H28*$I28</f>
        <v>12</v>
      </c>
      <c r="K28" s="52" t="str">
        <f aca="false">IF($J28&gt;=15,"Critical",IF($J28&gt;=10,"High",IF($J28&gt;=5,"Medium","Low")))</f>
        <v>High</v>
      </c>
      <c r="L28" s="99" t="n">
        <f aca="false">'PT_MXU-01'!$H$107</f>
        <v>4197758</v>
      </c>
      <c r="M28" s="99" t="n">
        <v>40</v>
      </c>
      <c r="N28" s="100" t="n">
        <f aca="false">($H28*2-1)/10</f>
        <v>0.7</v>
      </c>
      <c r="O28" s="49" t="n">
        <f aca="false">$N28*$L28</f>
        <v>2938430.6</v>
      </c>
      <c r="P28" s="50" t="n">
        <f aca="false">$N28*$M28</f>
        <v>28</v>
      </c>
      <c r="Q28" s="103" t="s">
        <v>1145</v>
      </c>
      <c r="R28" s="37" t="s">
        <v>1159</v>
      </c>
      <c r="S28" s="37" t="s">
        <v>1160</v>
      </c>
      <c r="T28" s="96" t="n">
        <v>46325</v>
      </c>
      <c r="U28" s="97" t="n">
        <v>3</v>
      </c>
      <c r="V28" s="97" t="n">
        <v>2</v>
      </c>
      <c r="W28" s="48" t="n">
        <f aca="false">$U28*$V28</f>
        <v>6</v>
      </c>
      <c r="X28" s="52" t="str">
        <f aca="false">IF($W28&gt;=15,"Critical",IF($W28&gt;=10,"High",IF($W28&gt;=5,"Medium","Low")))</f>
        <v>Medium</v>
      </c>
      <c r="Y28" s="103" t="s">
        <v>1161</v>
      </c>
      <c r="Z28" s="175" t="n">
        <f aca="false">$C28*($O28+ROW()/1000000)</f>
        <v>2938430.600028</v>
      </c>
      <c r="AA28" s="155" t="n">
        <f aca="false">RANK($Z28,$Z$9:$Z$120)</f>
        <v>5</v>
      </c>
    </row>
    <row r="29" customFormat="false" ht="13.5" hidden="false" customHeight="true" outlineLevel="0" collapsed="false">
      <c r="A29" s="149" t="s">
        <v>301</v>
      </c>
      <c r="B29" s="150" t="str">
        <f aca="false">IFERROR(INDEX(Projects!$C$9:$C$16,MATCH($A29,Projects!$A$9:$A$16,0)),"")</f>
        <v>Mixed Use</v>
      </c>
      <c r="C29" s="94" t="n">
        <f aca="false">IF(Dashboard!$C$6="Corporate",1,IF(Dashboard!$C$6="Project",IF($A29=Dashboard!$M$6,1,0),IF($B29=Dashboard!$H$6,1,0)))</f>
        <v>1</v>
      </c>
      <c r="D29" s="42" t="s">
        <v>721</v>
      </c>
      <c r="E29" s="30" t="s">
        <v>356</v>
      </c>
      <c r="F29" s="30" t="s">
        <v>1143</v>
      </c>
      <c r="G29" s="30" t="s">
        <v>1144</v>
      </c>
      <c r="H29" s="185" t="n">
        <f aca="false">'PT_MXU-02'!$E$104</f>
        <v>3</v>
      </c>
      <c r="I29" s="185" t="n">
        <f aca="false">'PT_MXU-02'!$F$104</f>
        <v>4</v>
      </c>
      <c r="J29" s="43" t="n">
        <f aca="false">$H29*$I29</f>
        <v>12</v>
      </c>
      <c r="K29" s="46" t="str">
        <f aca="false">IF($J29&gt;=15,"Critical",IF($J29&gt;=10,"High",IF($J29&gt;=5,"Medium","Low")))</f>
        <v>High</v>
      </c>
      <c r="L29" s="86" t="n">
        <f aca="false">'PT_MXU-02'!$H$104</f>
        <v>3181858</v>
      </c>
      <c r="M29" s="92" t="n">
        <v>45</v>
      </c>
      <c r="N29" s="87" t="n">
        <f aca="false">($H29*2-1)/10</f>
        <v>0.5</v>
      </c>
      <c r="O29" s="31" t="n">
        <f aca="false">$N29*$L29</f>
        <v>1590929</v>
      </c>
      <c r="P29" s="44" t="n">
        <f aca="false">$N29*$M29</f>
        <v>22.5</v>
      </c>
      <c r="Q29" s="93" t="s">
        <v>1145</v>
      </c>
      <c r="R29" s="30" t="s">
        <v>1146</v>
      </c>
      <c r="S29" s="30" t="s">
        <v>1147</v>
      </c>
      <c r="T29" s="169" t="n">
        <v>46295</v>
      </c>
      <c r="U29" s="84" t="n">
        <v>2</v>
      </c>
      <c r="V29" s="84" t="n">
        <v>3</v>
      </c>
      <c r="W29" s="43" t="n">
        <f aca="false">$U29*$V29</f>
        <v>6</v>
      </c>
      <c r="X29" s="46" t="str">
        <f aca="false">IF($W29&gt;=15,"Critical",IF($W29&gt;=10,"High",IF($W29&gt;=5,"Medium","Low")))</f>
        <v>Medium</v>
      </c>
      <c r="Y29" s="93" t="s">
        <v>1023</v>
      </c>
      <c r="Z29" s="174" t="n">
        <f aca="false">$C29*($O29+ROW()/1000000)</f>
        <v>1590929.000029</v>
      </c>
      <c r="AA29" s="94" t="n">
        <f aca="false">RANK($Z29,$Z$9:$Z$120)</f>
        <v>14</v>
      </c>
    </row>
    <row r="30" customFormat="false" ht="13.5" hidden="false" customHeight="true" outlineLevel="0" collapsed="false">
      <c r="A30" s="47" t="s">
        <v>301</v>
      </c>
      <c r="B30" s="154" t="str">
        <f aca="false">IFERROR(INDEX(Projects!$C$9:$C$16,MATCH($A30,Projects!$A$9:$A$16,0)),"")</f>
        <v>Mixed Use</v>
      </c>
      <c r="C30" s="155" t="n">
        <f aca="false">IF(Dashboard!$C$6="Corporate",1,IF(Dashboard!$C$6="Project",IF($A30=Dashboard!$M$6,1,0),IF($B30=Dashboard!$H$6,1,0)))</f>
        <v>1</v>
      </c>
      <c r="D30" s="47" t="s">
        <v>724</v>
      </c>
      <c r="E30" s="37" t="s">
        <v>1148</v>
      </c>
      <c r="F30" s="37" t="s">
        <v>1149</v>
      </c>
      <c r="G30" s="37" t="s">
        <v>1150</v>
      </c>
      <c r="H30" s="97" t="n">
        <f aca="false">'PT_MXU-02'!$E$105</f>
        <v>3</v>
      </c>
      <c r="I30" s="97" t="n">
        <f aca="false">'PT_MXU-02'!$F$105</f>
        <v>4</v>
      </c>
      <c r="J30" s="48" t="n">
        <f aca="false">$H30*$I30</f>
        <v>12</v>
      </c>
      <c r="K30" s="52" t="str">
        <f aca="false">IF($J30&gt;=15,"Critical",IF($J30&gt;=10,"High",IF($J30&gt;=5,"Medium","Low")))</f>
        <v>High</v>
      </c>
      <c r="L30" s="99" t="n">
        <f aca="false">'PT_MXU-02'!$H$105</f>
        <v>2595726</v>
      </c>
      <c r="M30" s="99" t="n">
        <v>60</v>
      </c>
      <c r="N30" s="100" t="n">
        <f aca="false">($H30*2-1)/10</f>
        <v>0.5</v>
      </c>
      <c r="O30" s="49" t="n">
        <f aca="false">$N30*$L30</f>
        <v>1297863</v>
      </c>
      <c r="P30" s="50" t="n">
        <f aca="false">$N30*$M30</f>
        <v>30</v>
      </c>
      <c r="Q30" s="103" t="s">
        <v>1145</v>
      </c>
      <c r="R30" s="37" t="s">
        <v>1151</v>
      </c>
      <c r="S30" s="37" t="s">
        <v>1152</v>
      </c>
      <c r="T30" s="96" t="n">
        <v>46305</v>
      </c>
      <c r="U30" s="97" t="n">
        <v>2</v>
      </c>
      <c r="V30" s="97" t="n">
        <v>3</v>
      </c>
      <c r="W30" s="48" t="n">
        <f aca="false">$U30*$V30</f>
        <v>6</v>
      </c>
      <c r="X30" s="52" t="str">
        <f aca="false">IF($W30&gt;=15,"Critical",IF($W30&gt;=10,"High",IF($W30&gt;=5,"Medium","Low")))</f>
        <v>Medium</v>
      </c>
      <c r="Y30" s="103" t="s">
        <v>1023</v>
      </c>
      <c r="Z30" s="175" t="n">
        <f aca="false">$C30*($O30+ROW()/1000000)</f>
        <v>1297863.00003</v>
      </c>
      <c r="AA30" s="155" t="n">
        <f aca="false">RANK($Z30,$Z$9:$Z$120)</f>
        <v>19</v>
      </c>
    </row>
    <row r="31" customFormat="false" ht="13.5" hidden="false" customHeight="true" outlineLevel="0" collapsed="false">
      <c r="A31" s="149" t="s">
        <v>301</v>
      </c>
      <c r="B31" s="150" t="str">
        <f aca="false">IFERROR(INDEX(Projects!$C$9:$C$16,MATCH($A31,Projects!$A$9:$A$16,0)),"")</f>
        <v>Mixed Use</v>
      </c>
      <c r="C31" s="94" t="n">
        <f aca="false">IF(Dashboard!$C$6="Corporate",1,IF(Dashboard!$C$6="Project",IF($A31=Dashboard!$M$6,1,0),IF($B31=Dashboard!$H$6,1,0)))</f>
        <v>1</v>
      </c>
      <c r="D31" s="42" t="s">
        <v>727</v>
      </c>
      <c r="E31" s="30" t="s">
        <v>369</v>
      </c>
      <c r="F31" s="30" t="s">
        <v>1153</v>
      </c>
      <c r="G31" s="30" t="s">
        <v>1154</v>
      </c>
      <c r="H31" s="185" t="n">
        <f aca="false">'PT_MXU-02'!$E$106</f>
        <v>2</v>
      </c>
      <c r="I31" s="185" t="n">
        <f aca="false">'PT_MXU-02'!$F$106</f>
        <v>4</v>
      </c>
      <c r="J31" s="43" t="n">
        <f aca="false">$H31*$I31</f>
        <v>8</v>
      </c>
      <c r="K31" s="46" t="str">
        <f aca="false">IF($J31&gt;=15,"Critical",IF($J31&gt;=10,"High",IF($J31&gt;=5,"Medium","Low")))</f>
        <v>Medium</v>
      </c>
      <c r="L31" s="86" t="n">
        <f aca="false">'PT_MXU-02'!$H$106</f>
        <v>1842128</v>
      </c>
      <c r="M31" s="92" t="n">
        <v>0</v>
      </c>
      <c r="N31" s="87" t="n">
        <f aca="false">($H31*2-1)/10</f>
        <v>0.3</v>
      </c>
      <c r="O31" s="31" t="n">
        <f aca="false">$N31*$L31</f>
        <v>552638.4</v>
      </c>
      <c r="P31" s="44" t="n">
        <f aca="false">$N31*$M31</f>
        <v>0</v>
      </c>
      <c r="Q31" s="93" t="s">
        <v>1145</v>
      </c>
      <c r="R31" s="30" t="s">
        <v>1155</v>
      </c>
      <c r="S31" s="30" t="s">
        <v>667</v>
      </c>
      <c r="T31" s="169" t="n">
        <v>46315</v>
      </c>
      <c r="U31" s="84" t="n">
        <v>1</v>
      </c>
      <c r="V31" s="84" t="n">
        <v>3</v>
      </c>
      <c r="W31" s="43" t="n">
        <f aca="false">$U31*$V31</f>
        <v>3</v>
      </c>
      <c r="X31" s="46" t="str">
        <f aca="false">IF($W31&gt;=15,"Critical",IF($W31&gt;=10,"High",IF($W31&gt;=5,"Medium","Low")))</f>
        <v>Low</v>
      </c>
      <c r="Y31" s="93" t="s">
        <v>1023</v>
      </c>
      <c r="Z31" s="174" t="n">
        <f aca="false">$C31*($O31+ROW()/1000000)</f>
        <v>552638.400031</v>
      </c>
      <c r="AA31" s="94" t="n">
        <f aca="false">RANK($Z31,$Z$9:$Z$120)</f>
        <v>31</v>
      </c>
    </row>
    <row r="32" customFormat="false" ht="13.5" hidden="false" customHeight="true" outlineLevel="0" collapsed="false">
      <c r="A32" s="47" t="s">
        <v>301</v>
      </c>
      <c r="B32" s="154" t="str">
        <f aca="false">IFERROR(INDEX(Projects!$C$9:$C$16,MATCH($A32,Projects!$A$9:$A$16,0)),"")</f>
        <v>Mixed Use</v>
      </c>
      <c r="C32" s="155" t="n">
        <f aca="false">IF(Dashboard!$C$6="Corporate",1,IF(Dashboard!$C$6="Project",IF($A32=Dashboard!$M$6,1,0),IF($B32=Dashboard!$H$6,1,0)))</f>
        <v>1</v>
      </c>
      <c r="D32" s="47" t="s">
        <v>1166</v>
      </c>
      <c r="E32" s="37" t="s">
        <v>381</v>
      </c>
      <c r="F32" s="37" t="s">
        <v>1157</v>
      </c>
      <c r="G32" s="37" t="s">
        <v>1158</v>
      </c>
      <c r="H32" s="97" t="n">
        <f aca="false">'PT_MXU-02'!$E$107</f>
        <v>3</v>
      </c>
      <c r="I32" s="97" t="n">
        <f aca="false">'PT_MXU-02'!$F$107</f>
        <v>3</v>
      </c>
      <c r="J32" s="48" t="n">
        <f aca="false">$H32*$I32</f>
        <v>9</v>
      </c>
      <c r="K32" s="52" t="str">
        <f aca="false">IF($J32&gt;=15,"Critical",IF($J32&gt;=10,"High",IF($J32&gt;=5,"Medium","Low")))</f>
        <v>Medium</v>
      </c>
      <c r="L32" s="99" t="n">
        <f aca="false">'PT_MXU-02'!$H$107</f>
        <v>2093327</v>
      </c>
      <c r="M32" s="99" t="n">
        <v>40</v>
      </c>
      <c r="N32" s="100" t="n">
        <f aca="false">($H32*2-1)/10</f>
        <v>0.5</v>
      </c>
      <c r="O32" s="49" t="n">
        <f aca="false">$N32*$L32</f>
        <v>1046663.5</v>
      </c>
      <c r="P32" s="50" t="n">
        <f aca="false">$N32*$M32</f>
        <v>20</v>
      </c>
      <c r="Q32" s="103" t="s">
        <v>1145</v>
      </c>
      <c r="R32" s="37" t="s">
        <v>1159</v>
      </c>
      <c r="S32" s="37" t="s">
        <v>1160</v>
      </c>
      <c r="T32" s="96" t="n">
        <v>46325</v>
      </c>
      <c r="U32" s="97" t="n">
        <v>2</v>
      </c>
      <c r="V32" s="97" t="n">
        <v>2</v>
      </c>
      <c r="W32" s="48" t="n">
        <f aca="false">$U32*$V32</f>
        <v>4</v>
      </c>
      <c r="X32" s="52" t="str">
        <f aca="false">IF($W32&gt;=15,"Critical",IF($W32&gt;=10,"High",IF($W32&gt;=5,"Medium","Low")))</f>
        <v>Low</v>
      </c>
      <c r="Y32" s="103" t="s">
        <v>1161</v>
      </c>
      <c r="Z32" s="175" t="n">
        <f aca="false">$C32*($O32+ROW()/1000000)</f>
        <v>1046663.500032</v>
      </c>
      <c r="AA32" s="155" t="n">
        <f aca="false">RANK($Z32,$Z$9:$Z$120)</f>
        <v>23</v>
      </c>
    </row>
    <row r="33" customFormat="false" ht="13.5" hidden="false" customHeight="true" outlineLevel="0" collapsed="false">
      <c r="A33" s="149" t="s">
        <v>303</v>
      </c>
      <c r="B33" s="150" t="str">
        <f aca="false">IFERROR(INDEX(Projects!$C$9:$C$16,MATCH($A33,Projects!$A$9:$A$16,0)),"")</f>
        <v>Land Development</v>
      </c>
      <c r="C33" s="94" t="n">
        <f aca="false">IF(Dashboard!$C$6="Corporate",1,IF(Dashboard!$C$6="Project",IF($A33=Dashboard!$M$6,1,0),IF($B33=Dashboard!$H$6,1,0)))</f>
        <v>1</v>
      </c>
      <c r="D33" s="42" t="s">
        <v>730</v>
      </c>
      <c r="E33" s="30" t="s">
        <v>356</v>
      </c>
      <c r="F33" s="30" t="s">
        <v>1143</v>
      </c>
      <c r="G33" s="30" t="s">
        <v>1144</v>
      </c>
      <c r="H33" s="185" t="n">
        <f aca="false">'PT_LND-01'!$E$104</f>
        <v>3</v>
      </c>
      <c r="I33" s="185" t="n">
        <f aca="false">'PT_LND-01'!$F$104</f>
        <v>4</v>
      </c>
      <c r="J33" s="43" t="n">
        <f aca="false">$H33*$I33</f>
        <v>12</v>
      </c>
      <c r="K33" s="46" t="str">
        <f aca="false">IF($J33&gt;=15,"Critical",IF($J33&gt;=10,"High",IF($J33&gt;=5,"Medium","Low")))</f>
        <v>High</v>
      </c>
      <c r="L33" s="86" t="n">
        <f aca="false">'PT_LND-01'!$H$104</f>
        <v>4775534</v>
      </c>
      <c r="M33" s="92" t="n">
        <v>45</v>
      </c>
      <c r="N33" s="87" t="n">
        <f aca="false">($H33*2-1)/10</f>
        <v>0.5</v>
      </c>
      <c r="O33" s="31" t="n">
        <f aca="false">$N33*$L33</f>
        <v>2387767</v>
      </c>
      <c r="P33" s="44" t="n">
        <f aca="false">$N33*$M33</f>
        <v>22.5</v>
      </c>
      <c r="Q33" s="93" t="s">
        <v>1145</v>
      </c>
      <c r="R33" s="30" t="s">
        <v>1146</v>
      </c>
      <c r="S33" s="30" t="s">
        <v>1147</v>
      </c>
      <c r="T33" s="169" t="n">
        <v>46295</v>
      </c>
      <c r="U33" s="84" t="n">
        <v>2</v>
      </c>
      <c r="V33" s="84" t="n">
        <v>3</v>
      </c>
      <c r="W33" s="43" t="n">
        <f aca="false">$U33*$V33</f>
        <v>6</v>
      </c>
      <c r="X33" s="46" t="str">
        <f aca="false">IF($W33&gt;=15,"Critical",IF($W33&gt;=10,"High",IF($W33&gt;=5,"Medium","Low")))</f>
        <v>Medium</v>
      </c>
      <c r="Y33" s="93" t="s">
        <v>1023</v>
      </c>
      <c r="Z33" s="174" t="n">
        <f aca="false">$C33*($O33+ROW()/1000000)</f>
        <v>2387767.000033</v>
      </c>
      <c r="AA33" s="94" t="n">
        <f aca="false">RANK($Z33,$Z$9:$Z$120)</f>
        <v>6</v>
      </c>
    </row>
    <row r="34" customFormat="false" ht="13.5" hidden="false" customHeight="true" outlineLevel="0" collapsed="false">
      <c r="A34" s="47" t="s">
        <v>303</v>
      </c>
      <c r="B34" s="154" t="str">
        <f aca="false">IFERROR(INDEX(Projects!$C$9:$C$16,MATCH($A34,Projects!$A$9:$A$16,0)),"")</f>
        <v>Land Development</v>
      </c>
      <c r="C34" s="155" t="n">
        <f aca="false">IF(Dashboard!$C$6="Corporate",1,IF(Dashboard!$C$6="Project",IF($A34=Dashboard!$M$6,1,0),IF($B34=Dashboard!$H$6,1,0)))</f>
        <v>1</v>
      </c>
      <c r="D34" s="47" t="s">
        <v>733</v>
      </c>
      <c r="E34" s="37" t="s">
        <v>1148</v>
      </c>
      <c r="F34" s="37" t="s">
        <v>1149</v>
      </c>
      <c r="G34" s="37" t="s">
        <v>1150</v>
      </c>
      <c r="H34" s="97" t="n">
        <f aca="false">'PT_LND-01'!$E$105</f>
        <v>3</v>
      </c>
      <c r="I34" s="97" t="n">
        <f aca="false">'PT_LND-01'!$F$105</f>
        <v>4</v>
      </c>
      <c r="J34" s="48" t="n">
        <f aca="false">$H34*$I34</f>
        <v>12</v>
      </c>
      <c r="K34" s="52" t="str">
        <f aca="false">IF($J34&gt;=15,"Critical",IF($J34&gt;=10,"High",IF($J34&gt;=5,"Medium","Low")))</f>
        <v>High</v>
      </c>
      <c r="L34" s="99" t="n">
        <f aca="false">'PT_LND-01'!$H$105</f>
        <v>3895831</v>
      </c>
      <c r="M34" s="99" t="n">
        <v>60</v>
      </c>
      <c r="N34" s="100" t="n">
        <f aca="false">($H34*2-1)/10</f>
        <v>0.5</v>
      </c>
      <c r="O34" s="49" t="n">
        <f aca="false">$N34*$L34</f>
        <v>1947915.5</v>
      </c>
      <c r="P34" s="50" t="n">
        <f aca="false">$N34*$M34</f>
        <v>30</v>
      </c>
      <c r="Q34" s="103" t="s">
        <v>1145</v>
      </c>
      <c r="R34" s="37" t="s">
        <v>1151</v>
      </c>
      <c r="S34" s="37" t="s">
        <v>1152</v>
      </c>
      <c r="T34" s="96" t="n">
        <v>46305</v>
      </c>
      <c r="U34" s="97" t="n">
        <v>2</v>
      </c>
      <c r="V34" s="97" t="n">
        <v>3</v>
      </c>
      <c r="W34" s="48" t="n">
        <f aca="false">$U34*$V34</f>
        <v>6</v>
      </c>
      <c r="X34" s="52" t="str">
        <f aca="false">IF($W34&gt;=15,"Critical",IF($W34&gt;=10,"High",IF($W34&gt;=5,"Medium","Low")))</f>
        <v>Medium</v>
      </c>
      <c r="Y34" s="103" t="s">
        <v>1023</v>
      </c>
      <c r="Z34" s="175" t="n">
        <f aca="false">$C34*($O34+ROW()/1000000)</f>
        <v>1947915.500034</v>
      </c>
      <c r="AA34" s="155" t="n">
        <f aca="false">RANK($Z34,$Z$9:$Z$120)</f>
        <v>10</v>
      </c>
    </row>
    <row r="35" customFormat="false" ht="13.5" hidden="false" customHeight="true" outlineLevel="0" collapsed="false">
      <c r="A35" s="149" t="s">
        <v>303</v>
      </c>
      <c r="B35" s="150" t="str">
        <f aca="false">IFERROR(INDEX(Projects!$C$9:$C$16,MATCH($A35,Projects!$A$9:$A$16,0)),"")</f>
        <v>Land Development</v>
      </c>
      <c r="C35" s="94" t="n">
        <f aca="false">IF(Dashboard!$C$6="Corporate",1,IF(Dashboard!$C$6="Project",IF($A35=Dashboard!$M$6,1,0),IF($B35=Dashboard!$H$6,1,0)))</f>
        <v>1</v>
      </c>
      <c r="D35" s="42" t="s">
        <v>736</v>
      </c>
      <c r="E35" s="30" t="s">
        <v>369</v>
      </c>
      <c r="F35" s="30" t="s">
        <v>1153</v>
      </c>
      <c r="G35" s="30" t="s">
        <v>1154</v>
      </c>
      <c r="H35" s="185" t="n">
        <f aca="false">'PT_LND-01'!$E$106</f>
        <v>2</v>
      </c>
      <c r="I35" s="185" t="n">
        <f aca="false">'PT_LND-01'!$F$106</f>
        <v>4</v>
      </c>
      <c r="J35" s="43" t="n">
        <f aca="false">$H35*$I35</f>
        <v>8</v>
      </c>
      <c r="K35" s="46" t="str">
        <f aca="false">IF($J35&gt;=15,"Critical",IF($J35&gt;=10,"High",IF($J35&gt;=5,"Medium","Low")))</f>
        <v>Medium</v>
      </c>
      <c r="L35" s="86" t="n">
        <f aca="false">'PT_LND-01'!$H$106</f>
        <v>2764783</v>
      </c>
      <c r="M35" s="92" t="n">
        <v>0</v>
      </c>
      <c r="N35" s="87" t="n">
        <f aca="false">($H35*2-1)/10</f>
        <v>0.3</v>
      </c>
      <c r="O35" s="31" t="n">
        <f aca="false">$N35*$L35</f>
        <v>829434.9</v>
      </c>
      <c r="P35" s="44" t="n">
        <f aca="false">$N35*$M35</f>
        <v>0</v>
      </c>
      <c r="Q35" s="93" t="s">
        <v>1145</v>
      </c>
      <c r="R35" s="30" t="s">
        <v>1155</v>
      </c>
      <c r="S35" s="30" t="s">
        <v>667</v>
      </c>
      <c r="T35" s="169" t="n">
        <v>46315</v>
      </c>
      <c r="U35" s="84" t="n">
        <v>1</v>
      </c>
      <c r="V35" s="84" t="n">
        <v>3</v>
      </c>
      <c r="W35" s="43" t="n">
        <f aca="false">$U35*$V35</f>
        <v>3</v>
      </c>
      <c r="X35" s="46" t="str">
        <f aca="false">IF($W35&gt;=15,"Critical",IF($W35&gt;=10,"High",IF($W35&gt;=5,"Medium","Low")))</f>
        <v>Low</v>
      </c>
      <c r="Y35" s="93" t="s">
        <v>1023</v>
      </c>
      <c r="Z35" s="174" t="n">
        <f aca="false">$C35*($O35+ROW()/1000000)</f>
        <v>829434.900035</v>
      </c>
      <c r="AA35" s="94" t="n">
        <f aca="false">RANK($Z35,$Z$9:$Z$120)</f>
        <v>27</v>
      </c>
    </row>
    <row r="36" customFormat="false" ht="13.5" hidden="false" customHeight="true" outlineLevel="0" collapsed="false">
      <c r="A36" s="47" t="s">
        <v>303</v>
      </c>
      <c r="B36" s="154" t="str">
        <f aca="false">IFERROR(INDEX(Projects!$C$9:$C$16,MATCH($A36,Projects!$A$9:$A$16,0)),"")</f>
        <v>Land Development</v>
      </c>
      <c r="C36" s="155" t="n">
        <f aca="false">IF(Dashboard!$C$6="Corporate",1,IF(Dashboard!$C$6="Project",IF($A36=Dashboard!$M$6,1,0),IF($B36=Dashboard!$H$6,1,0)))</f>
        <v>1</v>
      </c>
      <c r="D36" s="47" t="s">
        <v>1167</v>
      </c>
      <c r="E36" s="37" t="s">
        <v>381</v>
      </c>
      <c r="F36" s="37" t="s">
        <v>1157</v>
      </c>
      <c r="G36" s="37" t="s">
        <v>1158</v>
      </c>
      <c r="H36" s="97" t="n">
        <f aca="false">'PT_LND-01'!$E$107</f>
        <v>3</v>
      </c>
      <c r="I36" s="97" t="n">
        <f aca="false">'PT_LND-01'!$F$107</f>
        <v>3</v>
      </c>
      <c r="J36" s="48" t="n">
        <f aca="false">$H36*$I36</f>
        <v>9</v>
      </c>
      <c r="K36" s="52" t="str">
        <f aca="false">IF($J36&gt;=15,"Critical",IF($J36&gt;=10,"High",IF($J36&gt;=5,"Medium","Low")))</f>
        <v>Medium</v>
      </c>
      <c r="L36" s="99" t="n">
        <f aca="false">'PT_LND-01'!$H$107</f>
        <v>3141799</v>
      </c>
      <c r="M36" s="99" t="n">
        <v>40</v>
      </c>
      <c r="N36" s="100" t="n">
        <f aca="false">($H36*2-1)/10</f>
        <v>0.5</v>
      </c>
      <c r="O36" s="49" t="n">
        <f aca="false">$N36*$L36</f>
        <v>1570899.5</v>
      </c>
      <c r="P36" s="50" t="n">
        <f aca="false">$N36*$M36</f>
        <v>20</v>
      </c>
      <c r="Q36" s="103" t="s">
        <v>1145</v>
      </c>
      <c r="R36" s="37" t="s">
        <v>1159</v>
      </c>
      <c r="S36" s="37" t="s">
        <v>1160</v>
      </c>
      <c r="T36" s="96" t="n">
        <v>46325</v>
      </c>
      <c r="U36" s="97" t="n">
        <v>2</v>
      </c>
      <c r="V36" s="97" t="n">
        <v>2</v>
      </c>
      <c r="W36" s="48" t="n">
        <f aca="false">$U36*$V36</f>
        <v>4</v>
      </c>
      <c r="X36" s="52" t="str">
        <f aca="false">IF($W36&gt;=15,"Critical",IF($W36&gt;=10,"High",IF($W36&gt;=5,"Medium","Low")))</f>
        <v>Low</v>
      </c>
      <c r="Y36" s="103" t="s">
        <v>1161</v>
      </c>
      <c r="Z36" s="175" t="n">
        <f aca="false">$C36*($O36+ROW()/1000000)</f>
        <v>1570899.500036</v>
      </c>
      <c r="AA36" s="155" t="n">
        <f aca="false">RANK($Z36,$Z$9:$Z$120)</f>
        <v>15</v>
      </c>
    </row>
    <row r="37" customFormat="false" ht="13.5" hidden="false" customHeight="true" outlineLevel="0" collapsed="false">
      <c r="A37" s="149" t="s">
        <v>304</v>
      </c>
      <c r="B37" s="150" t="str">
        <f aca="false">IFERROR(INDEX(Projects!$C$9:$C$16,MATCH($A37,Projects!$A$9:$A$16,0)),"")</f>
        <v>Land Development</v>
      </c>
      <c r="C37" s="94" t="n">
        <f aca="false">IF(Dashboard!$C$6="Corporate",1,IF(Dashboard!$C$6="Project",IF($A37=Dashboard!$M$6,1,0),IF($B37=Dashboard!$H$6,1,0)))</f>
        <v>1</v>
      </c>
      <c r="D37" s="42" t="s">
        <v>739</v>
      </c>
      <c r="E37" s="30" t="s">
        <v>356</v>
      </c>
      <c r="F37" s="30" t="s">
        <v>1143</v>
      </c>
      <c r="G37" s="30" t="s">
        <v>1144</v>
      </c>
      <c r="H37" s="185" t="n">
        <f aca="false">'PT_LND-02'!$E$104</f>
        <v>4</v>
      </c>
      <c r="I37" s="185" t="n">
        <f aca="false">'PT_LND-02'!$F$104</f>
        <v>4</v>
      </c>
      <c r="J37" s="43" t="n">
        <f aca="false">$H37*$I37</f>
        <v>16</v>
      </c>
      <c r="K37" s="46" t="str">
        <f aca="false">IF($J37&gt;=15,"Critical",IF($J37&gt;=10,"High",IF($J37&gt;=5,"Medium","Low")))</f>
        <v>Critical</v>
      </c>
      <c r="L37" s="86" t="n">
        <f aca="false">'PT_LND-02'!$H$104</f>
        <v>2236826</v>
      </c>
      <c r="M37" s="92" t="n">
        <v>45</v>
      </c>
      <c r="N37" s="87" t="n">
        <f aca="false">($H37*2-1)/10</f>
        <v>0.7</v>
      </c>
      <c r="O37" s="31" t="n">
        <f aca="false">$N37*$L37</f>
        <v>1565778.2</v>
      </c>
      <c r="P37" s="44" t="n">
        <f aca="false">$N37*$M37</f>
        <v>31.5</v>
      </c>
      <c r="Q37" s="93" t="s">
        <v>1145</v>
      </c>
      <c r="R37" s="30" t="s">
        <v>1146</v>
      </c>
      <c r="S37" s="30" t="s">
        <v>1147</v>
      </c>
      <c r="T37" s="169" t="n">
        <v>46295</v>
      </c>
      <c r="U37" s="84" t="n">
        <v>3</v>
      </c>
      <c r="V37" s="84" t="n">
        <v>3</v>
      </c>
      <c r="W37" s="43" t="n">
        <f aca="false">$U37*$V37</f>
        <v>9</v>
      </c>
      <c r="X37" s="46" t="str">
        <f aca="false">IF($W37&gt;=15,"Critical",IF($W37&gt;=10,"High",IF($W37&gt;=5,"Medium","Low")))</f>
        <v>Medium</v>
      </c>
      <c r="Y37" s="93" t="s">
        <v>1023</v>
      </c>
      <c r="Z37" s="174" t="n">
        <f aca="false">$C37*($O37+ROW()/1000000)</f>
        <v>1565778.200037</v>
      </c>
      <c r="AA37" s="94" t="n">
        <f aca="false">RANK($Z37,$Z$9:$Z$120)</f>
        <v>16</v>
      </c>
    </row>
    <row r="38" customFormat="false" ht="13.5" hidden="false" customHeight="true" outlineLevel="0" collapsed="false">
      <c r="A38" s="47" t="s">
        <v>304</v>
      </c>
      <c r="B38" s="154" t="str">
        <f aca="false">IFERROR(INDEX(Projects!$C$9:$C$16,MATCH($A38,Projects!$A$9:$A$16,0)),"")</f>
        <v>Land Development</v>
      </c>
      <c r="C38" s="155" t="n">
        <f aca="false">IF(Dashboard!$C$6="Corporate",1,IF(Dashboard!$C$6="Project",IF($A38=Dashboard!$M$6,1,0),IF($B38=Dashboard!$H$6,1,0)))</f>
        <v>1</v>
      </c>
      <c r="D38" s="47" t="s">
        <v>742</v>
      </c>
      <c r="E38" s="37" t="s">
        <v>1148</v>
      </c>
      <c r="F38" s="37" t="s">
        <v>1149</v>
      </c>
      <c r="G38" s="37" t="s">
        <v>1150</v>
      </c>
      <c r="H38" s="97" t="n">
        <f aca="false">'PT_LND-02'!$E$105</f>
        <v>4</v>
      </c>
      <c r="I38" s="97" t="n">
        <f aca="false">'PT_LND-02'!$F$105</f>
        <v>4</v>
      </c>
      <c r="J38" s="48" t="n">
        <f aca="false">$H38*$I38</f>
        <v>16</v>
      </c>
      <c r="K38" s="52" t="str">
        <f aca="false">IF($J38&gt;=15,"Critical",IF($J38&gt;=10,"High",IF($J38&gt;=5,"Medium","Low")))</f>
        <v>Critical</v>
      </c>
      <c r="L38" s="99" t="n">
        <f aca="false">'PT_LND-02'!$H$105</f>
        <v>1824779</v>
      </c>
      <c r="M38" s="99" t="n">
        <v>60</v>
      </c>
      <c r="N38" s="100" t="n">
        <f aca="false">($H38*2-1)/10</f>
        <v>0.7</v>
      </c>
      <c r="O38" s="49" t="n">
        <f aca="false">$N38*$L38</f>
        <v>1277345.3</v>
      </c>
      <c r="P38" s="50" t="n">
        <f aca="false">$N38*$M38</f>
        <v>42</v>
      </c>
      <c r="Q38" s="103" t="s">
        <v>1145</v>
      </c>
      <c r="R38" s="37" t="s">
        <v>1151</v>
      </c>
      <c r="S38" s="37" t="s">
        <v>1152</v>
      </c>
      <c r="T38" s="96" t="n">
        <v>46305</v>
      </c>
      <c r="U38" s="97" t="n">
        <v>3</v>
      </c>
      <c r="V38" s="97" t="n">
        <v>3</v>
      </c>
      <c r="W38" s="48" t="n">
        <f aca="false">$U38*$V38</f>
        <v>9</v>
      </c>
      <c r="X38" s="52" t="str">
        <f aca="false">IF($W38&gt;=15,"Critical",IF($W38&gt;=10,"High",IF($W38&gt;=5,"Medium","Low")))</f>
        <v>Medium</v>
      </c>
      <c r="Y38" s="103" t="s">
        <v>1023</v>
      </c>
      <c r="Z38" s="175" t="n">
        <f aca="false">$C38*($O38+ROW()/1000000)</f>
        <v>1277345.300038</v>
      </c>
      <c r="AA38" s="155" t="n">
        <f aca="false">RANK($Z38,$Z$9:$Z$120)</f>
        <v>20</v>
      </c>
    </row>
    <row r="39" customFormat="false" ht="13.5" hidden="false" customHeight="true" outlineLevel="0" collapsed="false">
      <c r="A39" s="149" t="s">
        <v>304</v>
      </c>
      <c r="B39" s="150" t="str">
        <f aca="false">IFERROR(INDEX(Projects!$C$9:$C$16,MATCH($A39,Projects!$A$9:$A$16,0)),"")</f>
        <v>Land Development</v>
      </c>
      <c r="C39" s="94" t="n">
        <f aca="false">IF(Dashboard!$C$6="Corporate",1,IF(Dashboard!$C$6="Project",IF($A39=Dashboard!$M$6,1,0),IF($B39=Dashboard!$H$6,1,0)))</f>
        <v>1</v>
      </c>
      <c r="D39" s="42" t="s">
        <v>745</v>
      </c>
      <c r="E39" s="30" t="s">
        <v>369</v>
      </c>
      <c r="F39" s="30" t="s">
        <v>1153</v>
      </c>
      <c r="G39" s="30" t="s">
        <v>1154</v>
      </c>
      <c r="H39" s="185" t="n">
        <f aca="false">'PT_LND-02'!$E$106</f>
        <v>3</v>
      </c>
      <c r="I39" s="185" t="n">
        <f aca="false">'PT_LND-02'!$F$106</f>
        <v>4</v>
      </c>
      <c r="J39" s="43" t="n">
        <f aca="false">$H39*$I39</f>
        <v>12</v>
      </c>
      <c r="K39" s="46" t="str">
        <f aca="false">IF($J39&gt;=15,"Critical",IF($J39&gt;=10,"High",IF($J39&gt;=5,"Medium","Low")))</f>
        <v>High</v>
      </c>
      <c r="L39" s="86" t="n">
        <f aca="false">'PT_LND-02'!$H$106</f>
        <v>1295005</v>
      </c>
      <c r="M39" s="92" t="n">
        <v>0</v>
      </c>
      <c r="N39" s="87" t="n">
        <f aca="false">($H39*2-1)/10</f>
        <v>0.5</v>
      </c>
      <c r="O39" s="31" t="n">
        <f aca="false">$N39*$L39</f>
        <v>647502.5</v>
      </c>
      <c r="P39" s="44" t="n">
        <f aca="false">$N39*$M39</f>
        <v>0</v>
      </c>
      <c r="Q39" s="93" t="s">
        <v>1145</v>
      </c>
      <c r="R39" s="30" t="s">
        <v>1155</v>
      </c>
      <c r="S39" s="30" t="s">
        <v>667</v>
      </c>
      <c r="T39" s="169" t="n">
        <v>46315</v>
      </c>
      <c r="U39" s="84" t="n">
        <v>2</v>
      </c>
      <c r="V39" s="84" t="n">
        <v>3</v>
      </c>
      <c r="W39" s="43" t="n">
        <f aca="false">$U39*$V39</f>
        <v>6</v>
      </c>
      <c r="X39" s="46" t="str">
        <f aca="false">IF($W39&gt;=15,"Critical",IF($W39&gt;=10,"High",IF($W39&gt;=5,"Medium","Low")))</f>
        <v>Medium</v>
      </c>
      <c r="Y39" s="93" t="s">
        <v>1023</v>
      </c>
      <c r="Z39" s="174" t="n">
        <f aca="false">$C39*($O39+ROW()/1000000)</f>
        <v>647502.500039</v>
      </c>
      <c r="AA39" s="94" t="n">
        <f aca="false">RANK($Z39,$Z$9:$Z$120)</f>
        <v>30</v>
      </c>
    </row>
    <row r="40" customFormat="false" ht="13.5" hidden="false" customHeight="true" outlineLevel="0" collapsed="false">
      <c r="A40" s="47" t="s">
        <v>304</v>
      </c>
      <c r="B40" s="154" t="str">
        <f aca="false">IFERROR(INDEX(Projects!$C$9:$C$16,MATCH($A40,Projects!$A$9:$A$16,0)),"")</f>
        <v>Land Development</v>
      </c>
      <c r="C40" s="155" t="n">
        <f aca="false">IF(Dashboard!$C$6="Corporate",1,IF(Dashboard!$C$6="Project",IF($A40=Dashboard!$M$6,1,0),IF($B40=Dashboard!$H$6,1,0)))</f>
        <v>1</v>
      </c>
      <c r="D40" s="47" t="s">
        <v>1168</v>
      </c>
      <c r="E40" s="37" t="s">
        <v>381</v>
      </c>
      <c r="F40" s="37" t="s">
        <v>1157</v>
      </c>
      <c r="G40" s="37" t="s">
        <v>1158</v>
      </c>
      <c r="H40" s="97" t="n">
        <f aca="false">'PT_LND-02'!$E$107</f>
        <v>4</v>
      </c>
      <c r="I40" s="97" t="n">
        <f aca="false">'PT_LND-02'!$F$107</f>
        <v>3</v>
      </c>
      <c r="J40" s="48" t="n">
        <f aca="false">$H40*$I40</f>
        <v>12</v>
      </c>
      <c r="K40" s="52" t="str">
        <f aca="false">IF($J40&gt;=15,"Critical",IF($J40&gt;=10,"High",IF($J40&gt;=5,"Medium","Low")))</f>
        <v>High</v>
      </c>
      <c r="L40" s="99" t="n">
        <f aca="false">'PT_LND-02'!$H$107</f>
        <v>1471596</v>
      </c>
      <c r="M40" s="99" t="n">
        <v>40</v>
      </c>
      <c r="N40" s="100" t="n">
        <f aca="false">($H40*2-1)/10</f>
        <v>0.7</v>
      </c>
      <c r="O40" s="49" t="n">
        <f aca="false">$N40*$L40</f>
        <v>1030117.2</v>
      </c>
      <c r="P40" s="50" t="n">
        <f aca="false">$N40*$M40</f>
        <v>28</v>
      </c>
      <c r="Q40" s="103" t="s">
        <v>1145</v>
      </c>
      <c r="R40" s="37" t="s">
        <v>1159</v>
      </c>
      <c r="S40" s="37" t="s">
        <v>1160</v>
      </c>
      <c r="T40" s="96" t="n">
        <v>46325</v>
      </c>
      <c r="U40" s="97" t="n">
        <v>3</v>
      </c>
      <c r="V40" s="97" t="n">
        <v>2</v>
      </c>
      <c r="W40" s="48" t="n">
        <f aca="false">$U40*$V40</f>
        <v>6</v>
      </c>
      <c r="X40" s="52" t="str">
        <f aca="false">IF($W40&gt;=15,"Critical",IF($W40&gt;=10,"High",IF($W40&gt;=5,"Medium","Low")))</f>
        <v>Medium</v>
      </c>
      <c r="Y40" s="103" t="s">
        <v>1161</v>
      </c>
      <c r="Z40" s="175" t="n">
        <f aca="false">$C40*($O40+ROW()/1000000)</f>
        <v>1030117.20004</v>
      </c>
      <c r="AA40" s="155" t="n">
        <f aca="false">RANK($Z40,$Z$9:$Z$120)</f>
        <v>24</v>
      </c>
    </row>
    <row r="41" customFormat="false" ht="15" hidden="false" customHeight="true" outlineLevel="0" collapsed="false">
      <c r="A41" s="27" t="s">
        <v>1169</v>
      </c>
      <c r="B41" s="27"/>
      <c r="C41" s="27"/>
      <c r="D41" s="27"/>
      <c r="E41" s="27"/>
      <c r="F41" s="27"/>
      <c r="G41" s="27"/>
      <c r="H41" s="27"/>
      <c r="I41" s="27"/>
      <c r="J41" s="27"/>
      <c r="K41" s="27"/>
      <c r="L41" s="28" t="n">
        <f aca="false">SUMPRODUCT(Risk_Register!$C$9:$C$40,$L$9:$L$40)</f>
        <v>100684093</v>
      </c>
      <c r="M41" s="28" t="n">
        <f aca="false">SUMPRODUCT(Risk_Register!$C$9:$C$40,$M$9:$M$40)</f>
        <v>1160</v>
      </c>
      <c r="N41" s="105"/>
      <c r="O41" s="28" t="n">
        <f aca="false">SUMPRODUCT(Risk_Register!$C$9:$C$40,$O$9:$O$40)</f>
        <v>54829977.3</v>
      </c>
      <c r="P41" s="178" t="n">
        <f aca="false">SUMPRODUCT(Risk_Register!$C$9:$C$40,$P$9:$P$40)</f>
        <v>696</v>
      </c>
      <c r="Q41" s="105"/>
      <c r="R41" s="105"/>
      <c r="S41" s="105"/>
      <c r="T41" s="105"/>
      <c r="U41" s="105"/>
      <c r="V41" s="105"/>
      <c r="W41" s="105"/>
      <c r="X41" s="105"/>
      <c r="Y41" s="105"/>
      <c r="Z41" s="105"/>
      <c r="AA41" s="10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c r="U42" s="5"/>
      <c r="V42" s="5"/>
      <c r="W42" s="5"/>
      <c r="X42" s="5"/>
      <c r="Y42" s="5"/>
      <c r="Z42" s="5"/>
      <c r="AA42" s="5"/>
    </row>
    <row r="43" customFormat="false" ht="19.5" hidden="false" customHeight="true" outlineLevel="0" collapsed="false">
      <c r="A43" s="13" t="s">
        <v>1170</v>
      </c>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row>
    <row r="44" customFormat="false" ht="15.75" hidden="false" customHeight="true" outlineLevel="0" collapsed="false">
      <c r="A44" s="53" t="s">
        <v>44</v>
      </c>
      <c r="B44" s="53"/>
      <c r="C44" s="53"/>
      <c r="D44" s="164" t="n">
        <f aca="false">SUMPRODUCT(Risk_Register!$C$9:$C$40,(($Y$9:$Y$40="Open")+($Y$9:$Y$40="Mitigating")),$O$9:$O$40)</f>
        <v>54829977.3</v>
      </c>
      <c r="E44" s="164"/>
      <c r="F44" s="53" t="s">
        <v>1171</v>
      </c>
      <c r="G44" s="53"/>
      <c r="H44" s="53"/>
      <c r="I44" s="170" t="n">
        <f aca="false">SUMPRODUCT(Risk_Register!$C$9:$C$40,(($Y$9:$Y$40="Open")+($Y$9:$Y$40="Mitigating")),$P$9:$P$40)</f>
        <v>696</v>
      </c>
      <c r="J44" s="170"/>
      <c r="K44" s="5"/>
      <c r="L44" s="5"/>
      <c r="M44" s="5"/>
      <c r="N44" s="53" t="s">
        <v>1172</v>
      </c>
      <c r="O44" s="53"/>
      <c r="P44" s="53"/>
      <c r="Q44" s="143" t="n">
        <f aca="false">IF(Cost_Financials!$F$57=0,0,SUMPRODUCT(Risk_Register!$C$9:$C$40,(($Y$9:$Y$40="Open")+($Y$9:$Y$40="Mitigating")),$O$9:$O$40)/Cost_Financials!$F$57)</f>
        <v>2.13537110704998</v>
      </c>
      <c r="R44" s="143"/>
      <c r="S44" s="5"/>
      <c r="T44" s="5"/>
      <c r="U44" s="5"/>
      <c r="V44" s="5"/>
      <c r="W44" s="5"/>
      <c r="X44" s="5"/>
      <c r="Y44" s="5"/>
      <c r="Z44" s="5"/>
      <c r="AA44" s="5"/>
    </row>
    <row r="45" customFormat="false" ht="15.75" hidden="false" customHeight="true" outlineLevel="0" collapsed="false">
      <c r="A45" s="53" t="s">
        <v>48</v>
      </c>
      <c r="B45" s="53"/>
      <c r="C45" s="53"/>
      <c r="D45" s="164" t="n">
        <f aca="false">SUMPRODUCT(Risk_Register!$C$9:$C$40,(($Y$9:$Y$40="Open")+($Y$9:$Y$40="Mitigating")),(($K$9:$K$40="High")+($K$9:$K$40="Critical")))</f>
        <v>24</v>
      </c>
      <c r="E45" s="164"/>
      <c r="F45" s="53" t="s">
        <v>1173</v>
      </c>
      <c r="G45" s="53"/>
      <c r="H45" s="53"/>
      <c r="I45" s="164" t="n">
        <f aca="false">SUMPRODUCT(Risk_Register!$C$9:$C$40,($Y$9:$Y$40&lt;&gt;"Closed")*1,(($U$9:$U$40*2-1)/10),$L$9:$L$40)</f>
        <v>34693158.7</v>
      </c>
      <c r="J45" s="164"/>
      <c r="K45" s="5"/>
      <c r="L45" s="5"/>
      <c r="M45" s="5"/>
      <c r="N45" s="53" t="s">
        <v>1174</v>
      </c>
      <c r="O45" s="53"/>
      <c r="P45" s="53"/>
      <c r="Q45" s="171" t="str">
        <f aca="false">IF(SUMPRODUCT(Risk_Register!$C$9:$C$40,(($Y$9:$Y$40="Open")+($Y$9:$Y$40="Mitigating")),($K$9:$K$40="Critical")*1)&gt;0,"Red",IF(SUMPRODUCT(Risk_Register!$C$9:$C$40,(($Y$9:$Y$40="Open")+($Y$9:$Y$40="Mitigating")),($K$9:$K$40="High")*1)&gt;0,"Amber","Green"))</f>
        <v>Red</v>
      </c>
      <c r="R45" s="171"/>
      <c r="S45" s="5"/>
      <c r="T45" s="5"/>
      <c r="U45" s="5"/>
      <c r="V45" s="5"/>
      <c r="W45" s="5"/>
      <c r="X45" s="5"/>
      <c r="Y45" s="5"/>
      <c r="Z45" s="5"/>
      <c r="AA45" s="5"/>
    </row>
    <row r="46" customFormat="false" ht="15.75" hidden="false" customHeight="true" outlineLevel="0" collapsed="false">
      <c r="A46" s="53" t="s">
        <v>1175</v>
      </c>
      <c r="B46" s="53"/>
      <c r="C46" s="53"/>
      <c r="D46" s="164" t="n">
        <f aca="false">SUMPRODUCT(Risk_Register!$C$9:$C$40,(($Y$9:$Y$40="Open")+($Y$9:$Y$40="Mitigating")))</f>
        <v>32</v>
      </c>
      <c r="E46" s="164"/>
      <c r="F46" s="53" t="s">
        <v>1176</v>
      </c>
      <c r="G46" s="53"/>
      <c r="H46" s="53"/>
      <c r="I46" s="164" t="n">
        <f aca="false">SUMPRODUCT(Risk_Register!$C$9:$C$40,($Y$9:$Y$40&lt;&gt;"Closed")*1,($T$9:$T$40&lt;Dashboard!$C$7)*1)</f>
        <v>0</v>
      </c>
      <c r="J46" s="164"/>
      <c r="K46" s="5"/>
      <c r="L46" s="5"/>
      <c r="M46" s="5"/>
      <c r="N46" s="53" t="s">
        <v>1177</v>
      </c>
      <c r="O46" s="53"/>
      <c r="P46" s="53"/>
      <c r="Q46" s="164" t="n">
        <f aca="false">SUMPRODUCT(Risk_Register!$C$9:$C$40)</f>
        <v>32</v>
      </c>
      <c r="R46" s="164"/>
      <c r="S46" s="5"/>
      <c r="T46" s="5"/>
      <c r="U46" s="5"/>
      <c r="V46" s="5"/>
      <c r="W46" s="5"/>
      <c r="X46" s="5"/>
      <c r="Y46" s="5"/>
      <c r="Z46" s="5"/>
      <c r="AA46" s="5"/>
    </row>
    <row r="47" customFormat="false" ht="15" hidden="false" customHeight="true" outlineLevel="0" collapsed="false">
      <c r="A47" s="5"/>
      <c r="B47" s="5"/>
      <c r="C47" s="5"/>
      <c r="D47" s="5"/>
      <c r="E47" s="5"/>
      <c r="F47" s="5"/>
      <c r="G47" s="5"/>
      <c r="H47" s="5"/>
      <c r="I47" s="5"/>
      <c r="J47" s="5"/>
      <c r="K47" s="5"/>
      <c r="L47" s="5"/>
      <c r="M47" s="5"/>
      <c r="N47" s="5"/>
      <c r="O47" s="5"/>
      <c r="P47" s="5"/>
      <c r="Q47" s="5"/>
      <c r="R47" s="5"/>
      <c r="S47" s="5"/>
      <c r="T47" s="5"/>
      <c r="U47" s="5"/>
      <c r="V47" s="5"/>
      <c r="W47" s="5"/>
      <c r="X47" s="5"/>
      <c r="Y47" s="5"/>
      <c r="Z47" s="5"/>
      <c r="AA47" s="5"/>
    </row>
    <row r="48" customFormat="false" ht="25.5" hidden="false" customHeight="true" outlineLevel="0" collapsed="false">
      <c r="A48" s="58" t="s">
        <v>1178</v>
      </c>
      <c r="B48" s="58"/>
      <c r="C48" s="58"/>
      <c r="D48" s="58"/>
      <c r="E48" s="58"/>
      <c r="F48" s="58"/>
      <c r="G48" s="58"/>
      <c r="H48" s="58"/>
      <c r="I48" s="58"/>
      <c r="J48" s="58"/>
      <c r="K48" s="58"/>
      <c r="L48" s="58"/>
      <c r="M48" s="58"/>
      <c r="N48" s="58"/>
      <c r="O48" s="58"/>
      <c r="P48" s="58"/>
      <c r="Q48" s="58"/>
      <c r="R48" s="58"/>
      <c r="S48" s="58"/>
      <c r="T48" s="58"/>
      <c r="U48" s="58"/>
      <c r="V48" s="58"/>
      <c r="W48" s="58"/>
      <c r="X48" s="58"/>
      <c r="Y48" s="58"/>
      <c r="Z48" s="58"/>
      <c r="AA48" s="58"/>
    </row>
  </sheetData>
  <autoFilter ref="A8:AA40"/>
  <mergeCells count="26">
    <mergeCell ref="A1:AA1"/>
    <mergeCell ref="A2:AA2"/>
    <mergeCell ref="A3:AA3"/>
    <mergeCell ref="A4:AA4"/>
    <mergeCell ref="A6:AA6"/>
    <mergeCell ref="A41:K41"/>
    <mergeCell ref="A43:AA43"/>
    <mergeCell ref="A44:C44"/>
    <mergeCell ref="D44:E44"/>
    <mergeCell ref="F44:H44"/>
    <mergeCell ref="I44:J44"/>
    <mergeCell ref="N44:P44"/>
    <mergeCell ref="Q44:R44"/>
    <mergeCell ref="A45:C45"/>
    <mergeCell ref="D45:E45"/>
    <mergeCell ref="F45:H45"/>
    <mergeCell ref="I45:J45"/>
    <mergeCell ref="N45:P45"/>
    <mergeCell ref="Q45:R45"/>
    <mergeCell ref="A46:C46"/>
    <mergeCell ref="D46:E46"/>
    <mergeCell ref="F46:H46"/>
    <mergeCell ref="I46:J46"/>
    <mergeCell ref="N46:P46"/>
    <mergeCell ref="Q46:R46"/>
    <mergeCell ref="A48:AA48"/>
  </mergeCells>
  <conditionalFormatting sqref="K9:K40">
    <cfRule type="cellIs" priority="2" operator="equal" aboveAverage="0" equalAverage="0" bottom="0" percent="0" rank="0" text="" dxfId="0">
      <formula>"Low"</formula>
    </cfRule>
    <cfRule type="cellIs" priority="3" operator="equal" aboveAverage="0" equalAverage="0" bottom="0" percent="0" rank="0" text="" dxfId="1">
      <formula>"Medium"</formula>
    </cfRule>
    <cfRule type="cellIs" priority="4" operator="equal" aboveAverage="0" equalAverage="0" bottom="0" percent="0" rank="0" text="" dxfId="2">
      <formula>"High"</formula>
    </cfRule>
    <cfRule type="cellIs" priority="5" operator="equal" aboveAverage="0" equalAverage="0" bottom="0" percent="0" rank="0" text="" dxfId="2">
      <formula>"Critical"</formula>
    </cfRule>
  </conditionalFormatting>
  <conditionalFormatting sqref="X9:X40">
    <cfRule type="cellIs" priority="6" operator="equal" aboveAverage="0" equalAverage="0" bottom="0" percent="0" rank="0" text="" dxfId="0">
      <formula>"Low"</formula>
    </cfRule>
    <cfRule type="cellIs" priority="7" operator="equal" aboveAverage="0" equalAverage="0" bottom="0" percent="0" rank="0" text="" dxfId="1">
      <formula>"Medium"</formula>
    </cfRule>
    <cfRule type="cellIs" priority="8" operator="equal" aboveAverage="0" equalAverage="0" bottom="0" percent="0" rank="0" text="" dxfId="2">
      <formula>"High"</formula>
    </cfRule>
    <cfRule type="cellIs" priority="9" operator="equal" aboveAverage="0" equalAverage="0" bottom="0" percent="0" rank="0" text="" dxfId="2">
      <formula>"Critical"</formula>
    </cfRule>
  </conditionalFormatting>
  <conditionalFormatting sqref="Y9:Y40">
    <cfRule type="cellIs" priority="10" operator="equal" aboveAverage="0" equalAverage="0" bottom="0" percent="0" rank="0" text="" dxfId="0">
      <formula>"Closed"</formula>
    </cfRule>
    <cfRule type="cellIs" priority="11" operator="equal" aboveAverage="0" equalAverage="0" bottom="0" percent="0" rank="0" text="" dxfId="0">
      <formula>"Transferred"</formula>
    </cfRule>
    <cfRule type="cellIs" priority="12" operator="equal" aboveAverage="0" equalAverage="0" bottom="0" percent="0" rank="0" text="" dxfId="1">
      <formula>"Mitigating"</formula>
    </cfRule>
    <cfRule type="cellIs" priority="13" operator="equal" aboveAverage="0" equalAverage="0" bottom="0" percent="0" rank="0" text="" dxfId="2">
      <formula>"Open"</formula>
    </cfRule>
    <cfRule type="cellIs" priority="14" operator="equal" aboveAverage="0" equalAverage="0" bottom="0" percent="0" rank="0" text="" dxfId="2">
      <formula>"Realised"</formula>
    </cfRule>
  </conditionalFormatting>
  <conditionalFormatting sqref="C9:C40">
    <cfRule type="cellIs" priority="15" operator="equal" aboveAverage="0" equalAverage="0" bottom="0" percent="0" rank="0" text="" dxfId="0">
      <formula>"1"</formula>
    </cfRule>
  </conditionalFormatting>
  <conditionalFormatting sqref="Q45:U45">
    <cfRule type="cellIs" priority="16" operator="equal" aboveAverage="0" equalAverage="0" bottom="0" percent="0" rank="0" text="" dxfId="0">
      <formula>"Green"</formula>
    </cfRule>
    <cfRule type="cellIs" priority="17" operator="equal" aboveAverage="0" equalAverage="0" bottom="0" percent="0" rank="0" text="" dxfId="1">
      <formula>"Amber"</formula>
    </cfRule>
    <cfRule type="cellIs" priority="18" operator="equal" aboveAverage="0" equalAverage="0" bottom="0" percent="0" rank="0" text="" dxfId="2">
      <formula>"Red"</formula>
    </cfRule>
  </conditionalFormatting>
  <dataValidations count="3">
    <dataValidation allowBlank="true" errorStyle="stop" operator="between" showDropDown="false" showErrorMessage="false" showInputMessage="false" sqref="Y9:Y40" type="list">
      <formula1>"Open,Mitigating,Closed,Realised,Transferred"</formula1>
      <formula2>0</formula2>
    </dataValidation>
    <dataValidation allowBlank="true" errorStyle="stop" operator="between" showDropDown="false" showErrorMessage="false" showInputMessage="false" sqref="Q9:Q40" type="list">
      <formula1>"Avoid,Mitigate,Transfer,Accept,Exploit"</formula1>
      <formula2>0</formula2>
    </dataValidation>
    <dataValidation allowBlank="true" errorStyle="stop" operator="between" showDropDown="false" showErrorMessage="false" showInputMessage="false" sqref="A9:A40"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W4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3" min="3" style="1" width="7"/>
    <col collapsed="false" customWidth="true" hidden="false" outlineLevel="0" max="4" min="4" style="1" width="12"/>
    <col collapsed="false" customWidth="true" hidden="false" outlineLevel="0" max="5" min="5" style="1" width="10"/>
    <col collapsed="false" customWidth="true" hidden="false" outlineLevel="0" max="6" min="6" style="1" width="15"/>
    <col collapsed="false" customWidth="true" hidden="false" outlineLevel="0" max="7" min="7" style="1" width="44"/>
    <col collapsed="false" customWidth="true" hidden="false" outlineLevel="0" max="8" min="8" style="1" width="34"/>
    <col collapsed="false" customWidth="true" hidden="false" outlineLevel="0" max="9" min="9" style="1" width="11"/>
    <col collapsed="false" customWidth="true" hidden="false" outlineLevel="0" max="10" min="10" style="1" width="7"/>
    <col collapsed="false" customWidth="true" hidden="false" outlineLevel="0" max="11" min="11" style="1" width="20"/>
    <col collapsed="false" customWidth="true" hidden="false" outlineLevel="0" max="12" min="12" style="1" width="10"/>
    <col collapsed="false" customWidth="true" hidden="false" outlineLevel="0" max="13" min="13" style="1" width="13"/>
    <col collapsed="false" customWidth="true" hidden="false" outlineLevel="0" max="14" min="14" style="1" width="9"/>
    <col collapsed="false" customWidth="true" hidden="false" outlineLevel="0" max="15" min="15" style="1" width="48"/>
    <col collapsed="false" customWidth="true" hidden="false" outlineLevel="0" max="17" min="16" style="1" width="10"/>
    <col collapsed="false" customWidth="true" hidden="false" outlineLevel="0" max="18" min="18" style="1" width="8"/>
    <col collapsed="false" customWidth="true" hidden="false" outlineLevel="0" max="19" min="19" style="1" width="13"/>
    <col collapsed="false" customWidth="true" hidden="false" outlineLevel="0" max="20" min="20" style="1" width="10"/>
    <col collapsed="false" customWidth="true" hidden="false" outlineLevel="0" max="21" min="21" style="1" width="8"/>
    <col collapsed="false" customWidth="true" hidden="false" outlineLevel="0" max="22" min="22" style="1" width="9"/>
    <col collapsed="false" customWidth="true" hidden="false" outlineLevel="0" max="23" min="23" style="1" width="7"/>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c r="V1" s="2"/>
      <c r="W1" s="2"/>
    </row>
    <row r="2" customFormat="false" ht="30" hidden="false" customHeight="true" outlineLevel="0" collapsed="false">
      <c r="A2" s="59" t="s">
        <v>1179</v>
      </c>
      <c r="B2" s="59"/>
      <c r="C2" s="59"/>
      <c r="D2" s="59"/>
      <c r="E2" s="59"/>
      <c r="F2" s="59"/>
      <c r="G2" s="59"/>
      <c r="H2" s="59"/>
      <c r="I2" s="59"/>
      <c r="J2" s="59"/>
      <c r="K2" s="59"/>
      <c r="L2" s="59"/>
      <c r="M2" s="59"/>
      <c r="N2" s="59"/>
      <c r="O2" s="59"/>
      <c r="P2" s="59"/>
      <c r="Q2" s="59"/>
      <c r="R2" s="59"/>
      <c r="S2" s="59"/>
      <c r="T2" s="59"/>
      <c r="U2" s="59"/>
      <c r="V2" s="59"/>
      <c r="W2" s="59"/>
    </row>
    <row r="3" customFormat="false" ht="16.5" hidden="false" customHeight="true" outlineLevel="0" collapsed="false">
      <c r="A3" s="60" t="s">
        <v>1180</v>
      </c>
      <c r="B3" s="60"/>
      <c r="C3" s="60"/>
      <c r="D3" s="60"/>
      <c r="E3" s="60"/>
      <c r="F3" s="60"/>
      <c r="G3" s="60"/>
      <c r="H3" s="60"/>
      <c r="I3" s="60"/>
      <c r="J3" s="60"/>
      <c r="K3" s="60"/>
      <c r="L3" s="60"/>
      <c r="M3" s="60"/>
      <c r="N3" s="60"/>
      <c r="O3" s="60"/>
      <c r="P3" s="60"/>
      <c r="Q3" s="60"/>
      <c r="R3" s="60"/>
      <c r="S3" s="60"/>
      <c r="T3" s="60"/>
      <c r="U3" s="60"/>
      <c r="V3" s="60"/>
      <c r="W3" s="60"/>
    </row>
    <row r="4" customFormat="false" ht="15" hidden="false" customHeight="true" outlineLevel="0" collapsed="false">
      <c r="A4" s="61" t="s">
        <v>1181</v>
      </c>
      <c r="B4" s="61"/>
      <c r="C4" s="61"/>
      <c r="D4" s="61"/>
      <c r="E4" s="61"/>
      <c r="F4" s="61"/>
      <c r="G4" s="61"/>
      <c r="H4" s="61"/>
      <c r="I4" s="61"/>
      <c r="J4" s="61"/>
      <c r="K4" s="61"/>
      <c r="L4" s="61"/>
      <c r="M4" s="61"/>
      <c r="N4" s="61"/>
      <c r="O4" s="61"/>
      <c r="P4" s="61"/>
      <c r="Q4" s="61"/>
      <c r="R4" s="61"/>
      <c r="S4" s="61"/>
      <c r="T4" s="61"/>
      <c r="U4" s="61"/>
      <c r="V4" s="61"/>
      <c r="W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c r="V5" s="5"/>
      <c r="W5" s="5"/>
    </row>
    <row r="6" customFormat="false" ht="19.5" hidden="false" customHeight="true" outlineLevel="0" collapsed="false">
      <c r="A6" s="13" t="s">
        <v>1182</v>
      </c>
      <c r="B6" s="13"/>
      <c r="C6" s="13"/>
      <c r="D6" s="13"/>
      <c r="E6" s="13"/>
      <c r="F6" s="13"/>
      <c r="G6" s="13"/>
      <c r="H6" s="13"/>
      <c r="I6" s="13"/>
      <c r="J6" s="13"/>
      <c r="K6" s="13"/>
      <c r="L6" s="13"/>
      <c r="M6" s="13"/>
      <c r="N6" s="13"/>
      <c r="O6" s="13"/>
      <c r="P6" s="13"/>
      <c r="Q6" s="13"/>
      <c r="R6" s="13"/>
      <c r="S6" s="13"/>
      <c r="T6" s="13"/>
      <c r="U6" s="13"/>
      <c r="V6" s="13"/>
      <c r="W6" s="13"/>
    </row>
    <row r="7" customFormat="false" ht="15" hidden="false" customHeight="true" outlineLevel="0" collapsed="false">
      <c r="A7" s="5"/>
      <c r="B7" s="5"/>
      <c r="C7" s="5"/>
      <c r="D7" s="5"/>
      <c r="E7" s="5"/>
      <c r="F7" s="5"/>
      <c r="G7" s="5"/>
      <c r="H7" s="5"/>
      <c r="I7" s="5"/>
      <c r="J7" s="5"/>
      <c r="K7" s="5"/>
      <c r="L7" s="5"/>
      <c r="M7" s="5"/>
      <c r="N7" s="5"/>
      <c r="O7" s="5"/>
      <c r="P7" s="5"/>
      <c r="Q7" s="5"/>
      <c r="R7" s="5"/>
      <c r="S7" s="5"/>
      <c r="T7" s="5"/>
      <c r="U7" s="5"/>
      <c r="V7" s="5"/>
      <c r="W7" s="5"/>
    </row>
    <row r="8" customFormat="false" ht="39.75" hidden="false" customHeight="true" outlineLevel="0" collapsed="false">
      <c r="A8" s="23" t="s">
        <v>256</v>
      </c>
      <c r="B8" s="23" t="s">
        <v>5</v>
      </c>
      <c r="C8" s="23" t="s">
        <v>289</v>
      </c>
      <c r="D8" s="23" t="s">
        <v>1183</v>
      </c>
      <c r="E8" s="23" t="s">
        <v>653</v>
      </c>
      <c r="F8" s="23" t="s">
        <v>655</v>
      </c>
      <c r="G8" s="23" t="s">
        <v>1184</v>
      </c>
      <c r="H8" s="23" t="s">
        <v>1185</v>
      </c>
      <c r="I8" s="23" t="s">
        <v>659</v>
      </c>
      <c r="J8" s="23" t="s">
        <v>767</v>
      </c>
      <c r="K8" s="23" t="s">
        <v>1186</v>
      </c>
      <c r="L8" s="23" t="s">
        <v>77</v>
      </c>
      <c r="M8" s="23" t="s">
        <v>657</v>
      </c>
      <c r="N8" s="23" t="s">
        <v>658</v>
      </c>
      <c r="O8" s="23" t="s">
        <v>1187</v>
      </c>
      <c r="P8" s="23" t="s">
        <v>663</v>
      </c>
      <c r="Q8" s="23" t="s">
        <v>1011</v>
      </c>
      <c r="R8" s="23" t="s">
        <v>664</v>
      </c>
      <c r="S8" s="23" t="s">
        <v>1188</v>
      </c>
      <c r="T8" s="23" t="s">
        <v>78</v>
      </c>
      <c r="U8" s="23" t="s">
        <v>288</v>
      </c>
      <c r="V8" s="23" t="s">
        <v>1142</v>
      </c>
      <c r="W8" s="23" t="s">
        <v>777</v>
      </c>
    </row>
    <row r="9" customFormat="false" ht="13.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42" t="s">
        <v>1189</v>
      </c>
      <c r="E9" s="85" t="n">
        <v>46213</v>
      </c>
      <c r="F9" s="30" t="s">
        <v>493</v>
      </c>
      <c r="G9" s="30" t="s">
        <v>1190</v>
      </c>
      <c r="H9" s="30" t="s">
        <v>1191</v>
      </c>
      <c r="I9" s="45" t="s">
        <v>669</v>
      </c>
      <c r="J9" s="45" t="s">
        <v>495</v>
      </c>
      <c r="K9" s="30" t="s">
        <v>1192</v>
      </c>
      <c r="L9" s="153" t="str">
        <f aca="false">'PT_RES-01'!$E$110</f>
        <v>High</v>
      </c>
      <c r="M9" s="86" t="n">
        <f aca="false">'PT_RES-01'!$F$110</f>
        <v>0</v>
      </c>
      <c r="N9" s="86" t="n">
        <f aca="false">'PT_RES-01'!$G$110</f>
        <v>18</v>
      </c>
      <c r="O9" s="30" t="s">
        <v>1193</v>
      </c>
      <c r="P9" s="169" t="n">
        <v>46285</v>
      </c>
      <c r="Q9" s="169"/>
      <c r="R9" s="31" t="n">
        <f aca="false">IF($Q9="",Dashboard!$C$7-$E9,$Q9-$E9)</f>
        <v>52</v>
      </c>
      <c r="S9" s="45" t="str">
        <f aca="false">IF($T9="Closed","Closed",IF($R9&lt;=15,"0-15 days",IF($R9&lt;=30,"16-30 days",IF($R9&lt;=60,"31-60 days","Over 60 days"))))</f>
        <v>31-60 days</v>
      </c>
      <c r="T9" s="93" t="s">
        <v>1023</v>
      </c>
      <c r="U9" s="46" t="str">
        <f aca="false">IF($T9="Closed","Green",IF(OR($L9="Critical",$R9&gt;30),"Red","Amber"))</f>
        <v>Red</v>
      </c>
      <c r="V9" s="174" t="n">
        <f aca="false">$C9*(IF($T9="Closed",0,$R9)+ROW()/1000000)</f>
        <v>52.000009</v>
      </c>
      <c r="W9" s="94" t="n">
        <f aca="false">RANK($V9,$V$9:$V$120)</f>
        <v>11</v>
      </c>
    </row>
    <row r="10" customFormat="false" ht="13.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47" t="s">
        <v>1194</v>
      </c>
      <c r="E10" s="98" t="n">
        <v>46224</v>
      </c>
      <c r="F10" s="37" t="s">
        <v>1148</v>
      </c>
      <c r="G10" s="37" t="s">
        <v>1195</v>
      </c>
      <c r="H10" s="37" t="s">
        <v>1196</v>
      </c>
      <c r="I10" s="51" t="s">
        <v>676</v>
      </c>
      <c r="J10" s="51" t="s">
        <v>498</v>
      </c>
      <c r="K10" s="37" t="s">
        <v>1197</v>
      </c>
      <c r="L10" s="103" t="str">
        <f aca="false">'PT_RES-01'!$E$111</f>
        <v>Critical</v>
      </c>
      <c r="M10" s="99" t="n">
        <f aca="false">'PT_RES-01'!$F$111</f>
        <v>0</v>
      </c>
      <c r="N10" s="99" t="n">
        <f aca="false">'PT_RES-01'!$G$111</f>
        <v>34</v>
      </c>
      <c r="O10" s="37" t="s">
        <v>1193</v>
      </c>
      <c r="P10" s="96" t="n">
        <v>46293</v>
      </c>
      <c r="Q10" s="96"/>
      <c r="R10" s="49" t="n">
        <f aca="false">IF($Q10="",Dashboard!$C$7-$E10,$Q10-$E10)</f>
        <v>41</v>
      </c>
      <c r="S10" s="51" t="str">
        <f aca="false">IF($T10="Closed","Closed",IF($R10&lt;=15,"0-15 days",IF($R10&lt;=30,"16-30 days",IF($R10&lt;=60,"31-60 days","Over 60 days"))))</f>
        <v>31-60 days</v>
      </c>
      <c r="T10" s="103" t="s">
        <v>1023</v>
      </c>
      <c r="U10" s="52" t="str">
        <f aca="false">IF($T10="Closed","Green",IF(OR($L10="Critical",$R10&gt;30),"Red","Amber"))</f>
        <v>Red</v>
      </c>
      <c r="V10" s="175" t="n">
        <f aca="false">$C10*(IF($T10="Closed",0,$R10)+ROW()/1000000)</f>
        <v>41.00001</v>
      </c>
      <c r="W10" s="155" t="n">
        <f aca="false">RANK($V10,$V$9:$V$120)</f>
        <v>20</v>
      </c>
    </row>
    <row r="11" customFormat="false" ht="13.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42" t="s">
        <v>1198</v>
      </c>
      <c r="E11" s="85" t="n">
        <v>46232</v>
      </c>
      <c r="F11" s="30" t="s">
        <v>381</v>
      </c>
      <c r="G11" s="30" t="s">
        <v>1199</v>
      </c>
      <c r="H11" s="30" t="s">
        <v>1200</v>
      </c>
      <c r="I11" s="45" t="s">
        <v>682</v>
      </c>
      <c r="J11" s="45" t="s">
        <v>501</v>
      </c>
      <c r="K11" s="30" t="s">
        <v>1201</v>
      </c>
      <c r="L11" s="153" t="str">
        <f aca="false">'PT_RES-01'!$E$112</f>
        <v>Medium</v>
      </c>
      <c r="M11" s="86" t="n">
        <f aca="false">'PT_RES-01'!$F$112</f>
        <v>0</v>
      </c>
      <c r="N11" s="86" t="n">
        <f aca="false">'PT_RES-01'!$G$112</f>
        <v>21</v>
      </c>
      <c r="O11" s="30" t="s">
        <v>1193</v>
      </c>
      <c r="P11" s="169" t="n">
        <v>46301</v>
      </c>
      <c r="Q11" s="169"/>
      <c r="R11" s="31" t="n">
        <f aca="false">IF($Q11="",Dashboard!$C$7-$E11,$Q11-$E11)</f>
        <v>33</v>
      </c>
      <c r="S11" s="45" t="str">
        <f aca="false">IF($T11="Closed","Closed",IF($R11&lt;=15,"0-15 days",IF($R11&lt;=30,"16-30 days",IF($R11&lt;=60,"31-60 days","Over 60 days"))))</f>
        <v>31-60 days</v>
      </c>
      <c r="T11" s="93" t="s">
        <v>1202</v>
      </c>
      <c r="U11" s="46" t="str">
        <f aca="false">IF($T11="Closed","Green",IF(OR($L11="Critical",$R11&gt;30),"Red","Amber"))</f>
        <v>Red</v>
      </c>
      <c r="V11" s="174" t="n">
        <f aca="false">$C11*(IF($T11="Closed",0,$R11)+ROW()/1000000)</f>
        <v>33.000011</v>
      </c>
      <c r="W11" s="94" t="n">
        <f aca="false">RANK($V11,$V$9:$V$120)</f>
        <v>24</v>
      </c>
    </row>
    <row r="12" customFormat="false" ht="13.5" hidden="false" customHeight="true" outlineLevel="0" collapsed="false">
      <c r="A12" s="47" t="s">
        <v>8</v>
      </c>
      <c r="B12" s="154" t="str">
        <f aca="false">IFERROR(INDEX(Projects!$C$9:$C$16,MATCH($A12,Projects!$A$9:$A$16,0)),"")</f>
        <v>Residential</v>
      </c>
      <c r="C12" s="155" t="n">
        <f aca="false">IF(Dashboard!$C$6="Corporate",1,IF(Dashboard!$C$6="Project",IF($A12=Dashboard!$M$6,1,0),IF($B12=Dashboard!$H$6,1,0)))</f>
        <v>1</v>
      </c>
      <c r="D12" s="47" t="s">
        <v>1203</v>
      </c>
      <c r="E12" s="98" t="n">
        <v>46241</v>
      </c>
      <c r="F12" s="37" t="s">
        <v>369</v>
      </c>
      <c r="G12" s="37" t="s">
        <v>1204</v>
      </c>
      <c r="H12" s="37" t="s">
        <v>1205</v>
      </c>
      <c r="I12" s="51" t="s">
        <v>1156</v>
      </c>
      <c r="J12" s="51" t="s">
        <v>506</v>
      </c>
      <c r="K12" s="37" t="s">
        <v>667</v>
      </c>
      <c r="L12" s="103" t="str">
        <f aca="false">'PT_RES-01'!$E$113</f>
        <v>High</v>
      </c>
      <c r="M12" s="99" t="n">
        <f aca="false">'PT_RES-01'!$F$113</f>
        <v>526607</v>
      </c>
      <c r="N12" s="99" t="n">
        <f aca="false">'PT_RES-01'!$G$113</f>
        <v>0</v>
      </c>
      <c r="O12" s="37" t="s">
        <v>1193</v>
      </c>
      <c r="P12" s="96" t="n">
        <v>46309</v>
      </c>
      <c r="Q12" s="96" t="n">
        <v>46261</v>
      </c>
      <c r="R12" s="49" t="n">
        <f aca="false">IF($Q12="",Dashboard!$C$7-$E12,$Q12-$E12)</f>
        <v>20</v>
      </c>
      <c r="S12" s="51" t="str">
        <f aca="false">IF($T12="Closed","Closed",IF($R12&lt;=15,"0-15 days",IF($R12&lt;=30,"16-30 days",IF($R12&lt;=60,"31-60 days","Over 60 days"))))</f>
        <v>Closed</v>
      </c>
      <c r="T12" s="103" t="s">
        <v>1017</v>
      </c>
      <c r="U12" s="52" t="str">
        <f aca="false">IF($T12="Closed","Green",IF(OR($L12="Critical",$R12&gt;30),"Red","Amber"))</f>
        <v>Green</v>
      </c>
      <c r="V12" s="175" t="n">
        <f aca="false">$C12*(IF($T12="Closed",0,$R12)+ROW()/1000000)</f>
        <v>1.2E-005</v>
      </c>
      <c r="W12" s="155" t="n">
        <f aca="false">RANK($V12,$V$9:$V$120)</f>
        <v>32</v>
      </c>
    </row>
    <row r="13" customFormat="false" ht="13.5" hidden="false" customHeight="true" outlineLevel="0" collapsed="false">
      <c r="A13" s="149" t="s">
        <v>293</v>
      </c>
      <c r="B13" s="150" t="str">
        <f aca="false">IFERROR(INDEX(Projects!$C$9:$C$16,MATCH($A13,Projects!$A$9:$A$16,0)),"")</f>
        <v>Residential</v>
      </c>
      <c r="C13" s="94" t="n">
        <f aca="false">IF(Dashboard!$C$6="Corporate",1,IF(Dashboard!$C$6="Project",IF($A13=Dashboard!$M$6,1,0),IF($B13=Dashboard!$H$6,1,0)))</f>
        <v>1</v>
      </c>
      <c r="D13" s="42" t="s">
        <v>1206</v>
      </c>
      <c r="E13" s="85" t="n">
        <v>46208</v>
      </c>
      <c r="F13" s="30" t="s">
        <v>1148</v>
      </c>
      <c r="G13" s="30" t="s">
        <v>1195</v>
      </c>
      <c r="H13" s="30" t="s">
        <v>1196</v>
      </c>
      <c r="I13" s="45" t="s">
        <v>685</v>
      </c>
      <c r="J13" s="45" t="s">
        <v>495</v>
      </c>
      <c r="K13" s="30" t="s">
        <v>1192</v>
      </c>
      <c r="L13" s="153" t="str">
        <f aca="false">'PT_RES-02'!$E$110</f>
        <v>Critical</v>
      </c>
      <c r="M13" s="86" t="n">
        <f aca="false">'PT_RES-02'!$F$110</f>
        <v>0</v>
      </c>
      <c r="N13" s="86" t="n">
        <f aca="false">'PT_RES-02'!$G$110</f>
        <v>34</v>
      </c>
      <c r="O13" s="30" t="s">
        <v>1193</v>
      </c>
      <c r="P13" s="169" t="n">
        <v>46285</v>
      </c>
      <c r="Q13" s="169"/>
      <c r="R13" s="31" t="n">
        <f aca="false">IF($Q13="",Dashboard!$C$7-$E13,$Q13-$E13)</f>
        <v>57</v>
      </c>
      <c r="S13" s="45" t="str">
        <f aca="false">IF($T13="Closed","Closed",IF($R13&lt;=15,"0-15 days",IF($R13&lt;=30,"16-30 days",IF($R13&lt;=60,"31-60 days","Over 60 days"))))</f>
        <v>31-60 days</v>
      </c>
      <c r="T13" s="93" t="s">
        <v>1023</v>
      </c>
      <c r="U13" s="46" t="str">
        <f aca="false">IF($T13="Closed","Green",IF(OR($L13="Critical",$R13&gt;30),"Red","Amber"))</f>
        <v>Red</v>
      </c>
      <c r="V13" s="174" t="n">
        <f aca="false">$C13*(IF($T13="Closed",0,$R13)+ROW()/1000000)</f>
        <v>57.000013</v>
      </c>
      <c r="W13" s="94" t="n">
        <f aca="false">RANK($V13,$V$9:$V$120)</f>
        <v>7</v>
      </c>
    </row>
    <row r="14" customFormat="false" ht="13.5" hidden="false" customHeight="true" outlineLevel="0" collapsed="false">
      <c r="A14" s="47" t="s">
        <v>293</v>
      </c>
      <c r="B14" s="154" t="str">
        <f aca="false">IFERROR(INDEX(Projects!$C$9:$C$16,MATCH($A14,Projects!$A$9:$A$16,0)),"")</f>
        <v>Residential</v>
      </c>
      <c r="C14" s="155" t="n">
        <f aca="false">IF(Dashboard!$C$6="Corporate",1,IF(Dashboard!$C$6="Project",IF($A14=Dashboard!$M$6,1,0),IF($B14=Dashboard!$H$6,1,0)))</f>
        <v>1</v>
      </c>
      <c r="D14" s="47" t="s">
        <v>1207</v>
      </c>
      <c r="E14" s="98" t="n">
        <v>46219</v>
      </c>
      <c r="F14" s="37" t="s">
        <v>381</v>
      </c>
      <c r="G14" s="37" t="s">
        <v>1199</v>
      </c>
      <c r="H14" s="37" t="s">
        <v>1200</v>
      </c>
      <c r="I14" s="51" t="s">
        <v>688</v>
      </c>
      <c r="J14" s="51" t="s">
        <v>498</v>
      </c>
      <c r="K14" s="37" t="s">
        <v>1197</v>
      </c>
      <c r="L14" s="103" t="str">
        <f aca="false">'PT_RES-02'!$E$111</f>
        <v>Medium</v>
      </c>
      <c r="M14" s="99" t="n">
        <f aca="false">'PT_RES-02'!$F$111</f>
        <v>0</v>
      </c>
      <c r="N14" s="99" t="n">
        <f aca="false">'PT_RES-02'!$G$111</f>
        <v>21</v>
      </c>
      <c r="O14" s="37" t="s">
        <v>1193</v>
      </c>
      <c r="P14" s="96" t="n">
        <v>46293</v>
      </c>
      <c r="Q14" s="96"/>
      <c r="R14" s="49" t="n">
        <f aca="false">IF($Q14="",Dashboard!$C$7-$E14,$Q14-$E14)</f>
        <v>46</v>
      </c>
      <c r="S14" s="51" t="str">
        <f aca="false">IF($T14="Closed","Closed",IF($R14&lt;=15,"0-15 days",IF($R14&lt;=30,"16-30 days",IF($R14&lt;=60,"31-60 days","Over 60 days"))))</f>
        <v>31-60 days</v>
      </c>
      <c r="T14" s="103" t="s">
        <v>1023</v>
      </c>
      <c r="U14" s="52" t="str">
        <f aca="false">IF($T14="Closed","Green",IF(OR($L14="Critical",$R14&gt;30),"Red","Amber"))</f>
        <v>Red</v>
      </c>
      <c r="V14" s="175" t="n">
        <f aca="false">$C14*(IF($T14="Closed",0,$R14)+ROW()/1000000)</f>
        <v>46.000014</v>
      </c>
      <c r="W14" s="155" t="n">
        <f aca="false">RANK($V14,$V$9:$V$120)</f>
        <v>16</v>
      </c>
    </row>
    <row r="15" customFormat="false" ht="13.5" hidden="false" customHeight="true" outlineLevel="0" collapsed="false">
      <c r="A15" s="149" t="s">
        <v>293</v>
      </c>
      <c r="B15" s="150" t="str">
        <f aca="false">IFERROR(INDEX(Projects!$C$9:$C$16,MATCH($A15,Projects!$A$9:$A$16,0)),"")</f>
        <v>Residential</v>
      </c>
      <c r="C15" s="94" t="n">
        <f aca="false">IF(Dashboard!$C$6="Corporate",1,IF(Dashboard!$C$6="Project",IF($A15=Dashboard!$M$6,1,0),IF($B15=Dashboard!$H$6,1,0)))</f>
        <v>1</v>
      </c>
      <c r="D15" s="42" t="s">
        <v>1208</v>
      </c>
      <c r="E15" s="85" t="n">
        <v>46227</v>
      </c>
      <c r="F15" s="30" t="s">
        <v>369</v>
      </c>
      <c r="G15" s="30" t="s">
        <v>1204</v>
      </c>
      <c r="H15" s="30" t="s">
        <v>1205</v>
      </c>
      <c r="I15" s="45" t="s">
        <v>691</v>
      </c>
      <c r="J15" s="45" t="s">
        <v>501</v>
      </c>
      <c r="K15" s="30" t="s">
        <v>1201</v>
      </c>
      <c r="L15" s="153" t="str">
        <f aca="false">'PT_RES-02'!$E$112</f>
        <v>High</v>
      </c>
      <c r="M15" s="86" t="n">
        <f aca="false">'PT_RES-02'!$F$112</f>
        <v>0</v>
      </c>
      <c r="N15" s="86" t="n">
        <f aca="false">'PT_RES-02'!$G$112</f>
        <v>0</v>
      </c>
      <c r="O15" s="30" t="s">
        <v>1193</v>
      </c>
      <c r="P15" s="169" t="n">
        <v>46301</v>
      </c>
      <c r="Q15" s="169"/>
      <c r="R15" s="31" t="n">
        <f aca="false">IF($Q15="",Dashboard!$C$7-$E15,$Q15-$E15)</f>
        <v>38</v>
      </c>
      <c r="S15" s="45" t="str">
        <f aca="false">IF($T15="Closed","Closed",IF($R15&lt;=15,"0-15 days",IF($R15&lt;=30,"16-30 days",IF($R15&lt;=60,"31-60 days","Over 60 days"))))</f>
        <v>31-60 days</v>
      </c>
      <c r="T15" s="93" t="s">
        <v>1202</v>
      </c>
      <c r="U15" s="46" t="str">
        <f aca="false">IF($T15="Closed","Green",IF(OR($L15="Critical",$R15&gt;30),"Red","Amber"))</f>
        <v>Red</v>
      </c>
      <c r="V15" s="174" t="n">
        <f aca="false">$C15*(IF($T15="Closed",0,$R15)+ROW()/1000000)</f>
        <v>38.000015</v>
      </c>
      <c r="W15" s="94" t="n">
        <f aca="false">RANK($V15,$V$9:$V$120)</f>
        <v>22</v>
      </c>
    </row>
    <row r="16" customFormat="false" ht="13.5" hidden="false" customHeight="true" outlineLevel="0" collapsed="false">
      <c r="A16" s="47" t="s">
        <v>293</v>
      </c>
      <c r="B16" s="154" t="str">
        <f aca="false">IFERROR(INDEX(Projects!$C$9:$C$16,MATCH($A16,Projects!$A$9:$A$16,0)),"")</f>
        <v>Residential</v>
      </c>
      <c r="C16" s="155" t="n">
        <f aca="false">IF(Dashboard!$C$6="Corporate",1,IF(Dashboard!$C$6="Project",IF($A16=Dashboard!$M$6,1,0),IF($B16=Dashboard!$H$6,1,0)))</f>
        <v>1</v>
      </c>
      <c r="D16" s="47" t="s">
        <v>1209</v>
      </c>
      <c r="E16" s="98" t="n">
        <v>46236</v>
      </c>
      <c r="F16" s="37" t="s">
        <v>493</v>
      </c>
      <c r="G16" s="37" t="s">
        <v>1190</v>
      </c>
      <c r="H16" s="37" t="s">
        <v>1191</v>
      </c>
      <c r="I16" s="51" t="s">
        <v>1162</v>
      </c>
      <c r="J16" s="51" t="s">
        <v>506</v>
      </c>
      <c r="K16" s="37" t="s">
        <v>667</v>
      </c>
      <c r="L16" s="103" t="str">
        <f aca="false">'PT_RES-02'!$E$113</f>
        <v>High</v>
      </c>
      <c r="M16" s="99" t="n">
        <f aca="false">'PT_RES-02'!$F$113</f>
        <v>261106</v>
      </c>
      <c r="N16" s="99" t="n">
        <f aca="false">'PT_RES-02'!$G$113</f>
        <v>18</v>
      </c>
      <c r="O16" s="37" t="s">
        <v>1193</v>
      </c>
      <c r="P16" s="96" t="n">
        <v>46309</v>
      </c>
      <c r="Q16" s="96" t="n">
        <v>46261</v>
      </c>
      <c r="R16" s="49" t="n">
        <f aca="false">IF($Q16="",Dashboard!$C$7-$E16,$Q16-$E16)</f>
        <v>25</v>
      </c>
      <c r="S16" s="51" t="str">
        <f aca="false">IF($T16="Closed","Closed",IF($R16&lt;=15,"0-15 days",IF($R16&lt;=30,"16-30 days",IF($R16&lt;=60,"31-60 days","Over 60 days"))))</f>
        <v>Closed</v>
      </c>
      <c r="T16" s="103" t="s">
        <v>1017</v>
      </c>
      <c r="U16" s="52" t="str">
        <f aca="false">IF($T16="Closed","Green",IF(OR($L16="Critical",$R16&gt;30),"Red","Amber"))</f>
        <v>Green</v>
      </c>
      <c r="V16" s="175" t="n">
        <f aca="false">$C16*(IF($T16="Closed",0,$R16)+ROW()/1000000)</f>
        <v>1.6E-005</v>
      </c>
      <c r="W16" s="155" t="n">
        <f aca="false">RANK($V16,$V$9:$V$120)</f>
        <v>31</v>
      </c>
    </row>
    <row r="17" customFormat="false" ht="13.5" hidden="false" customHeight="true" outlineLevel="0" collapsed="false">
      <c r="A17" s="149" t="s">
        <v>296</v>
      </c>
      <c r="B17" s="150" t="str">
        <f aca="false">IFERROR(INDEX(Projects!$C$9:$C$16,MATCH($A17,Projects!$A$9:$A$16,0)),"")</f>
        <v>Commercial</v>
      </c>
      <c r="C17" s="94" t="n">
        <f aca="false">IF(Dashboard!$C$6="Corporate",1,IF(Dashboard!$C$6="Project",IF($A17=Dashboard!$M$6,1,0),IF($B17=Dashboard!$H$6,1,0)))</f>
        <v>1</v>
      </c>
      <c r="D17" s="42" t="s">
        <v>1210</v>
      </c>
      <c r="E17" s="85" t="n">
        <v>46203</v>
      </c>
      <c r="F17" s="30" t="s">
        <v>381</v>
      </c>
      <c r="G17" s="30" t="s">
        <v>1199</v>
      </c>
      <c r="H17" s="30" t="s">
        <v>1200</v>
      </c>
      <c r="I17" s="45" t="s">
        <v>694</v>
      </c>
      <c r="J17" s="45" t="s">
        <v>495</v>
      </c>
      <c r="K17" s="30" t="s">
        <v>1192</v>
      </c>
      <c r="L17" s="153" t="str">
        <f aca="false">'PT_COM-01'!$E$110</f>
        <v>Medium</v>
      </c>
      <c r="M17" s="86" t="n">
        <f aca="false">'PT_COM-01'!$F$110</f>
        <v>0</v>
      </c>
      <c r="N17" s="86" t="n">
        <f aca="false">'PT_COM-01'!$G$110</f>
        <v>21</v>
      </c>
      <c r="O17" s="30" t="s">
        <v>1193</v>
      </c>
      <c r="P17" s="169" t="n">
        <v>46285</v>
      </c>
      <c r="Q17" s="169"/>
      <c r="R17" s="31" t="n">
        <f aca="false">IF($Q17="",Dashboard!$C$7-$E17,$Q17-$E17)</f>
        <v>62</v>
      </c>
      <c r="S17" s="45" t="str">
        <f aca="false">IF($T17="Closed","Closed",IF($R17&lt;=15,"0-15 days",IF($R17&lt;=30,"16-30 days",IF($R17&lt;=60,"31-60 days","Over 60 days"))))</f>
        <v>Over 60 days</v>
      </c>
      <c r="T17" s="93" t="s">
        <v>1023</v>
      </c>
      <c r="U17" s="46" t="str">
        <f aca="false">IF($T17="Closed","Green",IF(OR($L17="Critical",$R17&gt;30),"Red","Amber"))</f>
        <v>Red</v>
      </c>
      <c r="V17" s="174" t="n">
        <f aca="false">$C17*(IF($T17="Closed",0,$R17)+ROW()/1000000)</f>
        <v>62.000017</v>
      </c>
      <c r="W17" s="94" t="n">
        <f aca="false">RANK($V17,$V$9:$V$120)</f>
        <v>4</v>
      </c>
    </row>
    <row r="18" customFormat="false" ht="13.5" hidden="false" customHeight="true" outlineLevel="0" collapsed="false">
      <c r="A18" s="47" t="s">
        <v>296</v>
      </c>
      <c r="B18" s="154" t="str">
        <f aca="false">IFERROR(INDEX(Projects!$C$9:$C$16,MATCH($A18,Projects!$A$9:$A$16,0)),"")</f>
        <v>Commercial</v>
      </c>
      <c r="C18" s="155" t="n">
        <f aca="false">IF(Dashboard!$C$6="Corporate",1,IF(Dashboard!$C$6="Project",IF($A18=Dashboard!$M$6,1,0),IF($B18=Dashboard!$H$6,1,0)))</f>
        <v>1</v>
      </c>
      <c r="D18" s="47" t="s">
        <v>1211</v>
      </c>
      <c r="E18" s="98" t="n">
        <v>46214</v>
      </c>
      <c r="F18" s="37" t="s">
        <v>369</v>
      </c>
      <c r="G18" s="37" t="s">
        <v>1204</v>
      </c>
      <c r="H18" s="37" t="s">
        <v>1205</v>
      </c>
      <c r="I18" s="51" t="s">
        <v>697</v>
      </c>
      <c r="J18" s="51" t="s">
        <v>498</v>
      </c>
      <c r="K18" s="37" t="s">
        <v>1197</v>
      </c>
      <c r="L18" s="103" t="str">
        <f aca="false">'PT_COM-01'!$E$111</f>
        <v>High</v>
      </c>
      <c r="M18" s="99" t="n">
        <f aca="false">'PT_COM-01'!$F$111</f>
        <v>0</v>
      </c>
      <c r="N18" s="99" t="n">
        <f aca="false">'PT_COM-01'!$G$111</f>
        <v>0</v>
      </c>
      <c r="O18" s="37" t="s">
        <v>1193</v>
      </c>
      <c r="P18" s="96" t="n">
        <v>46293</v>
      </c>
      <c r="Q18" s="96"/>
      <c r="R18" s="49" t="n">
        <f aca="false">IF($Q18="",Dashboard!$C$7-$E18,$Q18-$E18)</f>
        <v>51</v>
      </c>
      <c r="S18" s="51" t="str">
        <f aca="false">IF($T18="Closed","Closed",IF($R18&lt;=15,"0-15 days",IF($R18&lt;=30,"16-30 days",IF($R18&lt;=60,"31-60 days","Over 60 days"))))</f>
        <v>31-60 days</v>
      </c>
      <c r="T18" s="103" t="s">
        <v>1023</v>
      </c>
      <c r="U18" s="52" t="str">
        <f aca="false">IF($T18="Closed","Green",IF(OR($L18="Critical",$R18&gt;30),"Red","Amber"))</f>
        <v>Red</v>
      </c>
      <c r="V18" s="175" t="n">
        <f aca="false">$C18*(IF($T18="Closed",0,$R18)+ROW()/1000000)</f>
        <v>51.000018</v>
      </c>
      <c r="W18" s="155" t="n">
        <f aca="false">RANK($V18,$V$9:$V$120)</f>
        <v>12</v>
      </c>
    </row>
    <row r="19" customFormat="false" ht="13.5" hidden="false" customHeight="true" outlineLevel="0" collapsed="false">
      <c r="A19" s="149" t="s">
        <v>296</v>
      </c>
      <c r="B19" s="150" t="str">
        <f aca="false">IFERROR(INDEX(Projects!$C$9:$C$16,MATCH($A19,Projects!$A$9:$A$16,0)),"")</f>
        <v>Commercial</v>
      </c>
      <c r="C19" s="94" t="n">
        <f aca="false">IF(Dashboard!$C$6="Corporate",1,IF(Dashboard!$C$6="Project",IF($A19=Dashboard!$M$6,1,0),IF($B19=Dashboard!$H$6,1,0)))</f>
        <v>1</v>
      </c>
      <c r="D19" s="42" t="s">
        <v>1212</v>
      </c>
      <c r="E19" s="85" t="n">
        <v>46222</v>
      </c>
      <c r="F19" s="30" t="s">
        <v>493</v>
      </c>
      <c r="G19" s="30" t="s">
        <v>1190</v>
      </c>
      <c r="H19" s="30" t="s">
        <v>1191</v>
      </c>
      <c r="I19" s="45" t="s">
        <v>700</v>
      </c>
      <c r="J19" s="45" t="s">
        <v>501</v>
      </c>
      <c r="K19" s="30" t="s">
        <v>1201</v>
      </c>
      <c r="L19" s="153" t="str">
        <f aca="false">'PT_COM-01'!$E$112</f>
        <v>High</v>
      </c>
      <c r="M19" s="86" t="n">
        <f aca="false">'PT_COM-01'!$F$112</f>
        <v>0</v>
      </c>
      <c r="N19" s="86" t="n">
        <f aca="false">'PT_COM-01'!$G$112</f>
        <v>18</v>
      </c>
      <c r="O19" s="30" t="s">
        <v>1193</v>
      </c>
      <c r="P19" s="169" t="n">
        <v>46301</v>
      </c>
      <c r="Q19" s="169"/>
      <c r="R19" s="31" t="n">
        <f aca="false">IF($Q19="",Dashboard!$C$7-$E19,$Q19-$E19)</f>
        <v>43</v>
      </c>
      <c r="S19" s="45" t="str">
        <f aca="false">IF($T19="Closed","Closed",IF($R19&lt;=15,"0-15 days",IF($R19&lt;=30,"16-30 days",IF($R19&lt;=60,"31-60 days","Over 60 days"))))</f>
        <v>31-60 days</v>
      </c>
      <c r="T19" s="93" t="s">
        <v>1202</v>
      </c>
      <c r="U19" s="46" t="str">
        <f aca="false">IF($T19="Closed","Green",IF(OR($L19="Critical",$R19&gt;30),"Red","Amber"))</f>
        <v>Red</v>
      </c>
      <c r="V19" s="174" t="n">
        <f aca="false">$C19*(IF($T19="Closed",0,$R19)+ROW()/1000000)</f>
        <v>43.000019</v>
      </c>
      <c r="W19" s="94" t="n">
        <f aca="false">RANK($V19,$V$9:$V$120)</f>
        <v>18</v>
      </c>
    </row>
    <row r="20" customFormat="false" ht="13.5" hidden="false" customHeight="true" outlineLevel="0" collapsed="false">
      <c r="A20" s="47" t="s">
        <v>296</v>
      </c>
      <c r="B20" s="154" t="str">
        <f aca="false">IFERROR(INDEX(Projects!$C$9:$C$16,MATCH($A20,Projects!$A$9:$A$16,0)),"")</f>
        <v>Commercial</v>
      </c>
      <c r="C20" s="155" t="n">
        <f aca="false">IF(Dashboard!$C$6="Corporate",1,IF(Dashboard!$C$6="Project",IF($A20=Dashboard!$M$6,1,0),IF($B20=Dashboard!$H$6,1,0)))</f>
        <v>1</v>
      </c>
      <c r="D20" s="47" t="s">
        <v>1213</v>
      </c>
      <c r="E20" s="98" t="n">
        <v>46231</v>
      </c>
      <c r="F20" s="37" t="s">
        <v>1148</v>
      </c>
      <c r="G20" s="37" t="s">
        <v>1195</v>
      </c>
      <c r="H20" s="37" t="s">
        <v>1196</v>
      </c>
      <c r="I20" s="51" t="s">
        <v>1163</v>
      </c>
      <c r="J20" s="51" t="s">
        <v>506</v>
      </c>
      <c r="K20" s="37" t="s">
        <v>667</v>
      </c>
      <c r="L20" s="103" t="str">
        <f aca="false">'PT_COM-01'!$E$113</f>
        <v>Critical</v>
      </c>
      <c r="M20" s="99" t="n">
        <f aca="false">'PT_COM-01'!$F$113</f>
        <v>1144100</v>
      </c>
      <c r="N20" s="99" t="n">
        <f aca="false">'PT_COM-01'!$G$113</f>
        <v>34</v>
      </c>
      <c r="O20" s="37" t="s">
        <v>1193</v>
      </c>
      <c r="P20" s="96" t="n">
        <v>46309</v>
      </c>
      <c r="Q20" s="96" t="n">
        <v>46261</v>
      </c>
      <c r="R20" s="49" t="n">
        <f aca="false">IF($Q20="",Dashboard!$C$7-$E20,$Q20-$E20)</f>
        <v>30</v>
      </c>
      <c r="S20" s="51" t="str">
        <f aca="false">IF($T20="Closed","Closed",IF($R20&lt;=15,"0-15 days",IF($R20&lt;=30,"16-30 days",IF($R20&lt;=60,"31-60 days","Over 60 days"))))</f>
        <v>Closed</v>
      </c>
      <c r="T20" s="103" t="s">
        <v>1017</v>
      </c>
      <c r="U20" s="52" t="str">
        <f aca="false">IF($T20="Closed","Green",IF(OR($L20="Critical",$R20&gt;30),"Red","Amber"))</f>
        <v>Green</v>
      </c>
      <c r="V20" s="175" t="n">
        <f aca="false">$C20*(IF($T20="Closed",0,$R20)+ROW()/1000000)</f>
        <v>2E-005</v>
      </c>
      <c r="W20" s="155" t="n">
        <f aca="false">RANK($V20,$V$9:$V$120)</f>
        <v>30</v>
      </c>
    </row>
    <row r="21" customFormat="false" ht="13.5" hidden="false" customHeight="true" outlineLevel="0" collapsed="false">
      <c r="A21" s="149" t="s">
        <v>298</v>
      </c>
      <c r="B21" s="150" t="str">
        <f aca="false">IFERROR(INDEX(Projects!$C$9:$C$16,MATCH($A21,Projects!$A$9:$A$16,0)),"")</f>
        <v>Commercial</v>
      </c>
      <c r="C21" s="94" t="n">
        <f aca="false">IF(Dashboard!$C$6="Corporate",1,IF(Dashboard!$C$6="Project",IF($A21=Dashboard!$M$6,1,0),IF($B21=Dashboard!$H$6,1,0)))</f>
        <v>1</v>
      </c>
      <c r="D21" s="42" t="s">
        <v>1214</v>
      </c>
      <c r="E21" s="85" t="n">
        <v>46198</v>
      </c>
      <c r="F21" s="30" t="s">
        <v>369</v>
      </c>
      <c r="G21" s="30" t="s">
        <v>1204</v>
      </c>
      <c r="H21" s="30" t="s">
        <v>1205</v>
      </c>
      <c r="I21" s="45" t="s">
        <v>703</v>
      </c>
      <c r="J21" s="45" t="s">
        <v>495</v>
      </c>
      <c r="K21" s="30" t="s">
        <v>1192</v>
      </c>
      <c r="L21" s="153" t="str">
        <f aca="false">'PT_COM-02'!$E$110</f>
        <v>High</v>
      </c>
      <c r="M21" s="86" t="n">
        <f aca="false">'PT_COM-02'!$F$110</f>
        <v>0</v>
      </c>
      <c r="N21" s="86" t="n">
        <f aca="false">'PT_COM-02'!$G$110</f>
        <v>0</v>
      </c>
      <c r="O21" s="30" t="s">
        <v>1193</v>
      </c>
      <c r="P21" s="169" t="n">
        <v>46285</v>
      </c>
      <c r="Q21" s="169"/>
      <c r="R21" s="31" t="n">
        <f aca="false">IF($Q21="",Dashboard!$C$7-$E21,$Q21-$E21)</f>
        <v>67</v>
      </c>
      <c r="S21" s="45" t="str">
        <f aca="false">IF($T21="Closed","Closed",IF($R21&lt;=15,"0-15 days",IF($R21&lt;=30,"16-30 days",IF($R21&lt;=60,"31-60 days","Over 60 days"))))</f>
        <v>Over 60 days</v>
      </c>
      <c r="T21" s="93" t="s">
        <v>1023</v>
      </c>
      <c r="U21" s="46" t="str">
        <f aca="false">IF($T21="Closed","Green",IF(OR($L21="Critical",$R21&gt;30),"Red","Amber"))</f>
        <v>Red</v>
      </c>
      <c r="V21" s="174" t="n">
        <f aca="false">$C21*(IF($T21="Closed",0,$R21)+ROW()/1000000)</f>
        <v>67.000021</v>
      </c>
      <c r="W21" s="94" t="n">
        <f aca="false">RANK($V21,$V$9:$V$120)</f>
        <v>2</v>
      </c>
    </row>
    <row r="22" customFormat="false" ht="13.5" hidden="false" customHeight="true" outlineLevel="0" collapsed="false">
      <c r="A22" s="47" t="s">
        <v>298</v>
      </c>
      <c r="B22" s="154" t="str">
        <f aca="false">IFERROR(INDEX(Projects!$C$9:$C$16,MATCH($A22,Projects!$A$9:$A$16,0)),"")</f>
        <v>Commercial</v>
      </c>
      <c r="C22" s="155" t="n">
        <f aca="false">IF(Dashboard!$C$6="Corporate",1,IF(Dashboard!$C$6="Project",IF($A22=Dashboard!$M$6,1,0),IF($B22=Dashboard!$H$6,1,0)))</f>
        <v>1</v>
      </c>
      <c r="D22" s="47" t="s">
        <v>1215</v>
      </c>
      <c r="E22" s="98" t="n">
        <v>46209</v>
      </c>
      <c r="F22" s="37" t="s">
        <v>493</v>
      </c>
      <c r="G22" s="37" t="s">
        <v>1190</v>
      </c>
      <c r="H22" s="37" t="s">
        <v>1191</v>
      </c>
      <c r="I22" s="51" t="s">
        <v>706</v>
      </c>
      <c r="J22" s="51" t="s">
        <v>498</v>
      </c>
      <c r="K22" s="37" t="s">
        <v>1197</v>
      </c>
      <c r="L22" s="103" t="str">
        <f aca="false">'PT_COM-02'!$E$111</f>
        <v>High</v>
      </c>
      <c r="M22" s="99" t="n">
        <f aca="false">'PT_COM-02'!$F$111</f>
        <v>0</v>
      </c>
      <c r="N22" s="99" t="n">
        <f aca="false">'PT_COM-02'!$G$111</f>
        <v>18</v>
      </c>
      <c r="O22" s="37" t="s">
        <v>1193</v>
      </c>
      <c r="P22" s="96" t="n">
        <v>46293</v>
      </c>
      <c r="Q22" s="96"/>
      <c r="R22" s="49" t="n">
        <f aca="false">IF($Q22="",Dashboard!$C$7-$E22,$Q22-$E22)</f>
        <v>56</v>
      </c>
      <c r="S22" s="51" t="str">
        <f aca="false">IF($T22="Closed","Closed",IF($R22&lt;=15,"0-15 days",IF($R22&lt;=30,"16-30 days",IF($R22&lt;=60,"31-60 days","Over 60 days"))))</f>
        <v>31-60 days</v>
      </c>
      <c r="T22" s="103" t="s">
        <v>1023</v>
      </c>
      <c r="U22" s="52" t="str">
        <f aca="false">IF($T22="Closed","Green",IF(OR($L22="Critical",$R22&gt;30),"Red","Amber"))</f>
        <v>Red</v>
      </c>
      <c r="V22" s="175" t="n">
        <f aca="false">$C22*(IF($T22="Closed",0,$R22)+ROW()/1000000)</f>
        <v>56.000022</v>
      </c>
      <c r="W22" s="155" t="n">
        <f aca="false">RANK($V22,$V$9:$V$120)</f>
        <v>8</v>
      </c>
    </row>
    <row r="23" customFormat="false" ht="13.5" hidden="false" customHeight="true" outlineLevel="0" collapsed="false">
      <c r="A23" s="149" t="s">
        <v>298</v>
      </c>
      <c r="B23" s="150" t="str">
        <f aca="false">IFERROR(INDEX(Projects!$C$9:$C$16,MATCH($A23,Projects!$A$9:$A$16,0)),"")</f>
        <v>Commercial</v>
      </c>
      <c r="C23" s="94" t="n">
        <f aca="false">IF(Dashboard!$C$6="Corporate",1,IF(Dashboard!$C$6="Project",IF($A23=Dashboard!$M$6,1,0),IF($B23=Dashboard!$H$6,1,0)))</f>
        <v>1</v>
      </c>
      <c r="D23" s="42" t="s">
        <v>1216</v>
      </c>
      <c r="E23" s="85" t="n">
        <v>46217</v>
      </c>
      <c r="F23" s="30" t="s">
        <v>1148</v>
      </c>
      <c r="G23" s="30" t="s">
        <v>1195</v>
      </c>
      <c r="H23" s="30" t="s">
        <v>1196</v>
      </c>
      <c r="I23" s="45" t="s">
        <v>709</v>
      </c>
      <c r="J23" s="45" t="s">
        <v>501</v>
      </c>
      <c r="K23" s="30" t="s">
        <v>1201</v>
      </c>
      <c r="L23" s="153" t="str">
        <f aca="false">'PT_COM-02'!$E$112</f>
        <v>Critical</v>
      </c>
      <c r="M23" s="86" t="n">
        <f aca="false">'PT_COM-02'!$F$112</f>
        <v>0</v>
      </c>
      <c r="N23" s="86" t="n">
        <f aca="false">'PT_COM-02'!$G$112</f>
        <v>34</v>
      </c>
      <c r="O23" s="30" t="s">
        <v>1193</v>
      </c>
      <c r="P23" s="169" t="n">
        <v>46301</v>
      </c>
      <c r="Q23" s="169"/>
      <c r="R23" s="31" t="n">
        <f aca="false">IF($Q23="",Dashboard!$C$7-$E23,$Q23-$E23)</f>
        <v>48</v>
      </c>
      <c r="S23" s="45" t="str">
        <f aca="false">IF($T23="Closed","Closed",IF($R23&lt;=15,"0-15 days",IF($R23&lt;=30,"16-30 days",IF($R23&lt;=60,"31-60 days","Over 60 days"))))</f>
        <v>31-60 days</v>
      </c>
      <c r="T23" s="93" t="s">
        <v>1202</v>
      </c>
      <c r="U23" s="46" t="str">
        <f aca="false">IF($T23="Closed","Green",IF(OR($L23="Critical",$R23&gt;30),"Red","Amber"))</f>
        <v>Red</v>
      </c>
      <c r="V23" s="174" t="n">
        <f aca="false">$C23*(IF($T23="Closed",0,$R23)+ROW()/1000000)</f>
        <v>48.000023</v>
      </c>
      <c r="W23" s="94" t="n">
        <f aca="false">RANK($V23,$V$9:$V$120)</f>
        <v>14</v>
      </c>
    </row>
    <row r="24" customFormat="false" ht="13.5" hidden="false" customHeight="true" outlineLevel="0" collapsed="false">
      <c r="A24" s="47" t="s">
        <v>298</v>
      </c>
      <c r="B24" s="154" t="str">
        <f aca="false">IFERROR(INDEX(Projects!$C$9:$C$16,MATCH($A24,Projects!$A$9:$A$16,0)),"")</f>
        <v>Commercial</v>
      </c>
      <c r="C24" s="155" t="n">
        <f aca="false">IF(Dashboard!$C$6="Corporate",1,IF(Dashboard!$C$6="Project",IF($A24=Dashboard!$M$6,1,0),IF($B24=Dashboard!$H$6,1,0)))</f>
        <v>1</v>
      </c>
      <c r="D24" s="47" t="s">
        <v>1217</v>
      </c>
      <c r="E24" s="98" t="n">
        <v>46226</v>
      </c>
      <c r="F24" s="37" t="s">
        <v>381</v>
      </c>
      <c r="G24" s="37" t="s">
        <v>1199</v>
      </c>
      <c r="H24" s="37" t="s">
        <v>1200</v>
      </c>
      <c r="I24" s="51" t="s">
        <v>1164</v>
      </c>
      <c r="J24" s="51" t="s">
        <v>506</v>
      </c>
      <c r="K24" s="37" t="s">
        <v>667</v>
      </c>
      <c r="L24" s="103" t="str">
        <f aca="false">'PT_COM-02'!$E$113</f>
        <v>Medium</v>
      </c>
      <c r="M24" s="99" t="n">
        <f aca="false">'PT_COM-02'!$F$113</f>
        <v>658910</v>
      </c>
      <c r="N24" s="99" t="n">
        <f aca="false">'PT_COM-02'!$G$113</f>
        <v>21</v>
      </c>
      <c r="O24" s="37" t="s">
        <v>1193</v>
      </c>
      <c r="P24" s="96" t="n">
        <v>46309</v>
      </c>
      <c r="Q24" s="96" t="n">
        <v>46261</v>
      </c>
      <c r="R24" s="49" t="n">
        <f aca="false">IF($Q24="",Dashboard!$C$7-$E24,$Q24-$E24)</f>
        <v>35</v>
      </c>
      <c r="S24" s="51" t="str">
        <f aca="false">IF($T24="Closed","Closed",IF($R24&lt;=15,"0-15 days",IF($R24&lt;=30,"16-30 days",IF($R24&lt;=60,"31-60 days","Over 60 days"))))</f>
        <v>Closed</v>
      </c>
      <c r="T24" s="103" t="s">
        <v>1017</v>
      </c>
      <c r="U24" s="52" t="str">
        <f aca="false">IF($T24="Closed","Green",IF(OR($L24="Critical",$R24&gt;30),"Red","Amber"))</f>
        <v>Green</v>
      </c>
      <c r="V24" s="175" t="n">
        <f aca="false">$C24*(IF($T24="Closed",0,$R24)+ROW()/1000000)</f>
        <v>2.4E-005</v>
      </c>
      <c r="W24" s="155" t="n">
        <f aca="false">RANK($V24,$V$9:$V$120)</f>
        <v>29</v>
      </c>
    </row>
    <row r="25" customFormat="false" ht="13.5" hidden="false" customHeight="true" outlineLevel="0" collapsed="false">
      <c r="A25" s="149" t="s">
        <v>300</v>
      </c>
      <c r="B25" s="150" t="str">
        <f aca="false">IFERROR(INDEX(Projects!$C$9:$C$16,MATCH($A25,Projects!$A$9:$A$16,0)),"")</f>
        <v>Mixed Use</v>
      </c>
      <c r="C25" s="94" t="n">
        <f aca="false">IF(Dashboard!$C$6="Corporate",1,IF(Dashboard!$C$6="Project",IF($A25=Dashboard!$M$6,1,0),IF($B25=Dashboard!$H$6,1,0)))</f>
        <v>1</v>
      </c>
      <c r="D25" s="42" t="s">
        <v>1218</v>
      </c>
      <c r="E25" s="85" t="n">
        <v>46212</v>
      </c>
      <c r="F25" s="30" t="s">
        <v>493</v>
      </c>
      <c r="G25" s="30" t="s">
        <v>1190</v>
      </c>
      <c r="H25" s="30" t="s">
        <v>1191</v>
      </c>
      <c r="I25" s="45" t="s">
        <v>712</v>
      </c>
      <c r="J25" s="45" t="s">
        <v>495</v>
      </c>
      <c r="K25" s="30" t="s">
        <v>1192</v>
      </c>
      <c r="L25" s="153" t="str">
        <f aca="false">'PT_MXU-01'!$E$110</f>
        <v>High</v>
      </c>
      <c r="M25" s="86" t="n">
        <f aca="false">'PT_MXU-01'!$F$110</f>
        <v>0</v>
      </c>
      <c r="N25" s="86" t="n">
        <f aca="false">'PT_MXU-01'!$G$110</f>
        <v>18</v>
      </c>
      <c r="O25" s="30" t="s">
        <v>1193</v>
      </c>
      <c r="P25" s="169" t="n">
        <v>46285</v>
      </c>
      <c r="Q25" s="169"/>
      <c r="R25" s="31" t="n">
        <f aca="false">IF($Q25="",Dashboard!$C$7-$E25,$Q25-$E25)</f>
        <v>53</v>
      </c>
      <c r="S25" s="45" t="str">
        <f aca="false">IF($T25="Closed","Closed",IF($R25&lt;=15,"0-15 days",IF($R25&lt;=30,"16-30 days",IF($R25&lt;=60,"31-60 days","Over 60 days"))))</f>
        <v>31-60 days</v>
      </c>
      <c r="T25" s="93" t="s">
        <v>1023</v>
      </c>
      <c r="U25" s="46" t="str">
        <f aca="false">IF($T25="Closed","Green",IF(OR($L25="Critical",$R25&gt;30),"Red","Amber"))</f>
        <v>Red</v>
      </c>
      <c r="V25" s="174" t="n">
        <f aca="false">$C25*(IF($T25="Closed",0,$R25)+ROW()/1000000)</f>
        <v>53.000025</v>
      </c>
      <c r="W25" s="94" t="n">
        <f aca="false">RANK($V25,$V$9:$V$120)</f>
        <v>9</v>
      </c>
    </row>
    <row r="26" customFormat="false" ht="13.5" hidden="false" customHeight="true" outlineLevel="0" collapsed="false">
      <c r="A26" s="47" t="s">
        <v>300</v>
      </c>
      <c r="B26" s="154" t="str">
        <f aca="false">IFERROR(INDEX(Projects!$C$9:$C$16,MATCH($A26,Projects!$A$9:$A$16,0)),"")</f>
        <v>Mixed Use</v>
      </c>
      <c r="C26" s="155" t="n">
        <f aca="false">IF(Dashboard!$C$6="Corporate",1,IF(Dashboard!$C$6="Project",IF($A26=Dashboard!$M$6,1,0),IF($B26=Dashboard!$H$6,1,0)))</f>
        <v>1</v>
      </c>
      <c r="D26" s="47" t="s">
        <v>1219</v>
      </c>
      <c r="E26" s="98" t="n">
        <v>46223</v>
      </c>
      <c r="F26" s="37" t="s">
        <v>1148</v>
      </c>
      <c r="G26" s="37" t="s">
        <v>1195</v>
      </c>
      <c r="H26" s="37" t="s">
        <v>1196</v>
      </c>
      <c r="I26" s="51" t="s">
        <v>715</v>
      </c>
      <c r="J26" s="51" t="s">
        <v>498</v>
      </c>
      <c r="K26" s="37" t="s">
        <v>1197</v>
      </c>
      <c r="L26" s="103" t="str">
        <f aca="false">'PT_MXU-01'!$E$111</f>
        <v>Critical</v>
      </c>
      <c r="M26" s="99" t="n">
        <f aca="false">'PT_MXU-01'!$F$111</f>
        <v>0</v>
      </c>
      <c r="N26" s="99" t="n">
        <f aca="false">'PT_MXU-01'!$G$111</f>
        <v>34</v>
      </c>
      <c r="O26" s="37" t="s">
        <v>1193</v>
      </c>
      <c r="P26" s="96" t="n">
        <v>46293</v>
      </c>
      <c r="Q26" s="96"/>
      <c r="R26" s="49" t="n">
        <f aca="false">IF($Q26="",Dashboard!$C$7-$E26,$Q26-$E26)</f>
        <v>42</v>
      </c>
      <c r="S26" s="51" t="str">
        <f aca="false">IF($T26="Closed","Closed",IF($R26&lt;=15,"0-15 days",IF($R26&lt;=30,"16-30 days",IF($R26&lt;=60,"31-60 days","Over 60 days"))))</f>
        <v>31-60 days</v>
      </c>
      <c r="T26" s="103" t="s">
        <v>1023</v>
      </c>
      <c r="U26" s="52" t="str">
        <f aca="false">IF($T26="Closed","Green",IF(OR($L26="Critical",$R26&gt;30),"Red","Amber"))</f>
        <v>Red</v>
      </c>
      <c r="V26" s="175" t="n">
        <f aca="false">$C26*(IF($T26="Closed",0,$R26)+ROW()/1000000)</f>
        <v>42.000026</v>
      </c>
      <c r="W26" s="155" t="n">
        <f aca="false">RANK($V26,$V$9:$V$120)</f>
        <v>19</v>
      </c>
    </row>
    <row r="27" customFormat="false" ht="13.5" hidden="false" customHeight="true" outlineLevel="0" collapsed="false">
      <c r="A27" s="149" t="s">
        <v>300</v>
      </c>
      <c r="B27" s="150" t="str">
        <f aca="false">IFERROR(INDEX(Projects!$C$9:$C$16,MATCH($A27,Projects!$A$9:$A$16,0)),"")</f>
        <v>Mixed Use</v>
      </c>
      <c r="C27" s="94" t="n">
        <f aca="false">IF(Dashboard!$C$6="Corporate",1,IF(Dashboard!$C$6="Project",IF($A27=Dashboard!$M$6,1,0),IF($B27=Dashboard!$H$6,1,0)))</f>
        <v>1</v>
      </c>
      <c r="D27" s="42" t="s">
        <v>1220</v>
      </c>
      <c r="E27" s="85" t="n">
        <v>46231</v>
      </c>
      <c r="F27" s="30" t="s">
        <v>381</v>
      </c>
      <c r="G27" s="30" t="s">
        <v>1199</v>
      </c>
      <c r="H27" s="30" t="s">
        <v>1200</v>
      </c>
      <c r="I27" s="45" t="s">
        <v>718</v>
      </c>
      <c r="J27" s="45" t="s">
        <v>501</v>
      </c>
      <c r="K27" s="30" t="s">
        <v>1201</v>
      </c>
      <c r="L27" s="153" t="str">
        <f aca="false">'PT_MXU-01'!$E$112</f>
        <v>Medium</v>
      </c>
      <c r="M27" s="86" t="n">
        <f aca="false">'PT_MXU-01'!$F$112</f>
        <v>0</v>
      </c>
      <c r="N27" s="86" t="n">
        <f aca="false">'PT_MXU-01'!$G$112</f>
        <v>21</v>
      </c>
      <c r="O27" s="30" t="s">
        <v>1193</v>
      </c>
      <c r="P27" s="169" t="n">
        <v>46301</v>
      </c>
      <c r="Q27" s="169"/>
      <c r="R27" s="31" t="n">
        <f aca="false">IF($Q27="",Dashboard!$C$7-$E27,$Q27-$E27)</f>
        <v>34</v>
      </c>
      <c r="S27" s="45" t="str">
        <f aca="false">IF($T27="Closed","Closed",IF($R27&lt;=15,"0-15 days",IF($R27&lt;=30,"16-30 days",IF($R27&lt;=60,"31-60 days","Over 60 days"))))</f>
        <v>31-60 days</v>
      </c>
      <c r="T27" s="93" t="s">
        <v>1202</v>
      </c>
      <c r="U27" s="46" t="str">
        <f aca="false">IF($T27="Closed","Green",IF(OR($L27="Critical",$R27&gt;30),"Red","Amber"))</f>
        <v>Red</v>
      </c>
      <c r="V27" s="174" t="n">
        <f aca="false">$C27*(IF($T27="Closed",0,$R27)+ROW()/1000000)</f>
        <v>34.000027</v>
      </c>
      <c r="W27" s="94" t="n">
        <f aca="false">RANK($V27,$V$9:$V$120)</f>
        <v>23</v>
      </c>
    </row>
    <row r="28" customFormat="false" ht="13.5" hidden="false" customHeight="true" outlineLevel="0" collapsed="false">
      <c r="A28" s="47" t="s">
        <v>300</v>
      </c>
      <c r="B28" s="154" t="str">
        <f aca="false">IFERROR(INDEX(Projects!$C$9:$C$16,MATCH($A28,Projects!$A$9:$A$16,0)),"")</f>
        <v>Mixed Use</v>
      </c>
      <c r="C28" s="155" t="n">
        <f aca="false">IF(Dashboard!$C$6="Corporate",1,IF(Dashboard!$C$6="Project",IF($A28=Dashboard!$M$6,1,0),IF($B28=Dashboard!$H$6,1,0)))</f>
        <v>1</v>
      </c>
      <c r="D28" s="47" t="s">
        <v>1221</v>
      </c>
      <c r="E28" s="98" t="n">
        <v>46240</v>
      </c>
      <c r="F28" s="37" t="s">
        <v>369</v>
      </c>
      <c r="G28" s="37" t="s">
        <v>1204</v>
      </c>
      <c r="H28" s="37" t="s">
        <v>1205</v>
      </c>
      <c r="I28" s="51" t="s">
        <v>1165</v>
      </c>
      <c r="J28" s="51" t="s">
        <v>506</v>
      </c>
      <c r="K28" s="37" t="s">
        <v>667</v>
      </c>
      <c r="L28" s="103" t="str">
        <f aca="false">'PT_MXU-01'!$E$113</f>
        <v>High</v>
      </c>
      <c r="M28" s="99" t="n">
        <f aca="false">'PT_MXU-01'!$F$113</f>
        <v>1007462</v>
      </c>
      <c r="N28" s="99" t="n">
        <f aca="false">'PT_MXU-01'!$G$113</f>
        <v>0</v>
      </c>
      <c r="O28" s="37" t="s">
        <v>1193</v>
      </c>
      <c r="P28" s="96" t="n">
        <v>46309</v>
      </c>
      <c r="Q28" s="96" t="n">
        <v>46261</v>
      </c>
      <c r="R28" s="49" t="n">
        <f aca="false">IF($Q28="",Dashboard!$C$7-$E28,$Q28-$E28)</f>
        <v>21</v>
      </c>
      <c r="S28" s="51" t="str">
        <f aca="false">IF($T28="Closed","Closed",IF($R28&lt;=15,"0-15 days",IF($R28&lt;=30,"16-30 days",IF($R28&lt;=60,"31-60 days","Over 60 days"))))</f>
        <v>Closed</v>
      </c>
      <c r="T28" s="103" t="s">
        <v>1017</v>
      </c>
      <c r="U28" s="52" t="str">
        <f aca="false">IF($T28="Closed","Green",IF(OR($L28="Critical",$R28&gt;30),"Red","Amber"))</f>
        <v>Green</v>
      </c>
      <c r="V28" s="175" t="n">
        <f aca="false">$C28*(IF($T28="Closed",0,$R28)+ROW()/1000000)</f>
        <v>2.8E-005</v>
      </c>
      <c r="W28" s="155" t="n">
        <f aca="false">RANK($V28,$V$9:$V$120)</f>
        <v>28</v>
      </c>
    </row>
    <row r="29" customFormat="false" ht="13.5" hidden="false" customHeight="true" outlineLevel="0" collapsed="false">
      <c r="A29" s="149" t="s">
        <v>301</v>
      </c>
      <c r="B29" s="150" t="str">
        <f aca="false">IFERROR(INDEX(Projects!$C$9:$C$16,MATCH($A29,Projects!$A$9:$A$16,0)),"")</f>
        <v>Mixed Use</v>
      </c>
      <c r="C29" s="94" t="n">
        <f aca="false">IF(Dashboard!$C$6="Corporate",1,IF(Dashboard!$C$6="Project",IF($A29=Dashboard!$M$6,1,0),IF($B29=Dashboard!$H$6,1,0)))</f>
        <v>1</v>
      </c>
      <c r="D29" s="42" t="s">
        <v>1222</v>
      </c>
      <c r="E29" s="85" t="n">
        <v>46207</v>
      </c>
      <c r="F29" s="30" t="s">
        <v>1148</v>
      </c>
      <c r="G29" s="30" t="s">
        <v>1195</v>
      </c>
      <c r="H29" s="30" t="s">
        <v>1196</v>
      </c>
      <c r="I29" s="45" t="s">
        <v>721</v>
      </c>
      <c r="J29" s="45" t="s">
        <v>495</v>
      </c>
      <c r="K29" s="30" t="s">
        <v>1192</v>
      </c>
      <c r="L29" s="153" t="str">
        <f aca="false">'PT_MXU-02'!$E$110</f>
        <v>Critical</v>
      </c>
      <c r="M29" s="86" t="n">
        <f aca="false">'PT_MXU-02'!$F$110</f>
        <v>0</v>
      </c>
      <c r="N29" s="86" t="n">
        <f aca="false">'PT_MXU-02'!$G$110</f>
        <v>34</v>
      </c>
      <c r="O29" s="30" t="s">
        <v>1193</v>
      </c>
      <c r="P29" s="169" t="n">
        <v>46285</v>
      </c>
      <c r="Q29" s="169"/>
      <c r="R29" s="31" t="n">
        <f aca="false">IF($Q29="",Dashboard!$C$7-$E29,$Q29-$E29)</f>
        <v>58</v>
      </c>
      <c r="S29" s="45" t="str">
        <f aca="false">IF($T29="Closed","Closed",IF($R29&lt;=15,"0-15 days",IF($R29&lt;=30,"16-30 days",IF($R29&lt;=60,"31-60 days","Over 60 days"))))</f>
        <v>31-60 days</v>
      </c>
      <c r="T29" s="93" t="s">
        <v>1023</v>
      </c>
      <c r="U29" s="46" t="str">
        <f aca="false">IF($T29="Closed","Green",IF(OR($L29="Critical",$R29&gt;30),"Red","Amber"))</f>
        <v>Red</v>
      </c>
      <c r="V29" s="174" t="n">
        <f aca="false">$C29*(IF($T29="Closed",0,$R29)+ROW()/1000000)</f>
        <v>58.000029</v>
      </c>
      <c r="W29" s="94" t="n">
        <f aca="false">RANK($V29,$V$9:$V$120)</f>
        <v>5</v>
      </c>
    </row>
    <row r="30" customFormat="false" ht="13.5" hidden="false" customHeight="true" outlineLevel="0" collapsed="false">
      <c r="A30" s="47" t="s">
        <v>301</v>
      </c>
      <c r="B30" s="154" t="str">
        <f aca="false">IFERROR(INDEX(Projects!$C$9:$C$16,MATCH($A30,Projects!$A$9:$A$16,0)),"")</f>
        <v>Mixed Use</v>
      </c>
      <c r="C30" s="155" t="n">
        <f aca="false">IF(Dashboard!$C$6="Corporate",1,IF(Dashboard!$C$6="Project",IF($A30=Dashboard!$M$6,1,0),IF($B30=Dashboard!$H$6,1,0)))</f>
        <v>1</v>
      </c>
      <c r="D30" s="47" t="s">
        <v>1223</v>
      </c>
      <c r="E30" s="98" t="n">
        <v>46218</v>
      </c>
      <c r="F30" s="37" t="s">
        <v>381</v>
      </c>
      <c r="G30" s="37" t="s">
        <v>1199</v>
      </c>
      <c r="H30" s="37" t="s">
        <v>1200</v>
      </c>
      <c r="I30" s="51" t="s">
        <v>724</v>
      </c>
      <c r="J30" s="51" t="s">
        <v>498</v>
      </c>
      <c r="K30" s="37" t="s">
        <v>1197</v>
      </c>
      <c r="L30" s="103" t="str">
        <f aca="false">'PT_MXU-02'!$E$111</f>
        <v>Medium</v>
      </c>
      <c r="M30" s="99" t="n">
        <f aca="false">'PT_MXU-02'!$F$111</f>
        <v>0</v>
      </c>
      <c r="N30" s="99" t="n">
        <f aca="false">'PT_MXU-02'!$G$111</f>
        <v>21</v>
      </c>
      <c r="O30" s="37" t="s">
        <v>1193</v>
      </c>
      <c r="P30" s="96" t="n">
        <v>46293</v>
      </c>
      <c r="Q30" s="96"/>
      <c r="R30" s="49" t="n">
        <f aca="false">IF($Q30="",Dashboard!$C$7-$E30,$Q30-$E30)</f>
        <v>47</v>
      </c>
      <c r="S30" s="51" t="str">
        <f aca="false">IF($T30="Closed","Closed",IF($R30&lt;=15,"0-15 days",IF($R30&lt;=30,"16-30 days",IF($R30&lt;=60,"31-60 days","Over 60 days"))))</f>
        <v>31-60 days</v>
      </c>
      <c r="T30" s="103" t="s">
        <v>1023</v>
      </c>
      <c r="U30" s="52" t="str">
        <f aca="false">IF($T30="Closed","Green",IF(OR($L30="Critical",$R30&gt;30),"Red","Amber"))</f>
        <v>Red</v>
      </c>
      <c r="V30" s="175" t="n">
        <f aca="false">$C30*(IF($T30="Closed",0,$R30)+ROW()/1000000)</f>
        <v>47.00003</v>
      </c>
      <c r="W30" s="155" t="n">
        <f aca="false">RANK($V30,$V$9:$V$120)</f>
        <v>15</v>
      </c>
    </row>
    <row r="31" customFormat="false" ht="13.5" hidden="false" customHeight="true" outlineLevel="0" collapsed="false">
      <c r="A31" s="149" t="s">
        <v>301</v>
      </c>
      <c r="B31" s="150" t="str">
        <f aca="false">IFERROR(INDEX(Projects!$C$9:$C$16,MATCH($A31,Projects!$A$9:$A$16,0)),"")</f>
        <v>Mixed Use</v>
      </c>
      <c r="C31" s="94" t="n">
        <f aca="false">IF(Dashboard!$C$6="Corporate",1,IF(Dashboard!$C$6="Project",IF($A31=Dashboard!$M$6,1,0),IF($B31=Dashboard!$H$6,1,0)))</f>
        <v>1</v>
      </c>
      <c r="D31" s="42" t="s">
        <v>1224</v>
      </c>
      <c r="E31" s="85" t="n">
        <v>46226</v>
      </c>
      <c r="F31" s="30" t="s">
        <v>369</v>
      </c>
      <c r="G31" s="30" t="s">
        <v>1204</v>
      </c>
      <c r="H31" s="30" t="s">
        <v>1205</v>
      </c>
      <c r="I31" s="45" t="s">
        <v>727</v>
      </c>
      <c r="J31" s="45" t="s">
        <v>501</v>
      </c>
      <c r="K31" s="30" t="s">
        <v>1201</v>
      </c>
      <c r="L31" s="153" t="str">
        <f aca="false">'PT_MXU-02'!$E$112</f>
        <v>High</v>
      </c>
      <c r="M31" s="86" t="n">
        <f aca="false">'PT_MXU-02'!$F$112</f>
        <v>0</v>
      </c>
      <c r="N31" s="86" t="n">
        <f aca="false">'PT_MXU-02'!$G$112</f>
        <v>0</v>
      </c>
      <c r="O31" s="30" t="s">
        <v>1193</v>
      </c>
      <c r="P31" s="169" t="n">
        <v>46301</v>
      </c>
      <c r="Q31" s="169"/>
      <c r="R31" s="31" t="n">
        <f aca="false">IF($Q31="",Dashboard!$C$7-$E31,$Q31-$E31)</f>
        <v>39</v>
      </c>
      <c r="S31" s="45" t="str">
        <f aca="false">IF($T31="Closed","Closed",IF($R31&lt;=15,"0-15 days",IF($R31&lt;=30,"16-30 days",IF($R31&lt;=60,"31-60 days","Over 60 days"))))</f>
        <v>31-60 days</v>
      </c>
      <c r="T31" s="93" t="s">
        <v>1202</v>
      </c>
      <c r="U31" s="46" t="str">
        <f aca="false">IF($T31="Closed","Green",IF(OR($L31="Critical",$R31&gt;30),"Red","Amber"))</f>
        <v>Red</v>
      </c>
      <c r="V31" s="174" t="n">
        <f aca="false">$C31*(IF($T31="Closed",0,$R31)+ROW()/1000000)</f>
        <v>39.000031</v>
      </c>
      <c r="W31" s="94" t="n">
        <f aca="false">RANK($V31,$V$9:$V$120)</f>
        <v>21</v>
      </c>
    </row>
    <row r="32" customFormat="false" ht="13.5" hidden="false" customHeight="true" outlineLevel="0" collapsed="false">
      <c r="A32" s="47" t="s">
        <v>301</v>
      </c>
      <c r="B32" s="154" t="str">
        <f aca="false">IFERROR(INDEX(Projects!$C$9:$C$16,MATCH($A32,Projects!$A$9:$A$16,0)),"")</f>
        <v>Mixed Use</v>
      </c>
      <c r="C32" s="155" t="n">
        <f aca="false">IF(Dashboard!$C$6="Corporate",1,IF(Dashboard!$C$6="Project",IF($A32=Dashboard!$M$6,1,0),IF($B32=Dashboard!$H$6,1,0)))</f>
        <v>1</v>
      </c>
      <c r="D32" s="47" t="s">
        <v>1225</v>
      </c>
      <c r="E32" s="98" t="n">
        <v>46235</v>
      </c>
      <c r="F32" s="37" t="s">
        <v>493</v>
      </c>
      <c r="G32" s="37" t="s">
        <v>1190</v>
      </c>
      <c r="H32" s="37" t="s">
        <v>1191</v>
      </c>
      <c r="I32" s="51" t="s">
        <v>1166</v>
      </c>
      <c r="J32" s="51" t="s">
        <v>506</v>
      </c>
      <c r="K32" s="37" t="s">
        <v>667</v>
      </c>
      <c r="L32" s="103" t="str">
        <f aca="false">'PT_MXU-02'!$E$113</f>
        <v>High</v>
      </c>
      <c r="M32" s="99" t="n">
        <f aca="false">'PT_MXU-02'!$F$113</f>
        <v>502399</v>
      </c>
      <c r="N32" s="99" t="n">
        <f aca="false">'PT_MXU-02'!$G$113</f>
        <v>18</v>
      </c>
      <c r="O32" s="37" t="s">
        <v>1193</v>
      </c>
      <c r="P32" s="96" t="n">
        <v>46309</v>
      </c>
      <c r="Q32" s="96" t="n">
        <v>46261</v>
      </c>
      <c r="R32" s="49" t="n">
        <f aca="false">IF($Q32="",Dashboard!$C$7-$E32,$Q32-$E32)</f>
        <v>26</v>
      </c>
      <c r="S32" s="51" t="str">
        <f aca="false">IF($T32="Closed","Closed",IF($R32&lt;=15,"0-15 days",IF($R32&lt;=30,"16-30 days",IF($R32&lt;=60,"31-60 days","Over 60 days"))))</f>
        <v>Closed</v>
      </c>
      <c r="T32" s="103" t="s">
        <v>1017</v>
      </c>
      <c r="U32" s="52" t="str">
        <f aca="false">IF($T32="Closed","Green",IF(OR($L32="Critical",$R32&gt;30),"Red","Amber"))</f>
        <v>Green</v>
      </c>
      <c r="V32" s="175" t="n">
        <f aca="false">$C32*(IF($T32="Closed",0,$R32)+ROW()/1000000)</f>
        <v>3.2E-005</v>
      </c>
      <c r="W32" s="155" t="n">
        <f aca="false">RANK($V32,$V$9:$V$120)</f>
        <v>27</v>
      </c>
    </row>
    <row r="33" customFormat="false" ht="13.5" hidden="false" customHeight="true" outlineLevel="0" collapsed="false">
      <c r="A33" s="149" t="s">
        <v>303</v>
      </c>
      <c r="B33" s="150" t="str">
        <f aca="false">IFERROR(INDEX(Projects!$C$9:$C$16,MATCH($A33,Projects!$A$9:$A$16,0)),"")</f>
        <v>Land Development</v>
      </c>
      <c r="C33" s="94" t="n">
        <f aca="false">IF(Dashboard!$C$6="Corporate",1,IF(Dashboard!$C$6="Project",IF($A33=Dashboard!$M$6,1,0),IF($B33=Dashboard!$H$6,1,0)))</f>
        <v>1</v>
      </c>
      <c r="D33" s="42" t="s">
        <v>1226</v>
      </c>
      <c r="E33" s="85" t="n">
        <v>46202</v>
      </c>
      <c r="F33" s="30" t="s">
        <v>381</v>
      </c>
      <c r="G33" s="30" t="s">
        <v>1199</v>
      </c>
      <c r="H33" s="30" t="s">
        <v>1200</v>
      </c>
      <c r="I33" s="45" t="s">
        <v>730</v>
      </c>
      <c r="J33" s="45" t="s">
        <v>495</v>
      </c>
      <c r="K33" s="30" t="s">
        <v>1192</v>
      </c>
      <c r="L33" s="153" t="str">
        <f aca="false">'PT_LND-01'!$E$110</f>
        <v>Medium</v>
      </c>
      <c r="M33" s="86" t="n">
        <f aca="false">'PT_LND-01'!$F$110</f>
        <v>0</v>
      </c>
      <c r="N33" s="86" t="n">
        <f aca="false">'PT_LND-01'!$G$110</f>
        <v>21</v>
      </c>
      <c r="O33" s="30" t="s">
        <v>1193</v>
      </c>
      <c r="P33" s="169" t="n">
        <v>46285</v>
      </c>
      <c r="Q33" s="169"/>
      <c r="R33" s="31" t="n">
        <f aca="false">IF($Q33="",Dashboard!$C$7-$E33,$Q33-$E33)</f>
        <v>63</v>
      </c>
      <c r="S33" s="45" t="str">
        <f aca="false">IF($T33="Closed","Closed",IF($R33&lt;=15,"0-15 days",IF($R33&lt;=30,"16-30 days",IF($R33&lt;=60,"31-60 days","Over 60 days"))))</f>
        <v>Over 60 days</v>
      </c>
      <c r="T33" s="93" t="s">
        <v>1023</v>
      </c>
      <c r="U33" s="46" t="str">
        <f aca="false">IF($T33="Closed","Green",IF(OR($L33="Critical",$R33&gt;30),"Red","Amber"))</f>
        <v>Red</v>
      </c>
      <c r="V33" s="174" t="n">
        <f aca="false">$C33*(IF($T33="Closed",0,$R33)+ROW()/1000000)</f>
        <v>63.000033</v>
      </c>
      <c r="W33" s="94" t="n">
        <f aca="false">RANK($V33,$V$9:$V$120)</f>
        <v>3</v>
      </c>
    </row>
    <row r="34" customFormat="false" ht="13.5" hidden="false" customHeight="true" outlineLevel="0" collapsed="false">
      <c r="A34" s="47" t="s">
        <v>303</v>
      </c>
      <c r="B34" s="154" t="str">
        <f aca="false">IFERROR(INDEX(Projects!$C$9:$C$16,MATCH($A34,Projects!$A$9:$A$16,0)),"")</f>
        <v>Land Development</v>
      </c>
      <c r="C34" s="155" t="n">
        <f aca="false">IF(Dashboard!$C$6="Corporate",1,IF(Dashboard!$C$6="Project",IF($A34=Dashboard!$M$6,1,0),IF($B34=Dashboard!$H$6,1,0)))</f>
        <v>1</v>
      </c>
      <c r="D34" s="47" t="s">
        <v>1227</v>
      </c>
      <c r="E34" s="98" t="n">
        <v>46213</v>
      </c>
      <c r="F34" s="37" t="s">
        <v>369</v>
      </c>
      <c r="G34" s="37" t="s">
        <v>1204</v>
      </c>
      <c r="H34" s="37" t="s">
        <v>1205</v>
      </c>
      <c r="I34" s="51" t="s">
        <v>733</v>
      </c>
      <c r="J34" s="51" t="s">
        <v>498</v>
      </c>
      <c r="K34" s="37" t="s">
        <v>1197</v>
      </c>
      <c r="L34" s="103" t="str">
        <f aca="false">'PT_LND-01'!$E$111</f>
        <v>High</v>
      </c>
      <c r="M34" s="99" t="n">
        <f aca="false">'PT_LND-01'!$F$111</f>
        <v>0</v>
      </c>
      <c r="N34" s="99" t="n">
        <f aca="false">'PT_LND-01'!$G$111</f>
        <v>0</v>
      </c>
      <c r="O34" s="37" t="s">
        <v>1193</v>
      </c>
      <c r="P34" s="96" t="n">
        <v>46293</v>
      </c>
      <c r="Q34" s="96"/>
      <c r="R34" s="49" t="n">
        <f aca="false">IF($Q34="",Dashboard!$C$7-$E34,$Q34-$E34)</f>
        <v>52</v>
      </c>
      <c r="S34" s="51" t="str">
        <f aca="false">IF($T34="Closed","Closed",IF($R34&lt;=15,"0-15 days",IF($R34&lt;=30,"16-30 days",IF($R34&lt;=60,"31-60 days","Over 60 days"))))</f>
        <v>31-60 days</v>
      </c>
      <c r="T34" s="103" t="s">
        <v>1023</v>
      </c>
      <c r="U34" s="52" t="str">
        <f aca="false">IF($T34="Closed","Green",IF(OR($L34="Critical",$R34&gt;30),"Red","Amber"))</f>
        <v>Red</v>
      </c>
      <c r="V34" s="175" t="n">
        <f aca="false">$C34*(IF($T34="Closed",0,$R34)+ROW()/1000000)</f>
        <v>52.000034</v>
      </c>
      <c r="W34" s="155" t="n">
        <f aca="false">RANK($V34,$V$9:$V$120)</f>
        <v>10</v>
      </c>
    </row>
    <row r="35" customFormat="false" ht="13.5" hidden="false" customHeight="true" outlineLevel="0" collapsed="false">
      <c r="A35" s="149" t="s">
        <v>303</v>
      </c>
      <c r="B35" s="150" t="str">
        <f aca="false">IFERROR(INDEX(Projects!$C$9:$C$16,MATCH($A35,Projects!$A$9:$A$16,0)),"")</f>
        <v>Land Development</v>
      </c>
      <c r="C35" s="94" t="n">
        <f aca="false">IF(Dashboard!$C$6="Corporate",1,IF(Dashboard!$C$6="Project",IF($A35=Dashboard!$M$6,1,0),IF($B35=Dashboard!$H$6,1,0)))</f>
        <v>1</v>
      </c>
      <c r="D35" s="42" t="s">
        <v>1228</v>
      </c>
      <c r="E35" s="85" t="n">
        <v>46221</v>
      </c>
      <c r="F35" s="30" t="s">
        <v>493</v>
      </c>
      <c r="G35" s="30" t="s">
        <v>1190</v>
      </c>
      <c r="H35" s="30" t="s">
        <v>1191</v>
      </c>
      <c r="I35" s="45" t="s">
        <v>736</v>
      </c>
      <c r="J35" s="45" t="s">
        <v>501</v>
      </c>
      <c r="K35" s="30" t="s">
        <v>1201</v>
      </c>
      <c r="L35" s="153" t="str">
        <f aca="false">'PT_LND-01'!$E$112</f>
        <v>High</v>
      </c>
      <c r="M35" s="86" t="n">
        <f aca="false">'PT_LND-01'!$F$112</f>
        <v>0</v>
      </c>
      <c r="N35" s="86" t="n">
        <f aca="false">'PT_LND-01'!$G$112</f>
        <v>18</v>
      </c>
      <c r="O35" s="30" t="s">
        <v>1193</v>
      </c>
      <c r="P35" s="169" t="n">
        <v>46301</v>
      </c>
      <c r="Q35" s="169"/>
      <c r="R35" s="31" t="n">
        <f aca="false">IF($Q35="",Dashboard!$C$7-$E35,$Q35-$E35)</f>
        <v>44</v>
      </c>
      <c r="S35" s="45" t="str">
        <f aca="false">IF($T35="Closed","Closed",IF($R35&lt;=15,"0-15 days",IF($R35&lt;=30,"16-30 days",IF($R35&lt;=60,"31-60 days","Over 60 days"))))</f>
        <v>31-60 days</v>
      </c>
      <c r="T35" s="93" t="s">
        <v>1202</v>
      </c>
      <c r="U35" s="46" t="str">
        <f aca="false">IF($T35="Closed","Green",IF(OR($L35="Critical",$R35&gt;30),"Red","Amber"))</f>
        <v>Red</v>
      </c>
      <c r="V35" s="174" t="n">
        <f aca="false">$C35*(IF($T35="Closed",0,$R35)+ROW()/1000000)</f>
        <v>44.000035</v>
      </c>
      <c r="W35" s="94" t="n">
        <f aca="false">RANK($V35,$V$9:$V$120)</f>
        <v>17</v>
      </c>
    </row>
    <row r="36" customFormat="false" ht="13.5" hidden="false" customHeight="true" outlineLevel="0" collapsed="false">
      <c r="A36" s="47" t="s">
        <v>303</v>
      </c>
      <c r="B36" s="154" t="str">
        <f aca="false">IFERROR(INDEX(Projects!$C$9:$C$16,MATCH($A36,Projects!$A$9:$A$16,0)),"")</f>
        <v>Land Development</v>
      </c>
      <c r="C36" s="155" t="n">
        <f aca="false">IF(Dashboard!$C$6="Corporate",1,IF(Dashboard!$C$6="Project",IF($A36=Dashboard!$M$6,1,0),IF($B36=Dashboard!$H$6,1,0)))</f>
        <v>1</v>
      </c>
      <c r="D36" s="47" t="s">
        <v>1229</v>
      </c>
      <c r="E36" s="98" t="n">
        <v>46230</v>
      </c>
      <c r="F36" s="37" t="s">
        <v>1148</v>
      </c>
      <c r="G36" s="37" t="s">
        <v>1195</v>
      </c>
      <c r="H36" s="37" t="s">
        <v>1196</v>
      </c>
      <c r="I36" s="51" t="s">
        <v>1167</v>
      </c>
      <c r="J36" s="51" t="s">
        <v>506</v>
      </c>
      <c r="K36" s="37" t="s">
        <v>667</v>
      </c>
      <c r="L36" s="103" t="str">
        <f aca="false">'PT_LND-01'!$E$113</f>
        <v>Critical</v>
      </c>
      <c r="M36" s="99" t="n">
        <f aca="false">'PT_LND-01'!$F$113</f>
        <v>754032</v>
      </c>
      <c r="N36" s="99" t="n">
        <f aca="false">'PT_LND-01'!$G$113</f>
        <v>34</v>
      </c>
      <c r="O36" s="37" t="s">
        <v>1193</v>
      </c>
      <c r="P36" s="96" t="n">
        <v>46309</v>
      </c>
      <c r="Q36" s="96" t="n">
        <v>46261</v>
      </c>
      <c r="R36" s="49" t="n">
        <f aca="false">IF($Q36="",Dashboard!$C$7-$E36,$Q36-$E36)</f>
        <v>31</v>
      </c>
      <c r="S36" s="51" t="str">
        <f aca="false">IF($T36="Closed","Closed",IF($R36&lt;=15,"0-15 days",IF($R36&lt;=30,"16-30 days",IF($R36&lt;=60,"31-60 days","Over 60 days"))))</f>
        <v>Closed</v>
      </c>
      <c r="T36" s="103" t="s">
        <v>1017</v>
      </c>
      <c r="U36" s="52" t="str">
        <f aca="false">IF($T36="Closed","Green",IF(OR($L36="Critical",$R36&gt;30),"Red","Amber"))</f>
        <v>Green</v>
      </c>
      <c r="V36" s="175" t="n">
        <f aca="false">$C36*(IF($T36="Closed",0,$R36)+ROW()/1000000)</f>
        <v>3.6E-005</v>
      </c>
      <c r="W36" s="155" t="n">
        <f aca="false">RANK($V36,$V$9:$V$120)</f>
        <v>26</v>
      </c>
    </row>
    <row r="37" customFormat="false" ht="13.5" hidden="false" customHeight="true" outlineLevel="0" collapsed="false">
      <c r="A37" s="149" t="s">
        <v>304</v>
      </c>
      <c r="B37" s="150" t="str">
        <f aca="false">IFERROR(INDEX(Projects!$C$9:$C$16,MATCH($A37,Projects!$A$9:$A$16,0)),"")</f>
        <v>Land Development</v>
      </c>
      <c r="C37" s="94" t="n">
        <f aca="false">IF(Dashboard!$C$6="Corporate",1,IF(Dashboard!$C$6="Project",IF($A37=Dashboard!$M$6,1,0),IF($B37=Dashboard!$H$6,1,0)))</f>
        <v>1</v>
      </c>
      <c r="D37" s="42" t="s">
        <v>1230</v>
      </c>
      <c r="E37" s="85" t="n">
        <v>46197</v>
      </c>
      <c r="F37" s="30" t="s">
        <v>369</v>
      </c>
      <c r="G37" s="30" t="s">
        <v>1204</v>
      </c>
      <c r="H37" s="30" t="s">
        <v>1205</v>
      </c>
      <c r="I37" s="45" t="s">
        <v>739</v>
      </c>
      <c r="J37" s="45" t="s">
        <v>495</v>
      </c>
      <c r="K37" s="30" t="s">
        <v>1192</v>
      </c>
      <c r="L37" s="153" t="str">
        <f aca="false">'PT_LND-02'!$E$110</f>
        <v>High</v>
      </c>
      <c r="M37" s="86" t="n">
        <f aca="false">'PT_LND-02'!$F$110</f>
        <v>0</v>
      </c>
      <c r="N37" s="86" t="n">
        <f aca="false">'PT_LND-02'!$G$110</f>
        <v>0</v>
      </c>
      <c r="O37" s="30" t="s">
        <v>1193</v>
      </c>
      <c r="P37" s="169" t="n">
        <v>46285</v>
      </c>
      <c r="Q37" s="169"/>
      <c r="R37" s="31" t="n">
        <f aca="false">IF($Q37="",Dashboard!$C$7-$E37,$Q37-$E37)</f>
        <v>68</v>
      </c>
      <c r="S37" s="45" t="str">
        <f aca="false">IF($T37="Closed","Closed",IF($R37&lt;=15,"0-15 days",IF($R37&lt;=30,"16-30 days",IF($R37&lt;=60,"31-60 days","Over 60 days"))))</f>
        <v>Over 60 days</v>
      </c>
      <c r="T37" s="93" t="s">
        <v>1023</v>
      </c>
      <c r="U37" s="46" t="str">
        <f aca="false">IF($T37="Closed","Green",IF(OR($L37="Critical",$R37&gt;30),"Red","Amber"))</f>
        <v>Red</v>
      </c>
      <c r="V37" s="174" t="n">
        <f aca="false">$C37*(IF($T37="Closed",0,$R37)+ROW()/1000000)</f>
        <v>68.000037</v>
      </c>
      <c r="W37" s="94" t="n">
        <f aca="false">RANK($V37,$V$9:$V$120)</f>
        <v>1</v>
      </c>
    </row>
    <row r="38" customFormat="false" ht="13.5" hidden="false" customHeight="true" outlineLevel="0" collapsed="false">
      <c r="A38" s="47" t="s">
        <v>304</v>
      </c>
      <c r="B38" s="154" t="str">
        <f aca="false">IFERROR(INDEX(Projects!$C$9:$C$16,MATCH($A38,Projects!$A$9:$A$16,0)),"")</f>
        <v>Land Development</v>
      </c>
      <c r="C38" s="155" t="n">
        <f aca="false">IF(Dashboard!$C$6="Corporate",1,IF(Dashboard!$C$6="Project",IF($A38=Dashboard!$M$6,1,0),IF($B38=Dashboard!$H$6,1,0)))</f>
        <v>1</v>
      </c>
      <c r="D38" s="47" t="s">
        <v>1231</v>
      </c>
      <c r="E38" s="98" t="n">
        <v>46208</v>
      </c>
      <c r="F38" s="37" t="s">
        <v>493</v>
      </c>
      <c r="G38" s="37" t="s">
        <v>1190</v>
      </c>
      <c r="H38" s="37" t="s">
        <v>1191</v>
      </c>
      <c r="I38" s="51" t="s">
        <v>742</v>
      </c>
      <c r="J38" s="51" t="s">
        <v>498</v>
      </c>
      <c r="K38" s="37" t="s">
        <v>1197</v>
      </c>
      <c r="L38" s="103" t="str">
        <f aca="false">'PT_LND-02'!$E$111</f>
        <v>High</v>
      </c>
      <c r="M38" s="99" t="n">
        <f aca="false">'PT_LND-02'!$F$111</f>
        <v>0</v>
      </c>
      <c r="N38" s="99" t="n">
        <f aca="false">'PT_LND-02'!$G$111</f>
        <v>18</v>
      </c>
      <c r="O38" s="37" t="s">
        <v>1193</v>
      </c>
      <c r="P38" s="96" t="n">
        <v>46293</v>
      </c>
      <c r="Q38" s="96"/>
      <c r="R38" s="49" t="n">
        <f aca="false">IF($Q38="",Dashboard!$C$7-$E38,$Q38-$E38)</f>
        <v>57</v>
      </c>
      <c r="S38" s="51" t="str">
        <f aca="false">IF($T38="Closed","Closed",IF($R38&lt;=15,"0-15 days",IF($R38&lt;=30,"16-30 days",IF($R38&lt;=60,"31-60 days","Over 60 days"))))</f>
        <v>31-60 days</v>
      </c>
      <c r="T38" s="103" t="s">
        <v>1023</v>
      </c>
      <c r="U38" s="52" t="str">
        <f aca="false">IF($T38="Closed","Green",IF(OR($L38="Critical",$R38&gt;30),"Red","Amber"))</f>
        <v>Red</v>
      </c>
      <c r="V38" s="175" t="n">
        <f aca="false">$C38*(IF($T38="Closed",0,$R38)+ROW()/1000000)</f>
        <v>57.000038</v>
      </c>
      <c r="W38" s="155" t="n">
        <f aca="false">RANK($V38,$V$9:$V$120)</f>
        <v>6</v>
      </c>
    </row>
    <row r="39" customFormat="false" ht="13.5" hidden="false" customHeight="true" outlineLevel="0" collapsed="false">
      <c r="A39" s="149" t="s">
        <v>304</v>
      </c>
      <c r="B39" s="150" t="str">
        <f aca="false">IFERROR(INDEX(Projects!$C$9:$C$16,MATCH($A39,Projects!$A$9:$A$16,0)),"")</f>
        <v>Land Development</v>
      </c>
      <c r="C39" s="94" t="n">
        <f aca="false">IF(Dashboard!$C$6="Corporate",1,IF(Dashboard!$C$6="Project",IF($A39=Dashboard!$M$6,1,0),IF($B39=Dashboard!$H$6,1,0)))</f>
        <v>1</v>
      </c>
      <c r="D39" s="42" t="s">
        <v>1232</v>
      </c>
      <c r="E39" s="85" t="n">
        <v>46216</v>
      </c>
      <c r="F39" s="30" t="s">
        <v>1148</v>
      </c>
      <c r="G39" s="30" t="s">
        <v>1195</v>
      </c>
      <c r="H39" s="30" t="s">
        <v>1196</v>
      </c>
      <c r="I39" s="45" t="s">
        <v>745</v>
      </c>
      <c r="J39" s="45" t="s">
        <v>501</v>
      </c>
      <c r="K39" s="30" t="s">
        <v>1201</v>
      </c>
      <c r="L39" s="153" t="str">
        <f aca="false">'PT_LND-02'!$E$112</f>
        <v>Critical</v>
      </c>
      <c r="M39" s="86" t="n">
        <f aca="false">'PT_LND-02'!$F$112</f>
        <v>0</v>
      </c>
      <c r="N39" s="86" t="n">
        <f aca="false">'PT_LND-02'!$G$112</f>
        <v>34</v>
      </c>
      <c r="O39" s="30" t="s">
        <v>1193</v>
      </c>
      <c r="P39" s="169" t="n">
        <v>46301</v>
      </c>
      <c r="Q39" s="169"/>
      <c r="R39" s="31" t="n">
        <f aca="false">IF($Q39="",Dashboard!$C$7-$E39,$Q39-$E39)</f>
        <v>49</v>
      </c>
      <c r="S39" s="45" t="str">
        <f aca="false">IF($T39="Closed","Closed",IF($R39&lt;=15,"0-15 days",IF($R39&lt;=30,"16-30 days",IF($R39&lt;=60,"31-60 days","Over 60 days"))))</f>
        <v>31-60 days</v>
      </c>
      <c r="T39" s="93" t="s">
        <v>1202</v>
      </c>
      <c r="U39" s="46" t="str">
        <f aca="false">IF($T39="Closed","Green",IF(OR($L39="Critical",$R39&gt;30),"Red","Amber"))</f>
        <v>Red</v>
      </c>
      <c r="V39" s="174" t="n">
        <f aca="false">$C39*(IF($T39="Closed",0,$R39)+ROW()/1000000)</f>
        <v>49.000039</v>
      </c>
      <c r="W39" s="94" t="n">
        <f aca="false">RANK($V39,$V$9:$V$120)</f>
        <v>13</v>
      </c>
    </row>
    <row r="40" customFormat="false" ht="13.5" hidden="false" customHeight="true" outlineLevel="0" collapsed="false">
      <c r="A40" s="47" t="s">
        <v>304</v>
      </c>
      <c r="B40" s="154" t="str">
        <f aca="false">IFERROR(INDEX(Projects!$C$9:$C$16,MATCH($A40,Projects!$A$9:$A$16,0)),"")</f>
        <v>Land Development</v>
      </c>
      <c r="C40" s="155" t="n">
        <f aca="false">IF(Dashboard!$C$6="Corporate",1,IF(Dashboard!$C$6="Project",IF($A40=Dashboard!$M$6,1,0),IF($B40=Dashboard!$H$6,1,0)))</f>
        <v>1</v>
      </c>
      <c r="D40" s="47" t="s">
        <v>1233</v>
      </c>
      <c r="E40" s="98" t="n">
        <v>46225</v>
      </c>
      <c r="F40" s="37" t="s">
        <v>381</v>
      </c>
      <c r="G40" s="37" t="s">
        <v>1199</v>
      </c>
      <c r="H40" s="37" t="s">
        <v>1200</v>
      </c>
      <c r="I40" s="51" t="s">
        <v>1168</v>
      </c>
      <c r="J40" s="51" t="s">
        <v>506</v>
      </c>
      <c r="K40" s="37" t="s">
        <v>667</v>
      </c>
      <c r="L40" s="103" t="str">
        <f aca="false">'PT_LND-02'!$E$113</f>
        <v>Medium</v>
      </c>
      <c r="M40" s="99" t="n">
        <f aca="false">'PT_LND-02'!$F$113</f>
        <v>353183</v>
      </c>
      <c r="N40" s="99" t="n">
        <f aca="false">'PT_LND-02'!$G$113</f>
        <v>21</v>
      </c>
      <c r="O40" s="37" t="s">
        <v>1193</v>
      </c>
      <c r="P40" s="96" t="n">
        <v>46309</v>
      </c>
      <c r="Q40" s="96" t="n">
        <v>46261</v>
      </c>
      <c r="R40" s="49" t="n">
        <f aca="false">IF($Q40="",Dashboard!$C$7-$E40,$Q40-$E40)</f>
        <v>36</v>
      </c>
      <c r="S40" s="51" t="str">
        <f aca="false">IF($T40="Closed","Closed",IF($R40&lt;=15,"0-15 days",IF($R40&lt;=30,"16-30 days",IF($R40&lt;=60,"31-60 days","Over 60 days"))))</f>
        <v>Closed</v>
      </c>
      <c r="T40" s="103" t="s">
        <v>1017</v>
      </c>
      <c r="U40" s="52" t="str">
        <f aca="false">IF($T40="Closed","Green",IF(OR($L40="Critical",$R40&gt;30),"Red","Amber"))</f>
        <v>Green</v>
      </c>
      <c r="V40" s="175" t="n">
        <f aca="false">$C40*(IF($T40="Closed",0,$R40)+ROW()/1000000)</f>
        <v>4E-005</v>
      </c>
      <c r="W40" s="155" t="n">
        <f aca="false">RANK($V40,$V$9:$V$120)</f>
        <v>25</v>
      </c>
    </row>
    <row r="41" customFormat="false" ht="15" hidden="false" customHeight="true" outlineLevel="0" collapsed="false">
      <c r="A41" s="5"/>
      <c r="B41" s="5"/>
      <c r="C41" s="5"/>
      <c r="D41" s="5"/>
      <c r="E41" s="5"/>
      <c r="F41" s="5"/>
      <c r="G41" s="5"/>
      <c r="H41" s="5"/>
      <c r="I41" s="5"/>
      <c r="J41" s="5"/>
      <c r="K41" s="5"/>
      <c r="L41" s="5"/>
      <c r="M41" s="5"/>
      <c r="N41" s="5"/>
      <c r="O41" s="5"/>
      <c r="P41" s="5"/>
      <c r="Q41" s="5"/>
      <c r="R41" s="5"/>
      <c r="S41" s="5"/>
      <c r="T41" s="5"/>
      <c r="U41" s="5"/>
      <c r="V41" s="5"/>
      <c r="W41" s="5"/>
    </row>
    <row r="42" customFormat="false" ht="19.5" hidden="false" customHeight="true" outlineLevel="0" collapsed="false">
      <c r="A42" s="13" t="s">
        <v>1234</v>
      </c>
      <c r="B42" s="13"/>
      <c r="C42" s="13"/>
      <c r="D42" s="13"/>
      <c r="E42" s="13"/>
      <c r="F42" s="13"/>
      <c r="G42" s="13"/>
      <c r="H42" s="13"/>
      <c r="I42" s="13"/>
      <c r="J42" s="13"/>
      <c r="K42" s="13"/>
      <c r="L42" s="13"/>
      <c r="M42" s="13"/>
      <c r="N42" s="13"/>
      <c r="O42" s="13"/>
      <c r="P42" s="13"/>
      <c r="Q42" s="13"/>
      <c r="R42" s="13"/>
      <c r="S42" s="13"/>
      <c r="T42" s="13"/>
      <c r="U42" s="13"/>
      <c r="V42" s="13"/>
      <c r="W42" s="13"/>
    </row>
    <row r="43" customFormat="false" ht="15.75" hidden="false" customHeight="true" outlineLevel="0" collapsed="false">
      <c r="A43" s="53" t="s">
        <v>56</v>
      </c>
      <c r="B43" s="53"/>
      <c r="C43" s="53"/>
      <c r="D43" s="164" t="n">
        <f aca="false">SUMPRODUCT(Issues_Register!$C$9:$C$40,(($T$9:$T$40="Open")+($T$9:$T$40="In Progress")+($T$9:$T$40="Escalated")))</f>
        <v>24</v>
      </c>
      <c r="E43" s="164"/>
      <c r="F43" s="53" t="s">
        <v>64</v>
      </c>
      <c r="G43" s="53"/>
      <c r="H43" s="53"/>
      <c r="I43" s="164" t="n">
        <f aca="false">SUMPRODUCT(Issues_Register!$C$9:$C$40,(($T$9:$T$40="Open")+($T$9:$T$40="In Progress")+($T$9:$T$40="Escalated")),$M$9:$M$40)</f>
        <v>0</v>
      </c>
      <c r="J43" s="164"/>
      <c r="K43" s="5"/>
      <c r="L43" s="5"/>
      <c r="M43" s="5"/>
      <c r="N43" s="53" t="s">
        <v>1235</v>
      </c>
      <c r="O43" s="53"/>
      <c r="P43" s="53"/>
      <c r="Q43" s="164" t="n">
        <f aca="false">SUMPRODUCT(Issues_Register!$C$9:$C$40,(($T$9:$T$40="Open")+($T$9:$T$40="In Progress")+($T$9:$T$40="Escalated")),$N$9:$N$40)</f>
        <v>438</v>
      </c>
      <c r="R43" s="164"/>
      <c r="S43" s="5"/>
      <c r="T43" s="5"/>
      <c r="U43" s="5"/>
      <c r="V43" s="5"/>
      <c r="W43" s="5"/>
    </row>
    <row r="44" customFormat="false" ht="15.75" hidden="false" customHeight="true" outlineLevel="0" collapsed="false">
      <c r="A44" s="53" t="s">
        <v>60</v>
      </c>
      <c r="B44" s="53"/>
      <c r="C44" s="53"/>
      <c r="D44" s="164" t="n">
        <f aca="false">SUMPRODUCT(Issues_Register!$C$9:$C$40,(($T$9:$T$40="Open")+($T$9:$T$40="In Progress")+($T$9:$T$40="Escalated")),($R$9:$R$40&gt;30)*1)</f>
        <v>24</v>
      </c>
      <c r="E44" s="164"/>
      <c r="F44" s="53" t="s">
        <v>1236</v>
      </c>
      <c r="G44" s="53"/>
      <c r="H44" s="53"/>
      <c r="I44" s="170" t="n">
        <f aca="false">IF(SUMPRODUCT(Issues_Register!$C$9:$C$40,(($T$9:$T$40="Open")+($T$9:$T$40="In Progress")+($T$9:$T$40="Escalated")))=0,0,SUMPRODUCT(Issues_Register!$C$9:$C$40,(($T$9:$T$40="Open")+($T$9:$T$40="In Progress")+($T$9:$T$40="Escalated")),$R$9:$R$40)/SUMPRODUCT(Issues_Register!$C$9:$C$40,(($T$9:$T$40="Open")+($T$9:$T$40="In Progress")+($T$9:$T$40="Escalated"))))</f>
        <v>50</v>
      </c>
      <c r="J44" s="170"/>
      <c r="K44" s="5"/>
      <c r="L44" s="5"/>
      <c r="M44" s="5"/>
      <c r="N44" s="53" t="s">
        <v>1237</v>
      </c>
      <c r="O44" s="53"/>
      <c r="P44" s="53"/>
      <c r="Q44" s="164" t="n">
        <f aca="false">SUMPRODUCT(Issues_Register!$C$9:$C$40,($T$9:$T$40="Closed")*1)</f>
        <v>8</v>
      </c>
      <c r="R44" s="164"/>
      <c r="S44" s="5"/>
      <c r="T44" s="5"/>
      <c r="U44" s="5"/>
      <c r="V44" s="5"/>
      <c r="W44" s="5"/>
    </row>
    <row r="45" customFormat="false" ht="15.75" hidden="false" customHeight="true" outlineLevel="0" collapsed="false">
      <c r="A45" s="53" t="s">
        <v>1238</v>
      </c>
      <c r="B45" s="53"/>
      <c r="C45" s="53"/>
      <c r="D45" s="164" t="n">
        <f aca="false">SUMPRODUCT(Issues_Register!$C$9:$C$40,(($T$9:$T$40="Open")+($T$9:$T$40="In Progress")+($T$9:$T$40="Escalated")),(($L$9:$L$40="Critical")+($L$9:$L$40="High")))</f>
        <v>18</v>
      </c>
      <c r="E45" s="164"/>
      <c r="F45" s="53" t="s">
        <v>1239</v>
      </c>
      <c r="G45" s="53"/>
      <c r="H45" s="53"/>
      <c r="I45" s="164" t="n">
        <f aca="false">SUMPRODUCT(Issues_Register!$C$9:$C$40,(($T$9:$T$40="Open")+($T$9:$T$40="In Progress")+($T$9:$T$40="Escalated")),($I$9:$I$40="N/A")*1)</f>
        <v>0</v>
      </c>
      <c r="J45" s="164"/>
      <c r="K45" s="5"/>
      <c r="L45" s="5"/>
      <c r="M45" s="5"/>
      <c r="N45" s="53" t="s">
        <v>1240</v>
      </c>
      <c r="O45" s="53"/>
      <c r="P45" s="53"/>
      <c r="Q45" s="171" t="str">
        <f aca="false">IF(SUMPRODUCT(Issues_Register!$C$9:$C$40,(($T$9:$T$40="Open")+($T$9:$T$40="In Progress")+($T$9:$T$40="Escalated")),($R$9:$R$40&gt;30)*1)=0,"Green",IF(SUMPRODUCT(Issues_Register!$C$9:$C$40,(($T$9:$T$40="Open")+($T$9:$T$40="In Progress")+($T$9:$T$40="Escalated")),($R$9:$R$40&gt;30)*1)&lt;=6,"Amber","Red"))</f>
        <v>Red</v>
      </c>
      <c r="R45" s="171"/>
      <c r="S45" s="5"/>
      <c r="T45" s="5"/>
      <c r="U45" s="5"/>
      <c r="V45" s="5"/>
      <c r="W45" s="5"/>
    </row>
    <row r="46" customFormat="false" ht="15" hidden="false" customHeight="true" outlineLevel="0" collapsed="false">
      <c r="A46" s="5"/>
      <c r="B46" s="5"/>
      <c r="C46" s="5"/>
      <c r="D46" s="5"/>
      <c r="E46" s="5"/>
      <c r="F46" s="5"/>
      <c r="G46" s="5"/>
      <c r="H46" s="5"/>
      <c r="I46" s="5"/>
      <c r="J46" s="5"/>
      <c r="K46" s="5"/>
      <c r="L46" s="5"/>
      <c r="M46" s="5"/>
      <c r="N46" s="5"/>
      <c r="O46" s="5"/>
      <c r="P46" s="5"/>
      <c r="Q46" s="5"/>
      <c r="R46" s="5"/>
      <c r="S46" s="5"/>
      <c r="T46" s="5"/>
      <c r="U46" s="5"/>
      <c r="V46" s="5"/>
      <c r="W46" s="5"/>
    </row>
    <row r="47" customFormat="false" ht="25.5" hidden="false" customHeight="true" outlineLevel="0" collapsed="false">
      <c r="A47" s="58" t="s">
        <v>1241</v>
      </c>
      <c r="B47" s="58"/>
      <c r="C47" s="58"/>
      <c r="D47" s="58"/>
      <c r="E47" s="58"/>
      <c r="F47" s="58"/>
      <c r="G47" s="58"/>
      <c r="H47" s="58"/>
      <c r="I47" s="58"/>
      <c r="J47" s="58"/>
      <c r="K47" s="58"/>
      <c r="L47" s="58"/>
      <c r="M47" s="58"/>
      <c r="N47" s="58"/>
      <c r="O47" s="58"/>
      <c r="P47" s="58"/>
      <c r="Q47" s="58"/>
      <c r="R47" s="58"/>
      <c r="S47" s="58"/>
      <c r="T47" s="58"/>
      <c r="U47" s="58"/>
      <c r="V47" s="58"/>
      <c r="W47" s="58"/>
    </row>
  </sheetData>
  <autoFilter ref="A8:W40"/>
  <mergeCells count="25">
    <mergeCell ref="A1:W1"/>
    <mergeCell ref="A2:W2"/>
    <mergeCell ref="A3:W3"/>
    <mergeCell ref="A4:W4"/>
    <mergeCell ref="A6:W6"/>
    <mergeCell ref="A42:W42"/>
    <mergeCell ref="A43:C43"/>
    <mergeCell ref="D43:E43"/>
    <mergeCell ref="F43:H43"/>
    <mergeCell ref="I43:J43"/>
    <mergeCell ref="N43:P43"/>
    <mergeCell ref="Q43:R43"/>
    <mergeCell ref="A44:C44"/>
    <mergeCell ref="D44:E44"/>
    <mergeCell ref="F44:H44"/>
    <mergeCell ref="I44:J44"/>
    <mergeCell ref="N44:P44"/>
    <mergeCell ref="Q44:R44"/>
    <mergeCell ref="A45:C45"/>
    <mergeCell ref="D45:E45"/>
    <mergeCell ref="F45:H45"/>
    <mergeCell ref="I45:J45"/>
    <mergeCell ref="N45:P45"/>
    <mergeCell ref="Q45:R45"/>
    <mergeCell ref="A47:W47"/>
  </mergeCells>
  <conditionalFormatting sqref="U9:U40">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L9:L40">
    <cfRule type="cellIs" priority="5" operator="equal" aboveAverage="0" equalAverage="0" bottom="0" percent="0" rank="0" text="" dxfId="0">
      <formula>"Low"</formula>
    </cfRule>
    <cfRule type="cellIs" priority="6" operator="equal" aboveAverage="0" equalAverage="0" bottom="0" percent="0" rank="0" text="" dxfId="1">
      <formula>"Medium"</formula>
    </cfRule>
    <cfRule type="cellIs" priority="7" operator="equal" aboveAverage="0" equalAverage="0" bottom="0" percent="0" rank="0" text="" dxfId="2">
      <formula>"High"</formula>
    </cfRule>
    <cfRule type="cellIs" priority="8" operator="equal" aboveAverage="0" equalAverage="0" bottom="0" percent="0" rank="0" text="" dxfId="2">
      <formula>"Critical"</formula>
    </cfRule>
  </conditionalFormatting>
  <conditionalFormatting sqref="S9:S40">
    <cfRule type="cellIs" priority="9" operator="equal" aboveAverage="0" equalAverage="0" bottom="0" percent="0" rank="0" text="" dxfId="0">
      <formula>"Closed"</formula>
    </cfRule>
    <cfRule type="cellIs" priority="10" operator="equal" aboveAverage="0" equalAverage="0" bottom="0" percent="0" rank="0" text="" dxfId="0">
      <formula>"0-15 days"</formula>
    </cfRule>
    <cfRule type="cellIs" priority="11" operator="equal" aboveAverage="0" equalAverage="0" bottom="0" percent="0" rank="0" text="" dxfId="1">
      <formula>"16-30 days"</formula>
    </cfRule>
    <cfRule type="cellIs" priority="12" operator="equal" aboveAverage="0" equalAverage="0" bottom="0" percent="0" rank="0" text="" dxfId="2">
      <formula>"31-60 days"</formula>
    </cfRule>
    <cfRule type="cellIs" priority="13" operator="equal" aboveAverage="0" equalAverage="0" bottom="0" percent="0" rank="0" text="" dxfId="2">
      <formula>"Over 60 days"</formula>
    </cfRule>
  </conditionalFormatting>
  <conditionalFormatting sqref="C9:C40">
    <cfRule type="cellIs" priority="14" operator="equal" aboveAverage="0" equalAverage="0" bottom="0" percent="0" rank="0" text="" dxfId="0">
      <formula>"1"</formula>
    </cfRule>
  </conditionalFormatting>
  <conditionalFormatting sqref="Q45:U45">
    <cfRule type="cellIs" priority="15" operator="equal" aboveAverage="0" equalAverage="0" bottom="0" percent="0" rank="0" text="" dxfId="0">
      <formula>"Green"</formula>
    </cfRule>
    <cfRule type="cellIs" priority="16" operator="equal" aboveAverage="0" equalAverage="0" bottom="0" percent="0" rank="0" text="" dxfId="1">
      <formula>"Amber"</formula>
    </cfRule>
    <cfRule type="cellIs" priority="17" operator="equal" aboveAverage="0" equalAverage="0" bottom="0" percent="0" rank="0" text="" dxfId="2">
      <formula>"Red"</formula>
    </cfRule>
  </conditionalFormatting>
  <dataValidations count="3">
    <dataValidation allowBlank="true" errorStyle="stop" operator="between" showDropDown="false" showErrorMessage="false" showInputMessage="false" sqref="T9:T40" type="list">
      <formula1>"Open,In Progress,Escalated,Closed"</formula1>
      <formula2>0</formula2>
    </dataValidation>
    <dataValidation allowBlank="true" errorStyle="stop" operator="between" showDropDown="false" showErrorMessage="false" showInputMessage="false" sqref="L9:L40" type="list">
      <formula1>"Low,Medium,High,Critical"</formula1>
      <formula2>0</formula2>
    </dataValidation>
    <dataValidation allowBlank="true" errorStyle="stop" operator="between" showDropDown="false" showErrorMessage="false" showInputMessage="false" sqref="A9:A40"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N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34"/>
    <col collapsed="false" customWidth="true" hidden="false" outlineLevel="0" max="2" min="2" style="1" width="44"/>
    <col collapsed="false" customWidth="true" hidden="false" outlineLevel="0" max="3" min="3" style="1" width="9"/>
    <col collapsed="false" customWidth="true" hidden="false" outlineLevel="0" max="4" min="4" style="1" width="11"/>
    <col collapsed="false" customWidth="true" hidden="false" outlineLevel="0" max="5" min="5" style="1" width="10"/>
    <col collapsed="false" customWidth="true" hidden="false" outlineLevel="0" max="9" min="6" style="1" width="8"/>
    <col collapsed="false" customWidth="true" hidden="false" outlineLevel="0" max="10" min="10" style="1" width="4"/>
    <col collapsed="false" customWidth="true" hidden="false" outlineLevel="0" max="14" min="11" style="1" width="13"/>
  </cols>
  <sheetData>
    <row r="1" customFormat="false" ht="7.5" hidden="false" customHeight="true" outlineLevel="0" collapsed="false">
      <c r="A1" s="2"/>
      <c r="B1" s="2"/>
      <c r="C1" s="2"/>
      <c r="D1" s="2"/>
      <c r="E1" s="2"/>
      <c r="F1" s="2"/>
      <c r="G1" s="2"/>
      <c r="H1" s="2"/>
      <c r="I1" s="2"/>
      <c r="J1" s="2"/>
      <c r="K1" s="2"/>
      <c r="L1" s="2"/>
      <c r="M1" s="2"/>
      <c r="N1" s="2"/>
    </row>
    <row r="2" customFormat="false" ht="30" hidden="false" customHeight="true" outlineLevel="0" collapsed="false">
      <c r="A2" s="59" t="s">
        <v>1242</v>
      </c>
      <c r="B2" s="59"/>
      <c r="C2" s="59"/>
      <c r="D2" s="59"/>
      <c r="E2" s="59"/>
      <c r="F2" s="59"/>
      <c r="G2" s="59"/>
      <c r="H2" s="59"/>
      <c r="I2" s="59"/>
      <c r="J2" s="59"/>
      <c r="K2" s="59"/>
      <c r="L2" s="59"/>
      <c r="M2" s="59"/>
      <c r="N2" s="59"/>
    </row>
    <row r="3" customFormat="false" ht="16.5" hidden="false" customHeight="true" outlineLevel="0" collapsed="false">
      <c r="A3" s="60" t="s">
        <v>1243</v>
      </c>
      <c r="B3" s="60"/>
      <c r="C3" s="60"/>
      <c r="D3" s="60"/>
      <c r="E3" s="60"/>
      <c r="F3" s="60"/>
      <c r="G3" s="60"/>
      <c r="H3" s="60"/>
      <c r="I3" s="60"/>
      <c r="J3" s="60"/>
      <c r="K3" s="60"/>
      <c r="L3" s="60"/>
      <c r="M3" s="60"/>
      <c r="N3" s="60"/>
    </row>
    <row r="4" customFormat="false" ht="15" hidden="false" customHeight="true" outlineLevel="0" collapsed="false">
      <c r="A4" s="61" t="s">
        <v>1244</v>
      </c>
      <c r="B4" s="61"/>
      <c r="C4" s="61"/>
      <c r="D4" s="61"/>
      <c r="E4" s="61"/>
      <c r="F4" s="61"/>
      <c r="G4" s="61"/>
      <c r="H4" s="61"/>
      <c r="I4" s="61"/>
      <c r="J4" s="61"/>
      <c r="K4" s="61"/>
      <c r="L4" s="61"/>
      <c r="M4" s="61"/>
      <c r="N4" s="61"/>
    </row>
    <row r="5" customFormat="false" ht="15" hidden="false" customHeight="true" outlineLevel="0" collapsed="false">
      <c r="A5" s="5"/>
      <c r="B5" s="5"/>
      <c r="C5" s="5"/>
      <c r="D5" s="5"/>
      <c r="E5" s="5"/>
      <c r="F5" s="5"/>
      <c r="G5" s="5"/>
      <c r="H5" s="5"/>
      <c r="I5" s="5"/>
      <c r="J5" s="5"/>
      <c r="K5" s="5"/>
      <c r="L5" s="5"/>
      <c r="M5" s="5"/>
      <c r="N5" s="5"/>
    </row>
    <row r="6" customFormat="false" ht="19.5" hidden="false" customHeight="true" outlineLevel="0" collapsed="false">
      <c r="A6" s="13" t="s">
        <v>1245</v>
      </c>
      <c r="B6" s="13"/>
      <c r="C6" s="13"/>
      <c r="D6" s="13"/>
      <c r="E6" s="13"/>
      <c r="F6" s="13"/>
      <c r="G6" s="13"/>
      <c r="H6" s="13"/>
      <c r="I6" s="13"/>
      <c r="J6" s="13"/>
      <c r="K6" s="13"/>
      <c r="L6" s="13"/>
      <c r="M6" s="13"/>
      <c r="N6" s="13"/>
    </row>
    <row r="7" customFormat="false" ht="13.5" hidden="false" customHeight="true" outlineLevel="0" collapsed="false">
      <c r="A7" s="80" t="s">
        <v>1246</v>
      </c>
      <c r="B7" s="80"/>
      <c r="C7" s="80"/>
      <c r="D7" s="80"/>
      <c r="E7" s="80"/>
      <c r="F7" s="80"/>
      <c r="G7" s="80"/>
      <c r="H7" s="80"/>
      <c r="I7" s="80"/>
      <c r="J7" s="80"/>
      <c r="K7" s="80"/>
      <c r="L7" s="80"/>
      <c r="M7" s="80"/>
      <c r="N7" s="80"/>
    </row>
    <row r="8" customFormat="false" ht="36" hidden="false" customHeight="true" outlineLevel="0" collapsed="false">
      <c r="A8" s="23" t="s">
        <v>1247</v>
      </c>
      <c r="B8" s="23" t="s">
        <v>1248</v>
      </c>
      <c r="C8" s="23" t="s">
        <v>1249</v>
      </c>
      <c r="D8" s="23" t="s">
        <v>1250</v>
      </c>
      <c r="E8" s="23" t="s">
        <v>1251</v>
      </c>
      <c r="F8" s="23" t="s">
        <v>1252</v>
      </c>
      <c r="G8" s="23" t="s">
        <v>1253</v>
      </c>
      <c r="H8" s="23" t="s">
        <v>288</v>
      </c>
      <c r="I8" s="23" t="s">
        <v>1254</v>
      </c>
      <c r="J8" s="23"/>
      <c r="K8" s="23" t="s">
        <v>354</v>
      </c>
      <c r="L8" s="23"/>
      <c r="M8" s="23"/>
      <c r="N8" s="23"/>
    </row>
    <row r="9" customFormat="false" ht="15.75" hidden="false" customHeight="true" outlineLevel="0" collapsed="false">
      <c r="A9" s="24" t="s">
        <v>1255</v>
      </c>
      <c r="B9" s="126" t="s">
        <v>1256</v>
      </c>
      <c r="C9" s="124" t="n">
        <v>1</v>
      </c>
      <c r="D9" s="186" t="n">
        <f aca="false">Master_Tracker!$H$15</f>
        <v>0.953759503292164</v>
      </c>
      <c r="E9" s="124" t="n">
        <f aca="false">$D9-$C9</f>
        <v>-0.0462404967078357</v>
      </c>
      <c r="F9" s="187" t="n">
        <v>0.98</v>
      </c>
      <c r="G9" s="187" t="n">
        <v>0.9</v>
      </c>
      <c r="H9" s="125" t="str">
        <f aca="false">IF($D9&gt;=$F9,"Green",IF($D9&gt;=$G9,"Amber","Red"))</f>
        <v>Amber</v>
      </c>
      <c r="I9" s="188" t="n">
        <v>0.15</v>
      </c>
      <c r="J9" s="160"/>
      <c r="K9" s="126" t="s">
        <v>125</v>
      </c>
      <c r="L9" s="126"/>
      <c r="M9" s="126"/>
      <c r="N9" s="126"/>
    </row>
    <row r="10" customFormat="false" ht="15.75" hidden="false" customHeight="true" outlineLevel="0" collapsed="false">
      <c r="A10" s="127" t="s">
        <v>1257</v>
      </c>
      <c r="B10" s="133" t="s">
        <v>1258</v>
      </c>
      <c r="C10" s="131" t="n">
        <v>1</v>
      </c>
      <c r="D10" s="189" t="n">
        <f aca="false">Cumulative_Trend!$D$36</f>
        <v>0.970372005778042</v>
      </c>
      <c r="E10" s="131" t="n">
        <f aca="false">$D10-$C10</f>
        <v>-0.0296279942219581</v>
      </c>
      <c r="F10" s="190" t="n">
        <v>0.98</v>
      </c>
      <c r="G10" s="190" t="n">
        <v>0.9</v>
      </c>
      <c r="H10" s="132" t="str">
        <f aca="false">IF($D10&gt;=$F10,"Green",IF($D10&gt;=$G10,"Amber","Red"))</f>
        <v>Amber</v>
      </c>
      <c r="I10" s="191" t="n">
        <v>0.05</v>
      </c>
      <c r="J10" s="168"/>
      <c r="K10" s="133" t="s">
        <v>167</v>
      </c>
      <c r="L10" s="133"/>
      <c r="M10" s="133"/>
      <c r="N10" s="133"/>
    </row>
    <row r="11" customFormat="false" ht="15.75" hidden="false" customHeight="true" outlineLevel="0" collapsed="false">
      <c r="A11" s="24" t="s">
        <v>1259</v>
      </c>
      <c r="B11" s="126" t="s">
        <v>1260</v>
      </c>
      <c r="C11" s="124" t="n">
        <v>1</v>
      </c>
      <c r="D11" s="186" t="n">
        <f aca="false">Master_Tracker!$M$15</f>
        <v>0.980125459095592</v>
      </c>
      <c r="E11" s="124" t="n">
        <f aca="false">$D11-$C11</f>
        <v>-0.019874540904408</v>
      </c>
      <c r="F11" s="187" t="n">
        <v>0.98</v>
      </c>
      <c r="G11" s="187" t="n">
        <v>0.95</v>
      </c>
      <c r="H11" s="125" t="str">
        <f aca="false">IF($D11&gt;=$F11,"Green",IF($D11&gt;=$G11,"Amber","Red"))</f>
        <v>Green</v>
      </c>
      <c r="I11" s="188" t="n">
        <v>0.15</v>
      </c>
      <c r="J11" s="160"/>
      <c r="K11" s="126" t="s">
        <v>125</v>
      </c>
      <c r="L11" s="126"/>
      <c r="M11" s="126"/>
      <c r="N11" s="126"/>
    </row>
    <row r="12" customFormat="false" ht="15.75" hidden="false" customHeight="true" outlineLevel="0" collapsed="false">
      <c r="A12" s="127" t="s">
        <v>1261</v>
      </c>
      <c r="B12" s="133" t="s">
        <v>1262</v>
      </c>
      <c r="C12" s="131" t="n">
        <v>1</v>
      </c>
      <c r="D12" s="189" t="n">
        <f aca="false">Master_Tracker!$H$15*Master_Tracker!$M$15</f>
        <v>0.934803971031016</v>
      </c>
      <c r="E12" s="131" t="n">
        <f aca="false">$D12-$C12</f>
        <v>-0.0651960289689837</v>
      </c>
      <c r="F12" s="190" t="n">
        <v>0.95</v>
      </c>
      <c r="G12" s="190" t="n">
        <v>0.85</v>
      </c>
      <c r="H12" s="132" t="str">
        <f aca="false">IF($D12&gt;=$F12,"Green",IF($D12&gt;=$G12,"Amber","Red"))</f>
        <v>Amber</v>
      </c>
      <c r="I12" s="191" t="n">
        <v>0</v>
      </c>
      <c r="J12" s="168"/>
      <c r="K12" s="133" t="s">
        <v>125</v>
      </c>
      <c r="L12" s="133"/>
      <c r="M12" s="133"/>
      <c r="N12" s="133"/>
    </row>
    <row r="13" customFormat="false" ht="15.75" hidden="false" customHeight="true" outlineLevel="0" collapsed="false">
      <c r="A13" s="24" t="s">
        <v>1263</v>
      </c>
      <c r="B13" s="126" t="s">
        <v>1264</v>
      </c>
      <c r="C13" s="124" t="n">
        <v>1</v>
      </c>
      <c r="D13" s="186" t="n">
        <f aca="false">Cost_Financials!$F$34</f>
        <v>1.00327583806532</v>
      </c>
      <c r="E13" s="124" t="n">
        <f aca="false">$D13-$C13</f>
        <v>0.00327583806531995</v>
      </c>
      <c r="F13" s="187"/>
      <c r="G13" s="187"/>
      <c r="H13" s="125" t="str">
        <f aca="false">"n/a"</f>
        <v>n/a</v>
      </c>
      <c r="I13" s="188" t="n">
        <v>0</v>
      </c>
      <c r="J13" s="160"/>
      <c r="K13" s="126" t="s">
        <v>131</v>
      </c>
      <c r="L13" s="126"/>
      <c r="M13" s="126"/>
      <c r="N13" s="126"/>
    </row>
    <row r="14" customFormat="false" ht="15.75" hidden="false" customHeight="true" outlineLevel="0" collapsed="false">
      <c r="A14" s="127" t="s">
        <v>1265</v>
      </c>
      <c r="B14" s="133" t="s">
        <v>1266</v>
      </c>
      <c r="C14" s="131" t="n">
        <v>1</v>
      </c>
      <c r="D14" s="189" t="n">
        <f aca="false">Cost_Financials!$F$35</f>
        <v>0.980125459095592</v>
      </c>
      <c r="E14" s="131" t="n">
        <f aca="false">$D14-$C14</f>
        <v>-0.019874540904408</v>
      </c>
      <c r="F14" s="190"/>
      <c r="G14" s="190"/>
      <c r="H14" s="132" t="str">
        <f aca="false">"n/a"</f>
        <v>n/a</v>
      </c>
      <c r="I14" s="191" t="n">
        <v>0</v>
      </c>
      <c r="J14" s="168"/>
      <c r="K14" s="133" t="s">
        <v>131</v>
      </c>
      <c r="L14" s="133"/>
      <c r="M14" s="133"/>
      <c r="N14" s="133"/>
    </row>
    <row r="15" customFormat="false" ht="15.75" hidden="false" customHeight="true" outlineLevel="0" collapsed="false">
      <c r="A15" s="24" t="s">
        <v>1267</v>
      </c>
      <c r="B15" s="126" t="s">
        <v>1268</v>
      </c>
      <c r="C15" s="122" t="n">
        <v>0</v>
      </c>
      <c r="D15" s="192" t="n">
        <f aca="false">IF(Master_Tracker!$M$13=0,0,Master_Tracker!$C$15/Master_Tracker!$M$13)</f>
        <v>-0.0202775478587682</v>
      </c>
      <c r="E15" s="122" t="n">
        <f aca="false">$D15-$C15</f>
        <v>-0.0202775478587682</v>
      </c>
      <c r="F15" s="187"/>
      <c r="G15" s="187"/>
      <c r="H15" s="125" t="str">
        <f aca="false">"n/a"</f>
        <v>n/a</v>
      </c>
      <c r="I15" s="188" t="n">
        <v>0</v>
      </c>
      <c r="J15" s="160"/>
      <c r="K15" s="126" t="s">
        <v>125</v>
      </c>
      <c r="L15" s="126"/>
      <c r="M15" s="126"/>
      <c r="N15" s="126"/>
    </row>
    <row r="16" customFormat="false" ht="15.75" hidden="false" customHeight="true" outlineLevel="0" collapsed="false">
      <c r="A16" s="127" t="s">
        <v>1269</v>
      </c>
      <c r="B16" s="133" t="s">
        <v>1270</v>
      </c>
      <c r="C16" s="138" t="n">
        <v>0</v>
      </c>
      <c r="D16" s="193" t="n">
        <f aca="false">IF(Master_Tracker!$H$13=0,0,Master_Tracker!$M$14/Master_Tracker!$H$13)</f>
        <v>-0.0462404967078357</v>
      </c>
      <c r="E16" s="138" t="n">
        <f aca="false">$D16-$C16</f>
        <v>-0.0462404967078357</v>
      </c>
      <c r="F16" s="190"/>
      <c r="G16" s="190"/>
      <c r="H16" s="132" t="str">
        <f aca="false">"n/a"</f>
        <v>n/a</v>
      </c>
      <c r="I16" s="191" t="n">
        <v>0</v>
      </c>
      <c r="J16" s="168"/>
      <c r="K16" s="133" t="s">
        <v>125</v>
      </c>
      <c r="L16" s="133"/>
      <c r="M16" s="133"/>
      <c r="N16" s="133"/>
    </row>
    <row r="17" customFormat="false" ht="15.75" hidden="false" customHeight="true" outlineLevel="0" collapsed="false">
      <c r="A17" s="24" t="s">
        <v>1271</v>
      </c>
      <c r="B17" s="126" t="s">
        <v>1272</v>
      </c>
      <c r="C17" s="124" t="n">
        <v>1</v>
      </c>
      <c r="D17" s="186" t="n">
        <f aca="false">IF(Cost_Financials!$F$32=0,1,Master_Tracker!$C$13/Cost_Financials!$F$32)</f>
        <v>0.980125459095592</v>
      </c>
      <c r="E17" s="124" t="n">
        <f aca="false">$D17-$C17</f>
        <v>-0.019874540904408</v>
      </c>
      <c r="F17" s="187" t="n">
        <v>1</v>
      </c>
      <c r="G17" s="187" t="n">
        <v>0.97</v>
      </c>
      <c r="H17" s="125" t="str">
        <f aca="false">IF($D17&gt;=$F17,"Green",IF($D17&gt;=$G17,"Amber","Red"))</f>
        <v>Amber</v>
      </c>
      <c r="I17" s="188" t="n">
        <v>0.05</v>
      </c>
      <c r="J17" s="160"/>
      <c r="K17" s="126" t="s">
        <v>131</v>
      </c>
      <c r="L17" s="126"/>
      <c r="M17" s="126"/>
      <c r="N17" s="126"/>
    </row>
    <row r="18" customFormat="false" ht="15.75" hidden="false" customHeight="true" outlineLevel="0" collapsed="false">
      <c r="A18" s="127" t="s">
        <v>1273</v>
      </c>
      <c r="B18" s="133" t="s">
        <v>1272</v>
      </c>
      <c r="C18" s="131" t="n">
        <v>1</v>
      </c>
      <c r="D18" s="189" t="n">
        <f aca="false">IF(Cost_Financials!$F$32=0,1,Master_Tracker!$C$13/Cost_Financials!$F$32)</f>
        <v>0.980125459095592</v>
      </c>
      <c r="E18" s="131" t="n">
        <f aca="false">$D18-$C18</f>
        <v>-0.019874540904408</v>
      </c>
      <c r="F18" s="190" t="n">
        <v>1</v>
      </c>
      <c r="G18" s="190" t="n">
        <v>0.97</v>
      </c>
      <c r="H18" s="132" t="str">
        <f aca="false">IF($D18&gt;=$F18,"Green",IF($D18&gt;=$G18,"Amber","Red"))</f>
        <v>Amber</v>
      </c>
      <c r="I18" s="191" t="n">
        <v>0.1</v>
      </c>
      <c r="J18" s="168"/>
      <c r="K18" s="133" t="s">
        <v>131</v>
      </c>
      <c r="L18" s="133"/>
      <c r="M18" s="133"/>
      <c r="N18" s="133"/>
    </row>
    <row r="19" customFormat="false" ht="15.75" hidden="false" customHeight="true" outlineLevel="0" collapsed="false">
      <c r="A19" s="24" t="s">
        <v>1274</v>
      </c>
      <c r="B19" s="126" t="s">
        <v>1275</v>
      </c>
      <c r="C19" s="124" t="n">
        <v>0.85</v>
      </c>
      <c r="D19" s="186" t="n">
        <f aca="false">IF(Cost_Financials!$F$9=0,0,Cost_Financials!$F$10/Cost_Financials!$F$9)</f>
        <v>0.839999993315921</v>
      </c>
      <c r="E19" s="124" t="n">
        <f aca="false">$D19-$C19</f>
        <v>-0.0100000066840795</v>
      </c>
      <c r="F19" s="187" t="n">
        <v>0.85</v>
      </c>
      <c r="G19" s="187" t="n">
        <v>0.7</v>
      </c>
      <c r="H19" s="125" t="str">
        <f aca="false">IF($D19&gt;=$F19,"Green",IF($D19&gt;=$G19,"Amber","Red"))</f>
        <v>Amber</v>
      </c>
      <c r="I19" s="188" t="n">
        <v>0</v>
      </c>
      <c r="J19" s="160"/>
      <c r="K19" s="126" t="s">
        <v>131</v>
      </c>
      <c r="L19" s="126"/>
      <c r="M19" s="126"/>
      <c r="N19" s="126"/>
    </row>
    <row r="20" customFormat="false" ht="15.75" hidden="false" customHeight="true" outlineLevel="0" collapsed="false">
      <c r="A20" s="127" t="s">
        <v>1276</v>
      </c>
      <c r="B20" s="133" t="s">
        <v>1277</v>
      </c>
      <c r="C20" s="131" t="n">
        <v>0.5</v>
      </c>
      <c r="D20" s="189" t="n">
        <f aca="false">IF(Master_Tracker!$C$13=0,0,Master_Tracker!$H$14/Master_Tracker!$C$13)</f>
        <v>0.468893345961396</v>
      </c>
      <c r="E20" s="131" t="n">
        <f aca="false">$D20-$C20</f>
        <v>-0.0311066540386039</v>
      </c>
      <c r="F20" s="190"/>
      <c r="G20" s="190"/>
      <c r="H20" s="132" t="str">
        <f aca="false">"n/a"</f>
        <v>n/a</v>
      </c>
      <c r="I20" s="191" t="n">
        <v>0</v>
      </c>
      <c r="J20" s="168"/>
      <c r="K20" s="133" t="s">
        <v>125</v>
      </c>
      <c r="L20" s="133"/>
      <c r="M20" s="133"/>
      <c r="N20" s="133"/>
    </row>
    <row r="21" customFormat="false" ht="15.75" hidden="false" customHeight="true" outlineLevel="0" collapsed="false">
      <c r="A21" s="24" t="s">
        <v>1278</v>
      </c>
      <c r="B21" s="126" t="s">
        <v>1279</v>
      </c>
      <c r="C21" s="124" t="n">
        <v>0.95</v>
      </c>
      <c r="D21" s="186" t="n">
        <f aca="false">Quality_Register!$I$23</f>
        <v>0.86362062997577</v>
      </c>
      <c r="E21" s="124" t="n">
        <f aca="false">$D21-$C21</f>
        <v>-0.0863793700242298</v>
      </c>
      <c r="F21" s="187" t="n">
        <v>0.95</v>
      </c>
      <c r="G21" s="187" t="n">
        <v>0.85</v>
      </c>
      <c r="H21" s="125" t="str">
        <f aca="false">IF($D21&gt;=$F21,"Green",IF($D21&gt;=$G21,"Amber","Red"))</f>
        <v>Amber</v>
      </c>
      <c r="I21" s="188" t="n">
        <v>0.1</v>
      </c>
      <c r="J21" s="160"/>
      <c r="K21" s="126" t="s">
        <v>149</v>
      </c>
      <c r="L21" s="126"/>
      <c r="M21" s="126"/>
      <c r="N21" s="126"/>
    </row>
    <row r="22" customFormat="false" ht="15.75" hidden="false" customHeight="true" outlineLevel="0" collapsed="false">
      <c r="A22" s="127" t="s">
        <v>1280</v>
      </c>
      <c r="B22" s="133" t="s">
        <v>1281</v>
      </c>
      <c r="C22" s="131" t="n">
        <v>0.98</v>
      </c>
      <c r="D22" s="189" t="n">
        <f aca="false">IF(Master_Tracker!$C$14=0,1,1-Quality_Register!$D$23/Master_Tracker!$C$14)</f>
        <v>0.979000006228654</v>
      </c>
      <c r="E22" s="131" t="n">
        <f aca="false">$D22-$C22</f>
        <v>-0.000999993771345631</v>
      </c>
      <c r="F22" s="190" t="n">
        <v>0.98</v>
      </c>
      <c r="G22" s="190" t="n">
        <v>0.95</v>
      </c>
      <c r="H22" s="132" t="str">
        <f aca="false">IF($D22&gt;=$F22,"Green",IF($D22&gt;=$G22,"Amber","Red"))</f>
        <v>Amber</v>
      </c>
      <c r="I22" s="191" t="n">
        <v>0</v>
      </c>
      <c r="J22" s="168"/>
      <c r="K22" s="133" t="s">
        <v>149</v>
      </c>
      <c r="L22" s="133"/>
      <c r="M22" s="133"/>
      <c r="N22" s="133"/>
    </row>
    <row r="23" customFormat="false" ht="15.75" hidden="false" customHeight="true" outlineLevel="0" collapsed="false">
      <c r="A23" s="24" t="s">
        <v>1282</v>
      </c>
      <c r="B23" s="126" t="s">
        <v>1283</v>
      </c>
      <c r="C23" s="124" t="n">
        <v>1</v>
      </c>
      <c r="D23" s="186" t="n">
        <f aca="false">HSE_Register!$I$23</f>
        <v>0.8789</v>
      </c>
      <c r="E23" s="124" t="n">
        <f aca="false">$D23-$C23</f>
        <v>-0.1211</v>
      </c>
      <c r="F23" s="187" t="n">
        <v>0.9</v>
      </c>
      <c r="G23" s="187" t="n">
        <v>0.75</v>
      </c>
      <c r="H23" s="125" t="str">
        <f aca="false">IF($D23&gt;=$F23,"Green",IF($D23&gt;=$G23,"Amber","Red"))</f>
        <v>Amber</v>
      </c>
      <c r="I23" s="188" t="n">
        <v>0.15</v>
      </c>
      <c r="J23" s="160"/>
      <c r="K23" s="126" t="s">
        <v>152</v>
      </c>
      <c r="L23" s="126"/>
      <c r="M23" s="126"/>
      <c r="N23" s="126"/>
    </row>
    <row r="24" customFormat="false" ht="15.75" hidden="false" customHeight="true" outlineLevel="0" collapsed="false">
      <c r="A24" s="127" t="s">
        <v>1284</v>
      </c>
      <c r="B24" s="133" t="s">
        <v>1285</v>
      </c>
      <c r="C24" s="131" t="n">
        <v>1</v>
      </c>
      <c r="D24" s="189" t="n">
        <f aca="false">Procurement_Register!$I$46</f>
        <v>0.671875</v>
      </c>
      <c r="E24" s="131" t="n">
        <f aca="false">$D24-$C24</f>
        <v>-0.328125</v>
      </c>
      <c r="F24" s="190" t="n">
        <v>0.9</v>
      </c>
      <c r="G24" s="190" t="n">
        <v>0.75</v>
      </c>
      <c r="H24" s="132" t="str">
        <f aca="false">IF($D24&gt;=$F24,"Green",IF($D24&gt;=$G24,"Amber","Red"))</f>
        <v>Red</v>
      </c>
      <c r="I24" s="191" t="n">
        <v>0.1</v>
      </c>
      <c r="J24" s="168"/>
      <c r="K24" s="133" t="s">
        <v>140</v>
      </c>
      <c r="L24" s="133"/>
      <c r="M24" s="133"/>
      <c r="N24" s="133"/>
    </row>
    <row r="25" customFormat="false" ht="15.75" hidden="false" customHeight="true" outlineLevel="0" collapsed="false">
      <c r="A25" s="24" t="s">
        <v>1286</v>
      </c>
      <c r="B25" s="126" t="s">
        <v>1287</v>
      </c>
      <c r="C25" s="124" t="n">
        <v>1</v>
      </c>
      <c r="D25" s="186" t="n">
        <f aca="false">Manpower_Register!$Q$60</f>
        <v>1</v>
      </c>
      <c r="E25" s="124" t="n">
        <f aca="false">$D25-$C25</f>
        <v>0</v>
      </c>
      <c r="F25" s="187" t="n">
        <v>0.95</v>
      </c>
      <c r="G25" s="187" t="n">
        <v>0.8</v>
      </c>
      <c r="H25" s="125" t="str">
        <f aca="false">IF($D25&gt;=$F25,"Green",IF($D25&gt;=$G25,"Amber","Red"))</f>
        <v>Green</v>
      </c>
      <c r="I25" s="188" t="n">
        <v>0.1</v>
      </c>
      <c r="J25" s="160"/>
      <c r="K25" s="126" t="s">
        <v>143</v>
      </c>
      <c r="L25" s="126"/>
      <c r="M25" s="126"/>
      <c r="N25" s="126"/>
    </row>
    <row r="26" customFormat="false" ht="15.75" hidden="false" customHeight="true" outlineLevel="0" collapsed="false">
      <c r="A26" s="127" t="s">
        <v>1288</v>
      </c>
      <c r="B26" s="133" t="s">
        <v>1289</v>
      </c>
      <c r="C26" s="131" t="n">
        <v>0.9</v>
      </c>
      <c r="D26" s="189" t="n">
        <f aca="false">Equipment_Register!$D$44</f>
        <v>0.961039135036643</v>
      </c>
      <c r="E26" s="131" t="n">
        <f aca="false">$D26-$C26</f>
        <v>0.061039135036643</v>
      </c>
      <c r="F26" s="190" t="n">
        <v>0.9</v>
      </c>
      <c r="G26" s="190" t="n">
        <v>0.8</v>
      </c>
      <c r="H26" s="132" t="str">
        <f aca="false">IF($D26&gt;=$F26,"Green",IF($D26&gt;=$G26,"Amber","Red"))</f>
        <v>Green</v>
      </c>
      <c r="I26" s="191" t="n">
        <v>0.05</v>
      </c>
      <c r="J26" s="168"/>
      <c r="K26" s="133" t="s">
        <v>146</v>
      </c>
      <c r="L26" s="133"/>
      <c r="M26" s="133"/>
      <c r="N26" s="133"/>
    </row>
    <row r="27" customFormat="false" ht="15" hidden="false" customHeight="true" outlineLevel="0" collapsed="false">
      <c r="A27" s="5"/>
      <c r="B27" s="5"/>
      <c r="C27" s="5"/>
      <c r="D27" s="5"/>
      <c r="E27" s="5"/>
      <c r="F27" s="5"/>
      <c r="G27" s="5"/>
      <c r="H27" s="5"/>
      <c r="I27" s="5"/>
      <c r="J27" s="5"/>
      <c r="K27" s="5"/>
      <c r="L27" s="5"/>
      <c r="M27" s="5"/>
      <c r="N27" s="5"/>
    </row>
    <row r="28" customFormat="false" ht="19.5" hidden="false" customHeight="true" outlineLevel="0" collapsed="false">
      <c r="A28" s="13" t="s">
        <v>1290</v>
      </c>
      <c r="B28" s="13"/>
      <c r="C28" s="13"/>
      <c r="D28" s="13"/>
      <c r="E28" s="13"/>
      <c r="F28" s="13"/>
      <c r="G28" s="13"/>
      <c r="H28" s="13"/>
      <c r="I28" s="13"/>
      <c r="J28" s="13"/>
      <c r="K28" s="13"/>
      <c r="L28" s="13"/>
      <c r="M28" s="13"/>
      <c r="N28" s="13"/>
    </row>
    <row r="29" customFormat="false" ht="18" hidden="false" customHeight="true" outlineLevel="0" collapsed="false">
      <c r="A29" s="194" t="s">
        <v>1291</v>
      </c>
      <c r="B29" s="194"/>
      <c r="C29" s="194"/>
      <c r="D29" s="195" t="n">
        <f aca="false">SUM($I$9:$I$26)</f>
        <v>1</v>
      </c>
      <c r="E29" s="196" t="s">
        <v>1292</v>
      </c>
      <c r="F29" s="196"/>
      <c r="G29" s="196"/>
      <c r="H29" s="196"/>
      <c r="I29" s="196"/>
      <c r="J29" s="196"/>
      <c r="K29" s="196"/>
      <c r="L29" s="196"/>
      <c r="M29" s="196"/>
      <c r="N29" s="196"/>
    </row>
    <row r="30" customFormat="false" ht="18" hidden="false" customHeight="true" outlineLevel="0" collapsed="false">
      <c r="A30" s="194" t="s">
        <v>1293</v>
      </c>
      <c r="B30" s="194"/>
      <c r="C30" s="194"/>
      <c r="D30" s="197" t="n">
        <f aca="false">IF(SUM($I$9:$I$26)=0,0,SUMPRODUCT($I$9:$I$26,($D$9:$D$26&gt;1)*1+($D$9:$D$26&lt;=1)*$D$9:$D$26)/SUM($I$9:$I$26))</f>
        <v>0.919056683260814</v>
      </c>
      <c r="E30" s="196" t="s">
        <v>1294</v>
      </c>
      <c r="F30" s="196"/>
      <c r="G30" s="196"/>
      <c r="H30" s="196"/>
      <c r="I30" s="196"/>
      <c r="J30" s="196"/>
      <c r="K30" s="196"/>
      <c r="L30" s="196"/>
      <c r="M30" s="196"/>
      <c r="N30" s="196"/>
    </row>
    <row r="31" customFormat="false" ht="18" hidden="false" customHeight="true" outlineLevel="0" collapsed="false">
      <c r="A31" s="194" t="s">
        <v>1295</v>
      </c>
      <c r="B31" s="194"/>
      <c r="C31" s="194"/>
      <c r="D31" s="198" t="str">
        <f aca="false">IF($D$30&gt;=0.95,"Green",IF($D$30&gt;=0.85,"Amber","Red"))</f>
        <v>Amber</v>
      </c>
      <c r="E31" s="196" t="s">
        <v>1296</v>
      </c>
      <c r="F31" s="196"/>
      <c r="G31" s="196"/>
      <c r="H31" s="196"/>
      <c r="I31" s="196"/>
      <c r="J31" s="196"/>
      <c r="K31" s="196"/>
      <c r="L31" s="196"/>
      <c r="M31" s="196"/>
      <c r="N31" s="196"/>
    </row>
    <row r="32" customFormat="false" ht="15" hidden="false" customHeight="true" outlineLevel="0" collapsed="false">
      <c r="A32" s="5"/>
      <c r="B32" s="5"/>
      <c r="C32" s="5"/>
      <c r="D32" s="5"/>
      <c r="E32" s="5"/>
      <c r="F32" s="5"/>
      <c r="G32" s="5"/>
      <c r="H32" s="5"/>
      <c r="I32" s="5"/>
      <c r="J32" s="5"/>
      <c r="K32" s="5"/>
      <c r="L32" s="5"/>
      <c r="M32" s="5"/>
      <c r="N32" s="5"/>
    </row>
    <row r="33" customFormat="false" ht="25.5" hidden="false" customHeight="true" outlineLevel="0" collapsed="false">
      <c r="A33" s="58" t="s">
        <v>1297</v>
      </c>
      <c r="B33" s="58"/>
      <c r="C33" s="58"/>
      <c r="D33" s="58"/>
      <c r="E33" s="58"/>
      <c r="F33" s="58"/>
      <c r="G33" s="58"/>
      <c r="H33" s="58"/>
      <c r="I33" s="58"/>
      <c r="J33" s="58"/>
      <c r="K33" s="58"/>
      <c r="L33" s="58"/>
      <c r="M33" s="58"/>
      <c r="N33" s="58"/>
    </row>
  </sheetData>
  <mergeCells count="33">
    <mergeCell ref="A1:N1"/>
    <mergeCell ref="A2:N2"/>
    <mergeCell ref="A3:N3"/>
    <mergeCell ref="A4:N4"/>
    <mergeCell ref="A6:N6"/>
    <mergeCell ref="A7:N7"/>
    <mergeCell ref="K8:N8"/>
    <mergeCell ref="K9:N9"/>
    <mergeCell ref="K10:N10"/>
    <mergeCell ref="K11:N11"/>
    <mergeCell ref="K12:N12"/>
    <mergeCell ref="K13:N13"/>
    <mergeCell ref="K14:N14"/>
    <mergeCell ref="K15:N15"/>
    <mergeCell ref="K16:N16"/>
    <mergeCell ref="K17:N17"/>
    <mergeCell ref="K18:N18"/>
    <mergeCell ref="K19:N19"/>
    <mergeCell ref="K20:N20"/>
    <mergeCell ref="K21:N21"/>
    <mergeCell ref="K22:N22"/>
    <mergeCell ref="K23:N23"/>
    <mergeCell ref="K24:N24"/>
    <mergeCell ref="K25:N25"/>
    <mergeCell ref="K26:N26"/>
    <mergeCell ref="A28:N28"/>
    <mergeCell ref="A29:C29"/>
    <mergeCell ref="E29:N29"/>
    <mergeCell ref="A30:C30"/>
    <mergeCell ref="E30:N30"/>
    <mergeCell ref="A31:C31"/>
    <mergeCell ref="E31:N31"/>
    <mergeCell ref="A33:N33"/>
  </mergeCells>
  <conditionalFormatting sqref="H9:H26">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D31">
    <cfRule type="cellIs" priority="5" operator="equal" aboveAverage="0" equalAverage="0" bottom="0" percent="0" rank="0" text="" dxfId="0">
      <formula>"Green"</formula>
    </cfRule>
    <cfRule type="cellIs" priority="6" operator="equal" aboveAverage="0" equalAverage="0" bottom="0" percent="0" rank="0" text="" dxfId="1">
      <formula>"Amber"</formula>
    </cfRule>
    <cfRule type="cellIs" priority="7" operator="equal" aboveAverage="0" equalAverage="0" bottom="0" percent="0" rank="0" text="" dxfId="2">
      <formula>"Red"</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R20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9"/>
    <col collapsed="false" customWidth="true" hidden="false" outlineLevel="0" max="2" min="2" style="1" width="21"/>
    <col collapsed="false" customWidth="true" hidden="false" outlineLevel="0" max="4" min="3" style="1" width="7"/>
    <col collapsed="false" customWidth="true" hidden="false" outlineLevel="0" max="5" min="5" style="1" width="9"/>
    <col collapsed="false" customWidth="true" hidden="false" outlineLevel="0" max="6" min="6" style="1" width="11"/>
    <col collapsed="false" customWidth="true" hidden="false" outlineLevel="0" max="7" min="7" style="1" width="7"/>
    <col collapsed="false" customWidth="true" hidden="false" outlineLevel="0" max="11" min="8" style="1" width="14"/>
    <col collapsed="false" customWidth="true" hidden="false" outlineLevel="0" max="13" min="12" style="1" width="12"/>
    <col collapsed="false" customWidth="true" hidden="false" outlineLevel="0" max="14" min="14" style="1" width="7"/>
    <col collapsed="false" customWidth="true" hidden="false" outlineLevel="0" max="17" min="15" style="1" width="8"/>
    <col collapsed="false" customWidth="true" hidden="false" outlineLevel="0" max="18" min="18"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row>
    <row r="2" customFormat="false" ht="30" hidden="false" customHeight="true" outlineLevel="0" collapsed="false">
      <c r="A2" s="59" t="s">
        <v>1298</v>
      </c>
      <c r="B2" s="59"/>
      <c r="C2" s="59"/>
      <c r="D2" s="59"/>
      <c r="E2" s="59"/>
      <c r="F2" s="59"/>
      <c r="G2" s="59"/>
      <c r="H2" s="59"/>
      <c r="I2" s="59"/>
      <c r="J2" s="59"/>
      <c r="K2" s="59"/>
      <c r="L2" s="59"/>
      <c r="M2" s="59"/>
      <c r="N2" s="59"/>
      <c r="O2" s="59"/>
      <c r="P2" s="59"/>
      <c r="Q2" s="59"/>
      <c r="R2" s="59"/>
    </row>
    <row r="3" customFormat="false" ht="16.5" hidden="false" customHeight="true" outlineLevel="0" collapsed="false">
      <c r="A3" s="60" t="s">
        <v>1299</v>
      </c>
      <c r="B3" s="60"/>
      <c r="C3" s="60"/>
      <c r="D3" s="60"/>
      <c r="E3" s="60"/>
      <c r="F3" s="60"/>
      <c r="G3" s="60"/>
      <c r="H3" s="60"/>
      <c r="I3" s="60"/>
      <c r="J3" s="60"/>
      <c r="K3" s="60"/>
      <c r="L3" s="60"/>
      <c r="M3" s="60"/>
      <c r="N3" s="60"/>
      <c r="O3" s="60"/>
      <c r="P3" s="60"/>
      <c r="Q3" s="60"/>
      <c r="R3" s="60"/>
    </row>
    <row r="4" customFormat="false" ht="15" hidden="false" customHeight="true" outlineLevel="0" collapsed="false">
      <c r="A4" s="61" t="s">
        <v>1300</v>
      </c>
      <c r="B4" s="61"/>
      <c r="C4" s="61"/>
      <c r="D4" s="61"/>
      <c r="E4" s="61"/>
      <c r="F4" s="61"/>
      <c r="G4" s="61"/>
      <c r="H4" s="61"/>
      <c r="I4" s="61"/>
      <c r="J4" s="61"/>
      <c r="K4" s="61"/>
      <c r="L4" s="61"/>
      <c r="M4" s="61"/>
      <c r="N4" s="61"/>
      <c r="O4" s="61"/>
      <c r="P4" s="61"/>
      <c r="Q4" s="61"/>
      <c r="R4" s="61"/>
    </row>
    <row r="5" customFormat="false" ht="15" hidden="false" customHeight="true" outlineLevel="0" collapsed="false">
      <c r="A5" s="5"/>
      <c r="B5" s="5"/>
      <c r="C5" s="5"/>
      <c r="D5" s="5"/>
      <c r="E5" s="5"/>
      <c r="F5" s="5"/>
      <c r="G5" s="5"/>
      <c r="H5" s="5"/>
      <c r="I5" s="5"/>
      <c r="J5" s="5"/>
      <c r="K5" s="5"/>
      <c r="L5" s="5"/>
      <c r="M5" s="5"/>
      <c r="N5" s="5"/>
      <c r="O5" s="5"/>
      <c r="P5" s="5"/>
      <c r="Q5" s="5"/>
      <c r="R5" s="5"/>
    </row>
    <row r="6" customFormat="false" ht="19.5" hidden="false" customHeight="true" outlineLevel="0" collapsed="false">
      <c r="A6" s="13" t="s">
        <v>1301</v>
      </c>
      <c r="B6" s="13"/>
      <c r="C6" s="13"/>
      <c r="D6" s="13"/>
      <c r="E6" s="13"/>
      <c r="F6" s="13"/>
      <c r="G6" s="13"/>
      <c r="H6" s="13"/>
      <c r="I6" s="13"/>
      <c r="J6" s="13"/>
      <c r="K6" s="13"/>
      <c r="L6" s="13"/>
      <c r="M6" s="13"/>
      <c r="N6" s="13"/>
      <c r="O6" s="13"/>
      <c r="P6" s="13"/>
      <c r="Q6" s="13"/>
      <c r="R6" s="13"/>
    </row>
    <row r="7" customFormat="false" ht="13.5" hidden="false" customHeight="true" outlineLevel="0" collapsed="false">
      <c r="A7" s="80" t="s">
        <v>1302</v>
      </c>
      <c r="B7" s="80"/>
      <c r="C7" s="80"/>
      <c r="D7" s="80"/>
      <c r="E7" s="80"/>
      <c r="F7" s="80"/>
      <c r="G7" s="80"/>
      <c r="H7" s="80"/>
      <c r="I7" s="80"/>
      <c r="J7" s="80"/>
      <c r="K7" s="80"/>
      <c r="L7" s="80"/>
      <c r="M7" s="80"/>
      <c r="N7" s="80"/>
      <c r="O7" s="80"/>
      <c r="P7" s="80"/>
      <c r="Q7" s="80"/>
      <c r="R7" s="80"/>
    </row>
    <row r="8" customFormat="false" ht="42" hidden="false" customHeight="true" outlineLevel="0" collapsed="false">
      <c r="A8" s="23" t="s">
        <v>256</v>
      </c>
      <c r="B8" s="23" t="s">
        <v>5</v>
      </c>
      <c r="C8" s="23" t="s">
        <v>289</v>
      </c>
      <c r="D8" s="23" t="s">
        <v>1303</v>
      </c>
      <c r="E8" s="23" t="s">
        <v>1304</v>
      </c>
      <c r="F8" s="23" t="s">
        <v>1305</v>
      </c>
      <c r="G8" s="23" t="s">
        <v>1306</v>
      </c>
      <c r="H8" s="23" t="s">
        <v>1307</v>
      </c>
      <c r="I8" s="23" t="s">
        <v>1308</v>
      </c>
      <c r="J8" s="23" t="s">
        <v>1309</v>
      </c>
      <c r="K8" s="23" t="s">
        <v>1310</v>
      </c>
      <c r="L8" s="23" t="s">
        <v>879</v>
      </c>
      <c r="M8" s="23" t="s">
        <v>1311</v>
      </c>
      <c r="N8" s="23" t="s">
        <v>1312</v>
      </c>
      <c r="O8" s="23" t="s">
        <v>1313</v>
      </c>
      <c r="P8" s="23" t="s">
        <v>1314</v>
      </c>
      <c r="Q8" s="23" t="s">
        <v>1315</v>
      </c>
      <c r="R8" s="23" t="s">
        <v>1316</v>
      </c>
    </row>
    <row r="9" customFormat="false" ht="12.75" hidden="false" customHeight="true" outlineLevel="0" collapsed="false">
      <c r="A9" s="149" t="s">
        <v>8</v>
      </c>
      <c r="B9" s="150" t="str">
        <f aca="false">IFERROR(INDEX(Projects!$C$9:$C$16,MATCH($A9,Projects!$A$9:$A$16,0)),"")</f>
        <v>Residential</v>
      </c>
      <c r="C9" s="94" t="n">
        <f aca="false">IF(Dashboard!$C$6="Corporate",1,IF(Dashboard!$C$6="Project",IF($A9=Dashboard!$M$6,1,0),IF($B9=Dashboard!$H$6,1,0)))</f>
        <v>1</v>
      </c>
      <c r="D9" s="199" t="n">
        <v>1</v>
      </c>
      <c r="E9" s="45" t="s">
        <v>1317</v>
      </c>
      <c r="F9" s="85" t="n">
        <v>46142</v>
      </c>
      <c r="G9" s="94" t="n">
        <f aca="false">IF($D9&lt;=Dashboard!$H$7,1,0)</f>
        <v>1</v>
      </c>
      <c r="H9" s="92" t="n">
        <v>2324013</v>
      </c>
      <c r="I9" s="92" t="n">
        <v>2056752</v>
      </c>
      <c r="J9" s="92" t="n">
        <v>2257686</v>
      </c>
      <c r="K9" s="92" t="n">
        <v>1729862</v>
      </c>
      <c r="L9" s="92" t="n">
        <v>7263</v>
      </c>
      <c r="M9" s="92" t="n">
        <v>7157</v>
      </c>
      <c r="N9" s="92" t="n">
        <v>0</v>
      </c>
      <c r="O9" s="92" t="n">
        <v>0</v>
      </c>
      <c r="P9" s="152" t="n">
        <f aca="false">IF(OR($G9=0,$H9=0),0,$I9/$H9)</f>
        <v>0.885000212993645</v>
      </c>
      <c r="Q9" s="152" t="n">
        <f aca="false">IF(OR($G9=0,$J9=0),0,$I9/$J9)</f>
        <v>0.911000023918295</v>
      </c>
      <c r="R9" s="44" t="n">
        <f aca="false">IF(OR($G9=0,$M9=0),0,$I9/$M9)</f>
        <v>287.376274975548</v>
      </c>
    </row>
    <row r="10" customFormat="false" ht="12.75" hidden="false" customHeight="true" outlineLevel="0" collapsed="false">
      <c r="A10" s="47" t="s">
        <v>8</v>
      </c>
      <c r="B10" s="154" t="str">
        <f aca="false">IFERROR(INDEX(Projects!$C$9:$C$16,MATCH($A10,Projects!$A$9:$A$16,0)),"")</f>
        <v>Residential</v>
      </c>
      <c r="C10" s="155" t="n">
        <f aca="false">IF(Dashboard!$C$6="Corporate",1,IF(Dashboard!$C$6="Project",IF($A10=Dashboard!$M$6,1,0),IF($B10=Dashboard!$H$6,1,0)))</f>
        <v>1</v>
      </c>
      <c r="D10" s="200" t="n">
        <v>2</v>
      </c>
      <c r="E10" s="51" t="s">
        <v>1318</v>
      </c>
      <c r="F10" s="98" t="n">
        <v>46173</v>
      </c>
      <c r="G10" s="155" t="n">
        <f aca="false">IF($D10&lt;=Dashboard!$H$7,1,0)</f>
        <v>1</v>
      </c>
      <c r="H10" s="99" t="n">
        <v>3056394</v>
      </c>
      <c r="I10" s="99" t="n">
        <v>2704908</v>
      </c>
      <c r="J10" s="99" t="n">
        <v>2934964</v>
      </c>
      <c r="K10" s="99" t="n">
        <v>2275003</v>
      </c>
      <c r="L10" s="99" t="n">
        <v>9551</v>
      </c>
      <c r="M10" s="99" t="n">
        <v>9412</v>
      </c>
      <c r="N10" s="99" t="n">
        <v>1</v>
      </c>
      <c r="O10" s="99" t="n">
        <v>1</v>
      </c>
      <c r="P10" s="157" t="n">
        <f aca="false">IF(OR($G10=0,$H10=0),0,$I10/$H10)</f>
        <v>0.884999774243766</v>
      </c>
      <c r="Q10" s="157" t="n">
        <f aca="false">IF(OR($G10=0,$J10=0),0,$I10/$J10)</f>
        <v>0.921615392897494</v>
      </c>
      <c r="R10" s="50" t="n">
        <f aca="false">IF(OR($G10=0,$M10=0),0,$I10/$M10)</f>
        <v>287.389290267743</v>
      </c>
    </row>
    <row r="11" customFormat="false" ht="12.75" hidden="false" customHeight="true" outlineLevel="0" collapsed="false">
      <c r="A11" s="149" t="s">
        <v>8</v>
      </c>
      <c r="B11" s="150" t="str">
        <f aca="false">IFERROR(INDEX(Projects!$C$9:$C$16,MATCH($A11,Projects!$A$9:$A$16,0)),"")</f>
        <v>Residential</v>
      </c>
      <c r="C11" s="94" t="n">
        <f aca="false">IF(Dashboard!$C$6="Corporate",1,IF(Dashboard!$C$6="Project",IF($A11=Dashboard!$M$6,1,0),IF($B11=Dashboard!$H$6,1,0)))</f>
        <v>1</v>
      </c>
      <c r="D11" s="199" t="n">
        <v>3</v>
      </c>
      <c r="E11" s="45" t="s">
        <v>1319</v>
      </c>
      <c r="F11" s="85" t="n">
        <v>46203</v>
      </c>
      <c r="G11" s="94" t="n">
        <f aca="false">IF($D11&lt;=Dashboard!$H$7,1,0)</f>
        <v>1</v>
      </c>
      <c r="H11" s="92" t="n">
        <v>1951257</v>
      </c>
      <c r="I11" s="92" t="n">
        <v>1726863</v>
      </c>
      <c r="J11" s="92" t="n">
        <v>1837169</v>
      </c>
      <c r="K11" s="92" t="n">
        <v>1452403</v>
      </c>
      <c r="L11" s="92" t="n">
        <v>6098</v>
      </c>
      <c r="M11" s="92" t="n">
        <v>6009</v>
      </c>
      <c r="N11" s="92" t="n">
        <v>1</v>
      </c>
      <c r="O11" s="92" t="n">
        <v>1</v>
      </c>
      <c r="P11" s="152" t="n">
        <f aca="false">IF(OR($G11=0,$H11=0),0,$I11/$H11)</f>
        <v>0.885000284432035</v>
      </c>
      <c r="Q11" s="152" t="n">
        <f aca="false">IF(OR($G11=0,$J11=0),0,$I11/$J11)</f>
        <v>0.939958708208118</v>
      </c>
      <c r="R11" s="44" t="n">
        <f aca="false">IF(OR($G11=0,$M11=0),0,$I11/$M11)</f>
        <v>287.379430853719</v>
      </c>
    </row>
    <row r="12" customFormat="false" ht="12.75" hidden="false" customHeight="true" outlineLevel="0" collapsed="false">
      <c r="A12" s="47" t="s">
        <v>8</v>
      </c>
      <c r="B12" s="154" t="str">
        <f aca="false">IFERROR(INDEX(Projects!$C$9:$C$16,MATCH($A12,Projects!$A$9:$A$16,0)),"")</f>
        <v>Residential</v>
      </c>
      <c r="C12" s="155" t="n">
        <f aca="false">IF(Dashboard!$C$6="Corporate",1,IF(Dashboard!$C$6="Project",IF($A12=Dashboard!$M$6,1,0),IF($B12=Dashboard!$H$6,1,0)))</f>
        <v>1</v>
      </c>
      <c r="D12" s="200" t="n">
        <v>4</v>
      </c>
      <c r="E12" s="51" t="s">
        <v>1320</v>
      </c>
      <c r="F12" s="98" t="n">
        <v>46234</v>
      </c>
      <c r="G12" s="155" t="n">
        <f aca="false">IF($D12&lt;=Dashboard!$H$7,1,0)</f>
        <v>1</v>
      </c>
      <c r="H12" s="99" t="n">
        <v>2972221</v>
      </c>
      <c r="I12" s="99" t="n">
        <v>2630416</v>
      </c>
      <c r="J12" s="99" t="n">
        <v>2786046</v>
      </c>
      <c r="K12" s="99" t="n">
        <v>2212350</v>
      </c>
      <c r="L12" s="99" t="n">
        <v>9288</v>
      </c>
      <c r="M12" s="99" t="n">
        <v>9153</v>
      </c>
      <c r="N12" s="99" t="n">
        <v>1</v>
      </c>
      <c r="O12" s="99" t="n">
        <v>0</v>
      </c>
      <c r="P12" s="157" t="n">
        <f aca="false">IF(OR($G12=0,$H12=0),0,$I12/$H12)</f>
        <v>0.885000139626226</v>
      </c>
      <c r="Q12" s="157" t="n">
        <f aca="false">IF(OR($G12=0,$J12=0),0,$I12/$J12)</f>
        <v>0.944139472212591</v>
      </c>
      <c r="R12" s="50" t="n">
        <f aca="false">IF(OR($G12=0,$M12=0),0,$I12/$M12)</f>
        <v>287.382934556976</v>
      </c>
    </row>
    <row r="13" customFormat="false" ht="12.75" hidden="false" customHeight="true" outlineLevel="0" collapsed="false">
      <c r="A13" s="149" t="s">
        <v>8</v>
      </c>
      <c r="B13" s="150" t="str">
        <f aca="false">IFERROR(INDEX(Projects!$C$9:$C$16,MATCH($A13,Projects!$A$9:$A$16,0)),"")</f>
        <v>Residential</v>
      </c>
      <c r="C13" s="94" t="n">
        <f aca="false">IF(Dashboard!$C$6="Corporate",1,IF(Dashboard!$C$6="Project",IF($A13=Dashboard!$M$6,1,0),IF($B13=Dashboard!$H$6,1,0)))</f>
        <v>1</v>
      </c>
      <c r="D13" s="199" t="n">
        <v>5</v>
      </c>
      <c r="E13" s="45" t="s">
        <v>1321</v>
      </c>
      <c r="F13" s="85" t="n">
        <v>46265</v>
      </c>
      <c r="G13" s="94" t="n">
        <f aca="false">IF($D13&lt;=Dashboard!$H$7,1,0)</f>
        <v>1</v>
      </c>
      <c r="H13" s="92" t="n">
        <v>4411770</v>
      </c>
      <c r="I13" s="92" t="n">
        <v>3903129</v>
      </c>
      <c r="J13" s="92" t="n">
        <v>4111296</v>
      </c>
      <c r="K13" s="92" t="n">
        <v>3282786</v>
      </c>
      <c r="L13" s="92" t="n">
        <v>13782</v>
      </c>
      <c r="M13" s="92" t="n">
        <v>13583</v>
      </c>
      <c r="N13" s="92" t="n">
        <v>0</v>
      </c>
      <c r="O13" s="92" t="n">
        <v>0</v>
      </c>
      <c r="P13" s="152" t="n">
        <f aca="false">IF(OR($G13=0,$H13=0),0,$I13/$H13)</f>
        <v>0.884708178350186</v>
      </c>
      <c r="Q13" s="152" t="n">
        <f aca="false">IF(OR($G13=0,$J13=0),0,$I13/$J13)</f>
        <v>0.949367060897586</v>
      </c>
      <c r="R13" s="44" t="n">
        <f aca="false">IF(OR($G13=0,$M13=0),0,$I13/$M13)</f>
        <v>287.35397187661</v>
      </c>
    </row>
    <row r="14" customFormat="false" ht="12.75" hidden="false" customHeight="true" outlineLevel="0" collapsed="false">
      <c r="A14" s="47" t="s">
        <v>8</v>
      </c>
      <c r="B14" s="154" t="str">
        <f aca="false">IFERROR(INDEX(Projects!$C$9:$C$16,MATCH($A14,Projects!$A$9:$A$16,0)),"")</f>
        <v>Residential</v>
      </c>
      <c r="C14" s="155" t="n">
        <f aca="false">IF(Dashboard!$C$6="Corporate",1,IF(Dashboard!$C$6="Project",IF($A14=Dashboard!$M$6,1,0),IF($B14=Dashboard!$H$6,1,0)))</f>
        <v>1</v>
      </c>
      <c r="D14" s="200" t="n">
        <v>6</v>
      </c>
      <c r="E14" s="51" t="s">
        <v>1322</v>
      </c>
      <c r="F14" s="98" t="n">
        <v>46295</v>
      </c>
      <c r="G14" s="155" t="n">
        <f aca="false">IF($D14&lt;=Dashboard!$H$7,1,0)</f>
        <v>0</v>
      </c>
      <c r="H14" s="99" t="n">
        <v>5471736</v>
      </c>
      <c r="I14" s="99" t="n">
        <v>0</v>
      </c>
      <c r="J14" s="99" t="n">
        <v>0</v>
      </c>
      <c r="K14" s="99" t="n">
        <v>0</v>
      </c>
      <c r="L14" s="99" t="n">
        <v>17104</v>
      </c>
      <c r="M14" s="99" t="n">
        <v>0</v>
      </c>
      <c r="N14" s="99" t="n">
        <v>0</v>
      </c>
      <c r="O14" s="99" t="n">
        <v>0</v>
      </c>
      <c r="P14" s="157" t="n">
        <f aca="false">IF(OR($G14=0,$H14=0),0,$I14/$H14)</f>
        <v>0</v>
      </c>
      <c r="Q14" s="157" t="n">
        <f aca="false">IF(OR($G14=0,$J14=0),0,$I14/$J14)</f>
        <v>0</v>
      </c>
      <c r="R14" s="50" t="n">
        <f aca="false">IF(OR($G14=0,$M14=0),0,$I14/$M14)</f>
        <v>0</v>
      </c>
    </row>
    <row r="15" customFormat="false" ht="12.75" hidden="false" customHeight="true" outlineLevel="0" collapsed="false">
      <c r="A15" s="149" t="s">
        <v>8</v>
      </c>
      <c r="B15" s="150" t="str">
        <f aca="false">IFERROR(INDEX(Projects!$C$9:$C$16,MATCH($A15,Projects!$A$9:$A$16,0)),"")</f>
        <v>Residential</v>
      </c>
      <c r="C15" s="94" t="n">
        <f aca="false">IF(Dashboard!$C$6="Corporate",1,IF(Dashboard!$C$6="Project",IF($A15=Dashboard!$M$6,1,0),IF($B15=Dashboard!$H$6,1,0)))</f>
        <v>1</v>
      </c>
      <c r="D15" s="199" t="n">
        <v>7</v>
      </c>
      <c r="E15" s="45" t="s">
        <v>1323</v>
      </c>
      <c r="F15" s="85" t="n">
        <v>46326</v>
      </c>
      <c r="G15" s="94" t="n">
        <f aca="false">IF($D15&lt;=Dashboard!$H$7,1,0)</f>
        <v>0</v>
      </c>
      <c r="H15" s="92" t="n">
        <v>6187585</v>
      </c>
      <c r="I15" s="92" t="n">
        <v>0</v>
      </c>
      <c r="J15" s="92" t="n">
        <v>0</v>
      </c>
      <c r="K15" s="92" t="n">
        <v>0</v>
      </c>
      <c r="L15" s="92" t="n">
        <v>19336</v>
      </c>
      <c r="M15" s="92" t="n">
        <v>0</v>
      </c>
      <c r="N15" s="92" t="n">
        <v>0</v>
      </c>
      <c r="O15" s="92" t="n">
        <v>0</v>
      </c>
      <c r="P15" s="152" t="n">
        <f aca="false">IF(OR($G15=0,$H15=0),0,$I15/$H15)</f>
        <v>0</v>
      </c>
      <c r="Q15" s="152" t="n">
        <f aca="false">IF(OR($G15=0,$J15=0),0,$I15/$J15)</f>
        <v>0</v>
      </c>
      <c r="R15" s="44" t="n">
        <f aca="false">IF(OR($G15=0,$M15=0),0,$I15/$M15)</f>
        <v>0</v>
      </c>
    </row>
    <row r="16" customFormat="false" ht="12.75" hidden="false" customHeight="true" outlineLevel="0" collapsed="false">
      <c r="A16" s="47" t="s">
        <v>8</v>
      </c>
      <c r="B16" s="154" t="str">
        <f aca="false">IFERROR(INDEX(Projects!$C$9:$C$16,MATCH($A16,Projects!$A$9:$A$16,0)),"")</f>
        <v>Residential</v>
      </c>
      <c r="C16" s="155" t="n">
        <f aca="false">IF(Dashboard!$C$6="Corporate",1,IF(Dashboard!$C$6="Project",IF($A16=Dashboard!$M$6,1,0),IF($B16=Dashboard!$H$6,1,0)))</f>
        <v>1</v>
      </c>
      <c r="D16" s="200" t="n">
        <v>8</v>
      </c>
      <c r="E16" s="51" t="s">
        <v>1324</v>
      </c>
      <c r="F16" s="98" t="n">
        <v>46356</v>
      </c>
      <c r="G16" s="155" t="n">
        <f aca="false">IF($D16&lt;=Dashboard!$H$7,1,0)</f>
        <v>0</v>
      </c>
      <c r="H16" s="99" t="n">
        <v>6896423</v>
      </c>
      <c r="I16" s="99" t="n">
        <v>0</v>
      </c>
      <c r="J16" s="99" t="n">
        <v>0</v>
      </c>
      <c r="K16" s="99" t="n">
        <v>0</v>
      </c>
      <c r="L16" s="99" t="n">
        <v>21551</v>
      </c>
      <c r="M16" s="99" t="n">
        <v>0</v>
      </c>
      <c r="N16" s="99" t="n">
        <v>0</v>
      </c>
      <c r="O16" s="99" t="n">
        <v>0</v>
      </c>
      <c r="P16" s="157" t="n">
        <f aca="false">IF(OR($G16=0,$H16=0),0,$I16/$H16)</f>
        <v>0</v>
      </c>
      <c r="Q16" s="157" t="n">
        <f aca="false">IF(OR($G16=0,$J16=0),0,$I16/$J16)</f>
        <v>0</v>
      </c>
      <c r="R16" s="50" t="n">
        <f aca="false">IF(OR($G16=0,$M16=0),0,$I16/$M16)</f>
        <v>0</v>
      </c>
    </row>
    <row r="17" customFormat="false" ht="12.75" hidden="false" customHeight="true" outlineLevel="0" collapsed="false">
      <c r="A17" s="149" t="s">
        <v>8</v>
      </c>
      <c r="B17" s="150" t="str">
        <f aca="false">IFERROR(INDEX(Projects!$C$9:$C$16,MATCH($A17,Projects!$A$9:$A$16,0)),"")</f>
        <v>Residential</v>
      </c>
      <c r="C17" s="94" t="n">
        <f aca="false">IF(Dashboard!$C$6="Corporate",1,IF(Dashboard!$C$6="Project",IF($A17=Dashboard!$M$6,1,0),IF($B17=Dashboard!$H$6,1,0)))</f>
        <v>1</v>
      </c>
      <c r="D17" s="199" t="n">
        <v>9</v>
      </c>
      <c r="E17" s="45" t="s">
        <v>1325</v>
      </c>
      <c r="F17" s="85" t="n">
        <v>46387</v>
      </c>
      <c r="G17" s="94" t="n">
        <f aca="false">IF($D17&lt;=Dashboard!$H$7,1,0)</f>
        <v>0</v>
      </c>
      <c r="H17" s="92" t="n">
        <v>7392764</v>
      </c>
      <c r="I17" s="92" t="n">
        <v>0</v>
      </c>
      <c r="J17" s="92" t="n">
        <v>0</v>
      </c>
      <c r="K17" s="92" t="n">
        <v>0</v>
      </c>
      <c r="L17" s="92" t="n">
        <v>23102</v>
      </c>
      <c r="M17" s="92" t="n">
        <v>0</v>
      </c>
      <c r="N17" s="92" t="n">
        <v>0</v>
      </c>
      <c r="O17" s="92" t="n">
        <v>0</v>
      </c>
      <c r="P17" s="152" t="n">
        <f aca="false">IF(OR($G17=0,$H17=0),0,$I17/$H17)</f>
        <v>0</v>
      </c>
      <c r="Q17" s="152" t="n">
        <f aca="false">IF(OR($G17=0,$J17=0),0,$I17/$J17)</f>
        <v>0</v>
      </c>
      <c r="R17" s="44" t="n">
        <f aca="false">IF(OR($G17=0,$M17=0),0,$I17/$M17)</f>
        <v>0</v>
      </c>
    </row>
    <row r="18" customFormat="false" ht="12.75" hidden="false" customHeight="true" outlineLevel="0" collapsed="false">
      <c r="A18" s="47" t="s">
        <v>8</v>
      </c>
      <c r="B18" s="154" t="str">
        <f aca="false">IFERROR(INDEX(Projects!$C$9:$C$16,MATCH($A18,Projects!$A$9:$A$16,0)),"")</f>
        <v>Residential</v>
      </c>
      <c r="C18" s="155" t="n">
        <f aca="false">IF(Dashboard!$C$6="Corporate",1,IF(Dashboard!$C$6="Project",IF($A18=Dashboard!$M$6,1,0),IF($B18=Dashboard!$H$6,1,0)))</f>
        <v>1</v>
      </c>
      <c r="D18" s="200" t="n">
        <v>10</v>
      </c>
      <c r="E18" s="51" t="s">
        <v>1326</v>
      </c>
      <c r="F18" s="98" t="n">
        <v>46418</v>
      </c>
      <c r="G18" s="155" t="n">
        <f aca="false">IF($D18&lt;=Dashboard!$H$7,1,0)</f>
        <v>0</v>
      </c>
      <c r="H18" s="99" t="n">
        <v>7818470</v>
      </c>
      <c r="I18" s="99" t="n">
        <v>0</v>
      </c>
      <c r="J18" s="99" t="n">
        <v>0</v>
      </c>
      <c r="K18" s="99" t="n">
        <v>0</v>
      </c>
      <c r="L18" s="99" t="n">
        <v>24433</v>
      </c>
      <c r="M18" s="99" t="n">
        <v>0</v>
      </c>
      <c r="N18" s="99" t="n">
        <v>0</v>
      </c>
      <c r="O18" s="99" t="n">
        <v>0</v>
      </c>
      <c r="P18" s="157" t="n">
        <f aca="false">IF(OR($G18=0,$H18=0),0,$I18/$H18)</f>
        <v>0</v>
      </c>
      <c r="Q18" s="157" t="n">
        <f aca="false">IF(OR($G18=0,$J18=0),0,$I18/$J18)</f>
        <v>0</v>
      </c>
      <c r="R18" s="50" t="n">
        <f aca="false">IF(OR($G18=0,$M18=0),0,$I18/$M18)</f>
        <v>0</v>
      </c>
    </row>
    <row r="19" customFormat="false" ht="12.75" hidden="false" customHeight="true" outlineLevel="0" collapsed="false">
      <c r="A19" s="149" t="s">
        <v>8</v>
      </c>
      <c r="B19" s="150" t="str">
        <f aca="false">IFERROR(INDEX(Projects!$C$9:$C$16,MATCH($A19,Projects!$A$9:$A$16,0)),"")</f>
        <v>Residential</v>
      </c>
      <c r="C19" s="94" t="n">
        <f aca="false">IF(Dashboard!$C$6="Corporate",1,IF(Dashboard!$C$6="Project",IF($A19=Dashboard!$M$6,1,0),IF($B19=Dashboard!$H$6,1,0)))</f>
        <v>1</v>
      </c>
      <c r="D19" s="199" t="n">
        <v>11</v>
      </c>
      <c r="E19" s="45" t="s">
        <v>1327</v>
      </c>
      <c r="F19" s="85" t="n">
        <v>46446</v>
      </c>
      <c r="G19" s="94" t="n">
        <f aca="false">IF($D19&lt;=Dashboard!$H$7,1,0)</f>
        <v>0</v>
      </c>
      <c r="H19" s="92" t="n">
        <v>7407234</v>
      </c>
      <c r="I19" s="92" t="n">
        <v>0</v>
      </c>
      <c r="J19" s="92" t="n">
        <v>0</v>
      </c>
      <c r="K19" s="92" t="n">
        <v>0</v>
      </c>
      <c r="L19" s="92" t="n">
        <v>23148</v>
      </c>
      <c r="M19" s="92" t="n">
        <v>0</v>
      </c>
      <c r="N19" s="92" t="n">
        <v>0</v>
      </c>
      <c r="O19" s="92" t="n">
        <v>0</v>
      </c>
      <c r="P19" s="152" t="n">
        <f aca="false">IF(OR($G19=0,$H19=0),0,$I19/$H19)</f>
        <v>0</v>
      </c>
      <c r="Q19" s="152" t="n">
        <f aca="false">IF(OR($G19=0,$J19=0),0,$I19/$J19)</f>
        <v>0</v>
      </c>
      <c r="R19" s="44" t="n">
        <f aca="false">IF(OR($G19=0,$M19=0),0,$I19/$M19)</f>
        <v>0</v>
      </c>
    </row>
    <row r="20" customFormat="false" ht="12.75" hidden="false" customHeight="true" outlineLevel="0" collapsed="false">
      <c r="A20" s="47" t="s">
        <v>8</v>
      </c>
      <c r="B20" s="154" t="str">
        <f aca="false">IFERROR(INDEX(Projects!$C$9:$C$16,MATCH($A20,Projects!$A$9:$A$16,0)),"")</f>
        <v>Residential</v>
      </c>
      <c r="C20" s="155" t="n">
        <f aca="false">IF(Dashboard!$C$6="Corporate",1,IF(Dashboard!$C$6="Project",IF($A20=Dashboard!$M$6,1,0),IF($B20=Dashboard!$H$6,1,0)))</f>
        <v>1</v>
      </c>
      <c r="D20" s="200" t="n">
        <v>12</v>
      </c>
      <c r="E20" s="51" t="s">
        <v>1328</v>
      </c>
      <c r="F20" s="98" t="n">
        <v>46477</v>
      </c>
      <c r="G20" s="155" t="n">
        <f aca="false">IF($D20&lt;=Dashboard!$H$7,1,0)</f>
        <v>0</v>
      </c>
      <c r="H20" s="99" t="n">
        <v>6997752</v>
      </c>
      <c r="I20" s="99" t="n">
        <v>0</v>
      </c>
      <c r="J20" s="99" t="n">
        <v>0</v>
      </c>
      <c r="K20" s="99" t="n">
        <v>0</v>
      </c>
      <c r="L20" s="99" t="n">
        <v>21868</v>
      </c>
      <c r="M20" s="99" t="n">
        <v>0</v>
      </c>
      <c r="N20" s="99" t="n">
        <v>0</v>
      </c>
      <c r="O20" s="99" t="n">
        <v>0</v>
      </c>
      <c r="P20" s="157" t="n">
        <f aca="false">IF(OR($G20=0,$H20=0),0,$I20/$H20)</f>
        <v>0</v>
      </c>
      <c r="Q20" s="157" t="n">
        <f aca="false">IF(OR($G20=0,$J20=0),0,$I20/$J20)</f>
        <v>0</v>
      </c>
      <c r="R20" s="50" t="n">
        <f aca="false">IF(OR($G20=0,$M20=0),0,$I20/$M20)</f>
        <v>0</v>
      </c>
    </row>
    <row r="21" customFormat="false" ht="12.75" hidden="false" customHeight="true" outlineLevel="0" collapsed="false">
      <c r="A21" s="149" t="s">
        <v>8</v>
      </c>
      <c r="B21" s="150" t="str">
        <f aca="false">IFERROR(INDEX(Projects!$C$9:$C$16,MATCH($A21,Projects!$A$9:$A$16,0)),"")</f>
        <v>Residential</v>
      </c>
      <c r="C21" s="94" t="n">
        <f aca="false">IF(Dashboard!$C$6="Corporate",1,IF(Dashboard!$C$6="Project",IF($A21=Dashboard!$M$6,1,0),IF($B21=Dashboard!$H$6,1,0)))</f>
        <v>1</v>
      </c>
      <c r="D21" s="199" t="n">
        <v>13</v>
      </c>
      <c r="E21" s="45" t="s">
        <v>1329</v>
      </c>
      <c r="F21" s="85" t="n">
        <v>46507</v>
      </c>
      <c r="G21" s="94" t="n">
        <f aca="false">IF($D21&lt;=Dashboard!$H$7,1,0)</f>
        <v>0</v>
      </c>
      <c r="H21" s="92" t="n">
        <v>6349654</v>
      </c>
      <c r="I21" s="92" t="n">
        <v>0</v>
      </c>
      <c r="J21" s="92" t="n">
        <v>0</v>
      </c>
      <c r="K21" s="92" t="n">
        <v>0</v>
      </c>
      <c r="L21" s="92" t="n">
        <v>19843</v>
      </c>
      <c r="M21" s="92" t="n">
        <v>0</v>
      </c>
      <c r="N21" s="92" t="n">
        <v>0</v>
      </c>
      <c r="O21" s="92" t="n">
        <v>0</v>
      </c>
      <c r="P21" s="152" t="n">
        <f aca="false">IF(OR($G21=0,$H21=0),0,$I21/$H21)</f>
        <v>0</v>
      </c>
      <c r="Q21" s="152" t="n">
        <f aca="false">IF(OR($G21=0,$J21=0),0,$I21/$J21)</f>
        <v>0</v>
      </c>
      <c r="R21" s="44" t="n">
        <f aca="false">IF(OR($G21=0,$M21=0),0,$I21/$M21)</f>
        <v>0</v>
      </c>
    </row>
    <row r="22" customFormat="false" ht="12.75" hidden="false" customHeight="true" outlineLevel="0" collapsed="false">
      <c r="A22" s="47" t="s">
        <v>8</v>
      </c>
      <c r="B22" s="154" t="str">
        <f aca="false">IFERROR(INDEX(Projects!$C$9:$C$16,MATCH($A22,Projects!$A$9:$A$16,0)),"")</f>
        <v>Residential</v>
      </c>
      <c r="C22" s="155" t="n">
        <f aca="false">IF(Dashboard!$C$6="Corporate",1,IF(Dashboard!$C$6="Project",IF($A22=Dashboard!$M$6,1,0),IF($B22=Dashboard!$H$6,1,0)))</f>
        <v>1</v>
      </c>
      <c r="D22" s="200" t="n">
        <v>14</v>
      </c>
      <c r="E22" s="51" t="s">
        <v>1330</v>
      </c>
      <c r="F22" s="98" t="n">
        <v>46538</v>
      </c>
      <c r="G22" s="155" t="n">
        <f aca="false">IF($D22&lt;=Dashboard!$H$7,1,0)</f>
        <v>0</v>
      </c>
      <c r="H22" s="99" t="n">
        <v>5100870</v>
      </c>
      <c r="I22" s="99" t="n">
        <v>0</v>
      </c>
      <c r="J22" s="99" t="n">
        <v>0</v>
      </c>
      <c r="K22" s="99" t="n">
        <v>0</v>
      </c>
      <c r="L22" s="99" t="n">
        <v>15940</v>
      </c>
      <c r="M22" s="99" t="n">
        <v>0</v>
      </c>
      <c r="N22" s="99" t="n">
        <v>0</v>
      </c>
      <c r="O22" s="99" t="n">
        <v>0</v>
      </c>
      <c r="P22" s="157" t="n">
        <f aca="false">IF(OR($G22=0,$H22=0),0,$I22/$H22)</f>
        <v>0</v>
      </c>
      <c r="Q22" s="157" t="n">
        <f aca="false">IF(OR($G22=0,$J22=0),0,$I22/$J22)</f>
        <v>0</v>
      </c>
      <c r="R22" s="50" t="n">
        <f aca="false">IF(OR($G22=0,$M22=0),0,$I22/$M22)</f>
        <v>0</v>
      </c>
    </row>
    <row r="23" customFormat="false" ht="12.75" hidden="false" customHeight="true" outlineLevel="0" collapsed="false">
      <c r="A23" s="149" t="s">
        <v>8</v>
      </c>
      <c r="B23" s="150" t="str">
        <f aca="false">IFERROR(INDEX(Projects!$C$9:$C$16,MATCH($A23,Projects!$A$9:$A$16,0)),"")</f>
        <v>Residential</v>
      </c>
      <c r="C23" s="94" t="n">
        <f aca="false">IF(Dashboard!$C$6="Corporate",1,IF(Dashboard!$C$6="Project",IF($A23=Dashboard!$M$6,1,0),IF($B23=Dashboard!$H$6,1,0)))</f>
        <v>1</v>
      </c>
      <c r="D23" s="199" t="n">
        <v>15</v>
      </c>
      <c r="E23" s="45" t="s">
        <v>1331</v>
      </c>
      <c r="F23" s="85" t="n">
        <v>46568</v>
      </c>
      <c r="G23" s="94" t="n">
        <f aca="false">IF($D23&lt;=Dashboard!$H$7,1,0)</f>
        <v>0</v>
      </c>
      <c r="H23" s="92" t="n">
        <v>3457876</v>
      </c>
      <c r="I23" s="92" t="n">
        <v>0</v>
      </c>
      <c r="J23" s="92" t="n">
        <v>0</v>
      </c>
      <c r="K23" s="92" t="n">
        <v>0</v>
      </c>
      <c r="L23" s="92" t="n">
        <v>10806</v>
      </c>
      <c r="M23" s="92" t="n">
        <v>0</v>
      </c>
      <c r="N23" s="92" t="n">
        <v>0</v>
      </c>
      <c r="O23" s="92" t="n">
        <v>0</v>
      </c>
      <c r="P23" s="152" t="n">
        <f aca="false">IF(OR($G23=0,$H23=0),0,$I23/$H23)</f>
        <v>0</v>
      </c>
      <c r="Q23" s="152" t="n">
        <f aca="false">IF(OR($G23=0,$J23=0),0,$I23/$J23)</f>
        <v>0</v>
      </c>
      <c r="R23" s="44" t="n">
        <f aca="false">IF(OR($G23=0,$M23=0),0,$I23/$M23)</f>
        <v>0</v>
      </c>
    </row>
    <row r="24" customFormat="false" ht="12.75" hidden="false" customHeight="true" outlineLevel="0" collapsed="false">
      <c r="A24" s="47" t="s">
        <v>8</v>
      </c>
      <c r="B24" s="154" t="str">
        <f aca="false">IFERROR(INDEX(Projects!$C$9:$C$16,MATCH($A24,Projects!$A$9:$A$16,0)),"")</f>
        <v>Residential</v>
      </c>
      <c r="C24" s="155" t="n">
        <f aca="false">IF(Dashboard!$C$6="Corporate",1,IF(Dashboard!$C$6="Project",IF($A24=Dashboard!$M$6,1,0),IF($B24=Dashboard!$H$6,1,0)))</f>
        <v>1</v>
      </c>
      <c r="D24" s="200" t="n">
        <v>16</v>
      </c>
      <c r="E24" s="51" t="s">
        <v>1332</v>
      </c>
      <c r="F24" s="98" t="n">
        <v>46599</v>
      </c>
      <c r="G24" s="155" t="n">
        <f aca="false">IF($D24&lt;=Dashboard!$H$7,1,0)</f>
        <v>0</v>
      </c>
      <c r="H24" s="99" t="n">
        <v>3248377</v>
      </c>
      <c r="I24" s="99" t="n">
        <v>0</v>
      </c>
      <c r="J24" s="99" t="n">
        <v>0</v>
      </c>
      <c r="K24" s="99" t="n">
        <v>0</v>
      </c>
      <c r="L24" s="99" t="n">
        <v>10151</v>
      </c>
      <c r="M24" s="99" t="n">
        <v>0</v>
      </c>
      <c r="N24" s="99" t="n">
        <v>0</v>
      </c>
      <c r="O24" s="99" t="n">
        <v>0</v>
      </c>
      <c r="P24" s="157" t="n">
        <f aca="false">IF(OR($G24=0,$H24=0),0,$I24/$H24)</f>
        <v>0</v>
      </c>
      <c r="Q24" s="157" t="n">
        <f aca="false">IF(OR($G24=0,$J24=0),0,$I24/$J24)</f>
        <v>0</v>
      </c>
      <c r="R24" s="50" t="n">
        <f aca="false">IF(OR($G24=0,$M24=0),0,$I24/$M24)</f>
        <v>0</v>
      </c>
    </row>
    <row r="25" customFormat="false" ht="12.75" hidden="false" customHeight="true" outlineLevel="0" collapsed="false">
      <c r="A25" s="149" t="s">
        <v>8</v>
      </c>
      <c r="B25" s="150" t="str">
        <f aca="false">IFERROR(INDEX(Projects!$C$9:$C$16,MATCH($A25,Projects!$A$9:$A$16,0)),"")</f>
        <v>Residential</v>
      </c>
      <c r="C25" s="94" t="n">
        <f aca="false">IF(Dashboard!$C$6="Corporate",1,IF(Dashboard!$C$6="Project",IF($A25=Dashboard!$M$6,1,0),IF($B25=Dashboard!$H$6,1,0)))</f>
        <v>1</v>
      </c>
      <c r="D25" s="199" t="n">
        <v>17</v>
      </c>
      <c r="E25" s="45" t="s">
        <v>1333</v>
      </c>
      <c r="F25" s="85" t="n">
        <v>46630</v>
      </c>
      <c r="G25" s="94" t="n">
        <f aca="false">IF($D25&lt;=Dashboard!$H$7,1,0)</f>
        <v>0</v>
      </c>
      <c r="H25" s="92" t="n">
        <v>4313312</v>
      </c>
      <c r="I25" s="92" t="n">
        <v>0</v>
      </c>
      <c r="J25" s="92" t="n">
        <v>0</v>
      </c>
      <c r="K25" s="92" t="n">
        <v>0</v>
      </c>
      <c r="L25" s="92" t="n">
        <v>13479</v>
      </c>
      <c r="M25" s="92" t="n">
        <v>0</v>
      </c>
      <c r="N25" s="92" t="n">
        <v>0</v>
      </c>
      <c r="O25" s="92" t="n">
        <v>0</v>
      </c>
      <c r="P25" s="152" t="n">
        <f aca="false">IF(OR($G25=0,$H25=0),0,$I25/$H25)</f>
        <v>0</v>
      </c>
      <c r="Q25" s="152" t="n">
        <f aca="false">IF(OR($G25=0,$J25=0),0,$I25/$J25)</f>
        <v>0</v>
      </c>
      <c r="R25" s="44" t="n">
        <f aca="false">IF(OR($G25=0,$M25=0),0,$I25/$M25)</f>
        <v>0</v>
      </c>
    </row>
    <row r="26" customFormat="false" ht="12.75" hidden="false" customHeight="true" outlineLevel="0" collapsed="false">
      <c r="A26" s="47" t="s">
        <v>8</v>
      </c>
      <c r="B26" s="154" t="str">
        <f aca="false">IFERROR(INDEX(Projects!$C$9:$C$16,MATCH($A26,Projects!$A$9:$A$16,0)),"")</f>
        <v>Residential</v>
      </c>
      <c r="C26" s="155" t="n">
        <f aca="false">IF(Dashboard!$C$6="Corporate",1,IF(Dashboard!$C$6="Project",IF($A26=Dashboard!$M$6,1,0),IF($B26=Dashboard!$H$6,1,0)))</f>
        <v>1</v>
      </c>
      <c r="D26" s="200" t="n">
        <v>18</v>
      </c>
      <c r="E26" s="51" t="s">
        <v>1334</v>
      </c>
      <c r="F26" s="98" t="n">
        <v>46660</v>
      </c>
      <c r="G26" s="155" t="n">
        <f aca="false">IF($D26&lt;=Dashboard!$H$7,1,0)</f>
        <v>0</v>
      </c>
      <c r="H26" s="99" t="n">
        <v>2410077</v>
      </c>
      <c r="I26" s="99" t="n">
        <v>0</v>
      </c>
      <c r="J26" s="99" t="n">
        <v>0</v>
      </c>
      <c r="K26" s="99" t="n">
        <v>0</v>
      </c>
      <c r="L26" s="99" t="n">
        <v>7531</v>
      </c>
      <c r="M26" s="99" t="n">
        <v>0</v>
      </c>
      <c r="N26" s="99" t="n">
        <v>0</v>
      </c>
      <c r="O26" s="99" t="n">
        <v>0</v>
      </c>
      <c r="P26" s="157" t="n">
        <f aca="false">IF(OR($G26=0,$H26=0),0,$I26/$H26)</f>
        <v>0</v>
      </c>
      <c r="Q26" s="157" t="n">
        <f aca="false">IF(OR($G26=0,$J26=0),0,$I26/$J26)</f>
        <v>0</v>
      </c>
      <c r="R26" s="50" t="n">
        <f aca="false">IF(OR($G26=0,$M26=0),0,$I26/$M26)</f>
        <v>0</v>
      </c>
    </row>
    <row r="27" customFormat="false" ht="12.75" hidden="false" customHeight="true" outlineLevel="0" collapsed="false">
      <c r="A27" s="149" t="s">
        <v>8</v>
      </c>
      <c r="B27" s="150" t="str">
        <f aca="false">IFERROR(INDEX(Projects!$C$9:$C$16,MATCH($A27,Projects!$A$9:$A$16,0)),"")</f>
        <v>Residential</v>
      </c>
      <c r="C27" s="94" t="n">
        <f aca="false">IF(Dashboard!$C$6="Corporate",1,IF(Dashboard!$C$6="Project",IF($A27=Dashboard!$M$6,1,0),IF($B27=Dashboard!$H$6,1,0)))</f>
        <v>1</v>
      </c>
      <c r="D27" s="199" t="n">
        <v>19</v>
      </c>
      <c r="E27" s="45" t="s">
        <v>1335</v>
      </c>
      <c r="F27" s="85" t="n">
        <v>46691</v>
      </c>
      <c r="G27" s="94" t="n">
        <f aca="false">IF($D27&lt;=Dashboard!$H$7,1,0)</f>
        <v>0</v>
      </c>
      <c r="H27" s="92" t="n">
        <v>0</v>
      </c>
      <c r="I27" s="92" t="n">
        <v>0</v>
      </c>
      <c r="J27" s="92" t="n">
        <v>0</v>
      </c>
      <c r="K27" s="92" t="n">
        <v>0</v>
      </c>
      <c r="L27" s="92" t="n">
        <v>0</v>
      </c>
      <c r="M27" s="92" t="n">
        <v>0</v>
      </c>
      <c r="N27" s="92" t="n">
        <v>0</v>
      </c>
      <c r="O27" s="92" t="n">
        <v>0</v>
      </c>
      <c r="P27" s="152" t="n">
        <f aca="false">IF(OR($G27=0,$H27=0),0,$I27/$H27)</f>
        <v>0</v>
      </c>
      <c r="Q27" s="152" t="n">
        <f aca="false">IF(OR($G27=0,$J27=0),0,$I27/$J27)</f>
        <v>0</v>
      </c>
      <c r="R27" s="44" t="n">
        <f aca="false">IF(OR($G27=0,$M27=0),0,$I27/$M27)</f>
        <v>0</v>
      </c>
    </row>
    <row r="28" customFormat="false" ht="12.75" hidden="false" customHeight="true" outlineLevel="0" collapsed="false">
      <c r="A28" s="47" t="s">
        <v>8</v>
      </c>
      <c r="B28" s="154" t="str">
        <f aca="false">IFERROR(INDEX(Projects!$C$9:$C$16,MATCH($A28,Projects!$A$9:$A$16,0)),"")</f>
        <v>Residential</v>
      </c>
      <c r="C28" s="155" t="n">
        <f aca="false">IF(Dashboard!$C$6="Corporate",1,IF(Dashboard!$C$6="Project",IF($A28=Dashboard!$M$6,1,0),IF($B28=Dashboard!$H$6,1,0)))</f>
        <v>1</v>
      </c>
      <c r="D28" s="200" t="n">
        <v>20</v>
      </c>
      <c r="E28" s="51" t="s">
        <v>1336</v>
      </c>
      <c r="F28" s="98" t="n">
        <v>46721</v>
      </c>
      <c r="G28" s="155" t="n">
        <f aca="false">IF($D28&lt;=Dashboard!$H$7,1,0)</f>
        <v>0</v>
      </c>
      <c r="H28" s="99" t="n">
        <v>0</v>
      </c>
      <c r="I28" s="99" t="n">
        <v>0</v>
      </c>
      <c r="J28" s="99" t="n">
        <v>0</v>
      </c>
      <c r="K28" s="99" t="n">
        <v>0</v>
      </c>
      <c r="L28" s="99" t="n">
        <v>0</v>
      </c>
      <c r="M28" s="99" t="n">
        <v>0</v>
      </c>
      <c r="N28" s="99" t="n">
        <v>0</v>
      </c>
      <c r="O28" s="99" t="n">
        <v>0</v>
      </c>
      <c r="P28" s="157" t="n">
        <f aca="false">IF(OR($G28=0,$H28=0),0,$I28/$H28)</f>
        <v>0</v>
      </c>
      <c r="Q28" s="157" t="n">
        <f aca="false">IF(OR($G28=0,$J28=0),0,$I28/$J28)</f>
        <v>0</v>
      </c>
      <c r="R28" s="50" t="n">
        <f aca="false">IF(OR($G28=0,$M28=0),0,$I28/$M28)</f>
        <v>0</v>
      </c>
    </row>
    <row r="29" customFormat="false" ht="12.75" hidden="false" customHeight="true" outlineLevel="0" collapsed="false">
      <c r="A29" s="149" t="s">
        <v>8</v>
      </c>
      <c r="B29" s="150" t="str">
        <f aca="false">IFERROR(INDEX(Projects!$C$9:$C$16,MATCH($A29,Projects!$A$9:$A$16,0)),"")</f>
        <v>Residential</v>
      </c>
      <c r="C29" s="94" t="n">
        <f aca="false">IF(Dashboard!$C$6="Corporate",1,IF(Dashboard!$C$6="Project",IF($A29=Dashboard!$M$6,1,0),IF($B29=Dashboard!$H$6,1,0)))</f>
        <v>1</v>
      </c>
      <c r="D29" s="199" t="n">
        <v>21</v>
      </c>
      <c r="E29" s="45" t="s">
        <v>1337</v>
      </c>
      <c r="F29" s="85" t="n">
        <v>46752</v>
      </c>
      <c r="G29" s="94" t="n">
        <f aca="false">IF($D29&lt;=Dashboard!$H$7,1,0)</f>
        <v>0</v>
      </c>
      <c r="H29" s="92" t="n">
        <v>0</v>
      </c>
      <c r="I29" s="92" t="n">
        <v>0</v>
      </c>
      <c r="J29" s="92" t="n">
        <v>0</v>
      </c>
      <c r="K29" s="92" t="n">
        <v>0</v>
      </c>
      <c r="L29" s="92" t="n">
        <v>0</v>
      </c>
      <c r="M29" s="92" t="n">
        <v>0</v>
      </c>
      <c r="N29" s="92" t="n">
        <v>0</v>
      </c>
      <c r="O29" s="92" t="n">
        <v>0</v>
      </c>
      <c r="P29" s="152" t="n">
        <f aca="false">IF(OR($G29=0,$H29=0),0,$I29/$H29)</f>
        <v>0</v>
      </c>
      <c r="Q29" s="152" t="n">
        <f aca="false">IF(OR($G29=0,$J29=0),0,$I29/$J29)</f>
        <v>0</v>
      </c>
      <c r="R29" s="44" t="n">
        <f aca="false">IF(OR($G29=0,$M29=0),0,$I29/$M29)</f>
        <v>0</v>
      </c>
    </row>
    <row r="30" customFormat="false" ht="12.75" hidden="false" customHeight="true" outlineLevel="0" collapsed="false">
      <c r="A30" s="47" t="s">
        <v>8</v>
      </c>
      <c r="B30" s="154" t="str">
        <f aca="false">IFERROR(INDEX(Projects!$C$9:$C$16,MATCH($A30,Projects!$A$9:$A$16,0)),"")</f>
        <v>Residential</v>
      </c>
      <c r="C30" s="155" t="n">
        <f aca="false">IF(Dashboard!$C$6="Corporate",1,IF(Dashboard!$C$6="Project",IF($A30=Dashboard!$M$6,1,0),IF($B30=Dashboard!$H$6,1,0)))</f>
        <v>1</v>
      </c>
      <c r="D30" s="200" t="n">
        <v>22</v>
      </c>
      <c r="E30" s="51" t="s">
        <v>1338</v>
      </c>
      <c r="F30" s="98" t="n">
        <v>46783</v>
      </c>
      <c r="G30" s="155" t="n">
        <f aca="false">IF($D30&lt;=Dashboard!$H$7,1,0)</f>
        <v>0</v>
      </c>
      <c r="H30" s="99" t="n">
        <v>0</v>
      </c>
      <c r="I30" s="99" t="n">
        <v>0</v>
      </c>
      <c r="J30" s="99" t="n">
        <v>0</v>
      </c>
      <c r="K30" s="99" t="n">
        <v>0</v>
      </c>
      <c r="L30" s="99" t="n">
        <v>0</v>
      </c>
      <c r="M30" s="99" t="n">
        <v>0</v>
      </c>
      <c r="N30" s="99" t="n">
        <v>0</v>
      </c>
      <c r="O30" s="99" t="n">
        <v>0</v>
      </c>
      <c r="P30" s="157" t="n">
        <f aca="false">IF(OR($G30=0,$H30=0),0,$I30/$H30)</f>
        <v>0</v>
      </c>
      <c r="Q30" s="157" t="n">
        <f aca="false">IF(OR($G30=0,$J30=0),0,$I30/$J30)</f>
        <v>0</v>
      </c>
      <c r="R30" s="50" t="n">
        <f aca="false">IF(OR($G30=0,$M30=0),0,$I30/$M30)</f>
        <v>0</v>
      </c>
    </row>
    <row r="31" customFormat="false" ht="12.75" hidden="false" customHeight="true" outlineLevel="0" collapsed="false">
      <c r="A31" s="149" t="s">
        <v>8</v>
      </c>
      <c r="B31" s="150" t="str">
        <f aca="false">IFERROR(INDEX(Projects!$C$9:$C$16,MATCH($A31,Projects!$A$9:$A$16,0)),"")</f>
        <v>Residential</v>
      </c>
      <c r="C31" s="94" t="n">
        <f aca="false">IF(Dashboard!$C$6="Corporate",1,IF(Dashboard!$C$6="Project",IF($A31=Dashboard!$M$6,1,0),IF($B31=Dashboard!$H$6,1,0)))</f>
        <v>1</v>
      </c>
      <c r="D31" s="199" t="n">
        <v>23</v>
      </c>
      <c r="E31" s="45" t="s">
        <v>1339</v>
      </c>
      <c r="F31" s="85" t="n">
        <v>46812</v>
      </c>
      <c r="G31" s="94" t="n">
        <f aca="false">IF($D31&lt;=Dashboard!$H$7,1,0)</f>
        <v>0</v>
      </c>
      <c r="H31" s="92" t="n">
        <v>0</v>
      </c>
      <c r="I31" s="92" t="n">
        <v>0</v>
      </c>
      <c r="J31" s="92" t="n">
        <v>0</v>
      </c>
      <c r="K31" s="92" t="n">
        <v>0</v>
      </c>
      <c r="L31" s="92" t="n">
        <v>0</v>
      </c>
      <c r="M31" s="92" t="n">
        <v>0</v>
      </c>
      <c r="N31" s="92" t="n">
        <v>0</v>
      </c>
      <c r="O31" s="92" t="n">
        <v>0</v>
      </c>
      <c r="P31" s="152" t="n">
        <f aca="false">IF(OR($G31=0,$H31=0),0,$I31/$H31)</f>
        <v>0</v>
      </c>
      <c r="Q31" s="152" t="n">
        <f aca="false">IF(OR($G31=0,$J31=0),0,$I31/$J31)</f>
        <v>0</v>
      </c>
      <c r="R31" s="44" t="n">
        <f aca="false">IF(OR($G31=0,$M31=0),0,$I31/$M31)</f>
        <v>0</v>
      </c>
    </row>
    <row r="32" customFormat="false" ht="12.75" hidden="false" customHeight="true" outlineLevel="0" collapsed="false">
      <c r="A32" s="47" t="s">
        <v>8</v>
      </c>
      <c r="B32" s="154" t="str">
        <f aca="false">IFERROR(INDEX(Projects!$C$9:$C$16,MATCH($A32,Projects!$A$9:$A$16,0)),"")</f>
        <v>Residential</v>
      </c>
      <c r="C32" s="155" t="n">
        <f aca="false">IF(Dashboard!$C$6="Corporate",1,IF(Dashboard!$C$6="Project",IF($A32=Dashboard!$M$6,1,0),IF($B32=Dashboard!$H$6,1,0)))</f>
        <v>1</v>
      </c>
      <c r="D32" s="200" t="n">
        <v>24</v>
      </c>
      <c r="E32" s="51" t="s">
        <v>1340</v>
      </c>
      <c r="F32" s="98" t="n">
        <v>46843</v>
      </c>
      <c r="G32" s="155" t="n">
        <f aca="false">IF($D32&lt;=Dashboard!$H$7,1,0)</f>
        <v>0</v>
      </c>
      <c r="H32" s="99" t="n">
        <v>0</v>
      </c>
      <c r="I32" s="99" t="n">
        <v>0</v>
      </c>
      <c r="J32" s="99" t="n">
        <v>0</v>
      </c>
      <c r="K32" s="99" t="n">
        <v>0</v>
      </c>
      <c r="L32" s="99" t="n">
        <v>0</v>
      </c>
      <c r="M32" s="99" t="n">
        <v>0</v>
      </c>
      <c r="N32" s="99" t="n">
        <v>0</v>
      </c>
      <c r="O32" s="99" t="n">
        <v>0</v>
      </c>
      <c r="P32" s="157" t="n">
        <f aca="false">IF(OR($G32=0,$H32=0),0,$I32/$H32)</f>
        <v>0</v>
      </c>
      <c r="Q32" s="157" t="n">
        <f aca="false">IF(OR($G32=0,$J32=0),0,$I32/$J32)</f>
        <v>0</v>
      </c>
      <c r="R32" s="50" t="n">
        <f aca="false">IF(OR($G32=0,$M32=0),0,$I32/$M32)</f>
        <v>0</v>
      </c>
    </row>
    <row r="33" customFormat="false" ht="12.75" hidden="false" customHeight="true" outlineLevel="0" collapsed="false">
      <c r="A33" s="149" t="s">
        <v>293</v>
      </c>
      <c r="B33" s="150" t="str">
        <f aca="false">IFERROR(INDEX(Projects!$C$9:$C$16,MATCH($A33,Projects!$A$9:$A$16,0)),"")</f>
        <v>Residential</v>
      </c>
      <c r="C33" s="94" t="n">
        <f aca="false">IF(Dashboard!$C$6="Corporate",1,IF(Dashboard!$C$6="Project",IF($A33=Dashboard!$M$6,1,0),IF($B33=Dashboard!$H$6,1,0)))</f>
        <v>1</v>
      </c>
      <c r="D33" s="199" t="n">
        <v>1</v>
      </c>
      <c r="E33" s="45" t="s">
        <v>1317</v>
      </c>
      <c r="F33" s="85" t="n">
        <v>46142</v>
      </c>
      <c r="G33" s="94" t="n">
        <f aca="false">IF($D33&lt;=Dashboard!$H$7,1,0)</f>
        <v>1</v>
      </c>
      <c r="H33" s="92" t="n">
        <v>0</v>
      </c>
      <c r="I33" s="92" t="n">
        <v>0</v>
      </c>
      <c r="J33" s="92" t="n">
        <v>0</v>
      </c>
      <c r="K33" s="92" t="n">
        <v>0</v>
      </c>
      <c r="L33" s="92" t="n">
        <v>0</v>
      </c>
      <c r="M33" s="92" t="n">
        <v>0</v>
      </c>
      <c r="N33" s="92" t="n">
        <v>0</v>
      </c>
      <c r="O33" s="92" t="n">
        <v>0</v>
      </c>
      <c r="P33" s="152" t="n">
        <f aca="false">IF(OR($G33=0,$H33=0),0,$I33/$H33)</f>
        <v>0</v>
      </c>
      <c r="Q33" s="152" t="n">
        <f aca="false">IF(OR($G33=0,$J33=0),0,$I33/$J33)</f>
        <v>0</v>
      </c>
      <c r="R33" s="44" t="n">
        <f aca="false">IF(OR($G33=0,$M33=0),0,$I33/$M33)</f>
        <v>0</v>
      </c>
    </row>
    <row r="34" customFormat="false" ht="12.75" hidden="false" customHeight="true" outlineLevel="0" collapsed="false">
      <c r="A34" s="47" t="s">
        <v>293</v>
      </c>
      <c r="B34" s="154" t="str">
        <f aca="false">IFERROR(INDEX(Projects!$C$9:$C$16,MATCH($A34,Projects!$A$9:$A$16,0)),"")</f>
        <v>Residential</v>
      </c>
      <c r="C34" s="155" t="n">
        <f aca="false">IF(Dashboard!$C$6="Corporate",1,IF(Dashboard!$C$6="Project",IF($A34=Dashboard!$M$6,1,0),IF($B34=Dashboard!$H$6,1,0)))</f>
        <v>1</v>
      </c>
      <c r="D34" s="200" t="n">
        <v>2</v>
      </c>
      <c r="E34" s="51" t="s">
        <v>1318</v>
      </c>
      <c r="F34" s="98" t="n">
        <v>46173</v>
      </c>
      <c r="G34" s="155" t="n">
        <f aca="false">IF($D34&lt;=Dashboard!$H$7,1,0)</f>
        <v>1</v>
      </c>
      <c r="H34" s="99" t="n">
        <v>0</v>
      </c>
      <c r="I34" s="99" t="n">
        <v>0</v>
      </c>
      <c r="J34" s="99" t="n">
        <v>0</v>
      </c>
      <c r="K34" s="99" t="n">
        <v>0</v>
      </c>
      <c r="L34" s="99" t="n">
        <v>0</v>
      </c>
      <c r="M34" s="99" t="n">
        <v>0</v>
      </c>
      <c r="N34" s="99" t="n">
        <v>0</v>
      </c>
      <c r="O34" s="99" t="n">
        <v>0</v>
      </c>
      <c r="P34" s="157" t="n">
        <f aca="false">IF(OR($G34=0,$H34=0),0,$I34/$H34)</f>
        <v>0</v>
      </c>
      <c r="Q34" s="157" t="n">
        <f aca="false">IF(OR($G34=0,$J34=0),0,$I34/$J34)</f>
        <v>0</v>
      </c>
      <c r="R34" s="50" t="n">
        <f aca="false">IF(OR($G34=0,$M34=0),0,$I34/$M34)</f>
        <v>0</v>
      </c>
    </row>
    <row r="35" customFormat="false" ht="12.75" hidden="false" customHeight="true" outlineLevel="0" collapsed="false">
      <c r="A35" s="149" t="s">
        <v>293</v>
      </c>
      <c r="B35" s="150" t="str">
        <f aca="false">IFERROR(INDEX(Projects!$C$9:$C$16,MATCH($A35,Projects!$A$9:$A$16,0)),"")</f>
        <v>Residential</v>
      </c>
      <c r="C35" s="94" t="n">
        <f aca="false">IF(Dashboard!$C$6="Corporate",1,IF(Dashboard!$C$6="Project",IF($A35=Dashboard!$M$6,1,0),IF($B35=Dashboard!$H$6,1,0)))</f>
        <v>1</v>
      </c>
      <c r="D35" s="199" t="n">
        <v>3</v>
      </c>
      <c r="E35" s="45" t="s">
        <v>1319</v>
      </c>
      <c r="F35" s="85" t="n">
        <v>46203</v>
      </c>
      <c r="G35" s="94" t="n">
        <f aca="false">IF($D35&lt;=Dashboard!$H$7,1,0)</f>
        <v>1</v>
      </c>
      <c r="H35" s="92" t="n">
        <v>1369983</v>
      </c>
      <c r="I35" s="92" t="n">
        <v>1069957</v>
      </c>
      <c r="J35" s="92" t="n">
        <v>1194148</v>
      </c>
      <c r="K35" s="92" t="n">
        <v>936852</v>
      </c>
      <c r="L35" s="92" t="n">
        <v>4281</v>
      </c>
      <c r="M35" s="92" t="n">
        <v>4085</v>
      </c>
      <c r="N35" s="92" t="n">
        <v>0</v>
      </c>
      <c r="O35" s="92" t="n">
        <v>0</v>
      </c>
      <c r="P35" s="152" t="n">
        <f aca="false">IF(OR($G35=0,$H35=0),0,$I35/$H35)</f>
        <v>0.78100020219229</v>
      </c>
      <c r="Q35" s="152" t="n">
        <f aca="false">IF(OR($G35=0,$J35=0),0,$I35/$J35)</f>
        <v>0.896000328267518</v>
      </c>
      <c r="R35" s="44" t="n">
        <f aca="false">IF(OR($G35=0,$M35=0),0,$I35/$M35)</f>
        <v>261.923378212974</v>
      </c>
    </row>
    <row r="36" customFormat="false" ht="12.75" hidden="false" customHeight="true" outlineLevel="0" collapsed="false">
      <c r="A36" s="47" t="s">
        <v>293</v>
      </c>
      <c r="B36" s="154" t="str">
        <f aca="false">IFERROR(INDEX(Projects!$C$9:$C$16,MATCH($A36,Projects!$A$9:$A$16,0)),"")</f>
        <v>Residential</v>
      </c>
      <c r="C36" s="155" t="n">
        <f aca="false">IF(Dashboard!$C$6="Corporate",1,IF(Dashboard!$C$6="Project",IF($A36=Dashboard!$M$6,1,0),IF($B36=Dashboard!$H$6,1,0)))</f>
        <v>1</v>
      </c>
      <c r="D36" s="200" t="n">
        <v>4</v>
      </c>
      <c r="E36" s="51" t="s">
        <v>1320</v>
      </c>
      <c r="F36" s="98" t="n">
        <v>46234</v>
      </c>
      <c r="G36" s="155" t="n">
        <f aca="false">IF($D36&lt;=Dashboard!$H$7,1,0)</f>
        <v>1</v>
      </c>
      <c r="H36" s="99" t="n">
        <v>1506100</v>
      </c>
      <c r="I36" s="99" t="n">
        <v>1176264</v>
      </c>
      <c r="J36" s="99" t="n">
        <v>1329696</v>
      </c>
      <c r="K36" s="99" t="n">
        <v>1029935</v>
      </c>
      <c r="L36" s="99" t="n">
        <v>4707</v>
      </c>
      <c r="M36" s="99" t="n">
        <v>4491</v>
      </c>
      <c r="N36" s="99" t="n">
        <v>1</v>
      </c>
      <c r="O36" s="99" t="n">
        <v>1</v>
      </c>
      <c r="P36" s="157" t="n">
        <f aca="false">IF(OR($G36=0,$H36=0),0,$I36/$H36)</f>
        <v>0.780999933603346</v>
      </c>
      <c r="Q36" s="157" t="n">
        <f aca="false">IF(OR($G36=0,$J36=0),0,$I36/$J36)</f>
        <v>0.884611219406541</v>
      </c>
      <c r="R36" s="50" t="n">
        <f aca="false">IF(OR($G36=0,$M36=0),0,$I36/$M36)</f>
        <v>261.915831663327</v>
      </c>
    </row>
    <row r="37" customFormat="false" ht="12.75" hidden="false" customHeight="true" outlineLevel="0" collapsed="false">
      <c r="A37" s="149" t="s">
        <v>293</v>
      </c>
      <c r="B37" s="150" t="str">
        <f aca="false">IFERROR(INDEX(Projects!$C$9:$C$16,MATCH($A37,Projects!$A$9:$A$16,0)),"")</f>
        <v>Residential</v>
      </c>
      <c r="C37" s="94" t="n">
        <f aca="false">IF(Dashboard!$C$6="Corporate",1,IF(Dashboard!$C$6="Project",IF($A37=Dashboard!$M$6,1,0),IF($B37=Dashboard!$H$6,1,0)))</f>
        <v>1</v>
      </c>
      <c r="D37" s="199" t="n">
        <v>5</v>
      </c>
      <c r="E37" s="45" t="s">
        <v>1321</v>
      </c>
      <c r="F37" s="85" t="n">
        <v>46265</v>
      </c>
      <c r="G37" s="94" t="n">
        <f aca="false">IF($D37&lt;=Dashboard!$H$7,1,0)</f>
        <v>1</v>
      </c>
      <c r="H37" s="92" t="n">
        <v>1248330</v>
      </c>
      <c r="I37" s="92" t="n">
        <v>974993</v>
      </c>
      <c r="J37" s="92" t="n">
        <v>1119603</v>
      </c>
      <c r="K37" s="92" t="n">
        <v>853702</v>
      </c>
      <c r="L37" s="92" t="n">
        <v>3900</v>
      </c>
      <c r="M37" s="92" t="n">
        <v>3722</v>
      </c>
      <c r="N37" s="92" t="n">
        <v>1</v>
      </c>
      <c r="O37" s="92" t="n">
        <v>1</v>
      </c>
      <c r="P37" s="152" t="n">
        <f aca="false">IF(OR($G37=0,$H37=0),0,$I37/$H37)</f>
        <v>0.781037866589764</v>
      </c>
      <c r="Q37" s="152" t="n">
        <f aca="false">IF(OR($G37=0,$J37=0),0,$I37/$J37)</f>
        <v>0.870838145306863</v>
      </c>
      <c r="R37" s="44" t="n">
        <f aca="false">IF(OR($G37=0,$M37=0),0,$I37/$M37)</f>
        <v>261.954056958624</v>
      </c>
    </row>
    <row r="38" customFormat="false" ht="12.75" hidden="false" customHeight="true" outlineLevel="0" collapsed="false">
      <c r="A38" s="47" t="s">
        <v>293</v>
      </c>
      <c r="B38" s="154" t="str">
        <f aca="false">IFERROR(INDEX(Projects!$C$9:$C$16,MATCH($A38,Projects!$A$9:$A$16,0)),"")</f>
        <v>Residential</v>
      </c>
      <c r="C38" s="155" t="n">
        <f aca="false">IF(Dashboard!$C$6="Corporate",1,IF(Dashboard!$C$6="Project",IF($A38=Dashboard!$M$6,1,0),IF($B38=Dashboard!$H$6,1,0)))</f>
        <v>1</v>
      </c>
      <c r="D38" s="200" t="n">
        <v>6</v>
      </c>
      <c r="E38" s="51" t="s">
        <v>1322</v>
      </c>
      <c r="F38" s="98" t="n">
        <v>46295</v>
      </c>
      <c r="G38" s="155" t="n">
        <f aca="false">IF($D38&lt;=Dashboard!$H$7,1,0)</f>
        <v>0</v>
      </c>
      <c r="H38" s="99" t="n">
        <v>1993954</v>
      </c>
      <c r="I38" s="99" t="n">
        <v>0</v>
      </c>
      <c r="J38" s="99" t="n">
        <v>0</v>
      </c>
      <c r="K38" s="99" t="n">
        <v>0</v>
      </c>
      <c r="L38" s="99" t="n">
        <v>6233</v>
      </c>
      <c r="M38" s="99" t="n">
        <v>0</v>
      </c>
      <c r="N38" s="99" t="n">
        <v>0</v>
      </c>
      <c r="O38" s="99" t="n">
        <v>0</v>
      </c>
      <c r="P38" s="157" t="n">
        <f aca="false">IF(OR($G38=0,$H38=0),0,$I38/$H38)</f>
        <v>0</v>
      </c>
      <c r="Q38" s="157" t="n">
        <f aca="false">IF(OR($G38=0,$J38=0),0,$I38/$J38)</f>
        <v>0</v>
      </c>
      <c r="R38" s="50" t="n">
        <f aca="false">IF(OR($G38=0,$M38=0),0,$I38/$M38)</f>
        <v>0</v>
      </c>
    </row>
    <row r="39" customFormat="false" ht="12.75" hidden="false" customHeight="true" outlineLevel="0" collapsed="false">
      <c r="A39" s="149" t="s">
        <v>293</v>
      </c>
      <c r="B39" s="150" t="str">
        <f aca="false">IFERROR(INDEX(Projects!$C$9:$C$16,MATCH($A39,Projects!$A$9:$A$16,0)),"")</f>
        <v>Residential</v>
      </c>
      <c r="C39" s="94" t="n">
        <f aca="false">IF(Dashboard!$C$6="Corporate",1,IF(Dashboard!$C$6="Project",IF($A39=Dashboard!$M$6,1,0),IF($B39=Dashboard!$H$6,1,0)))</f>
        <v>1</v>
      </c>
      <c r="D39" s="199" t="n">
        <v>7</v>
      </c>
      <c r="E39" s="45" t="s">
        <v>1323</v>
      </c>
      <c r="F39" s="85" t="n">
        <v>46326</v>
      </c>
      <c r="G39" s="94" t="n">
        <f aca="false">IF($D39&lt;=Dashboard!$H$7,1,0)</f>
        <v>0</v>
      </c>
      <c r="H39" s="92" t="n">
        <v>2829903</v>
      </c>
      <c r="I39" s="92" t="n">
        <v>0</v>
      </c>
      <c r="J39" s="92" t="n">
        <v>0</v>
      </c>
      <c r="K39" s="92" t="n">
        <v>0</v>
      </c>
      <c r="L39" s="92" t="n">
        <v>8843</v>
      </c>
      <c r="M39" s="92" t="n">
        <v>0</v>
      </c>
      <c r="N39" s="92" t="n">
        <v>0</v>
      </c>
      <c r="O39" s="92" t="n">
        <v>0</v>
      </c>
      <c r="P39" s="152" t="n">
        <f aca="false">IF(OR($G39=0,$H39=0),0,$I39/$H39)</f>
        <v>0</v>
      </c>
      <c r="Q39" s="152" t="n">
        <f aca="false">IF(OR($G39=0,$J39=0),0,$I39/$J39)</f>
        <v>0</v>
      </c>
      <c r="R39" s="44" t="n">
        <f aca="false">IF(OR($G39=0,$M39=0),0,$I39/$M39)</f>
        <v>0</v>
      </c>
    </row>
    <row r="40" customFormat="false" ht="12.75" hidden="false" customHeight="true" outlineLevel="0" collapsed="false">
      <c r="A40" s="47" t="s">
        <v>293</v>
      </c>
      <c r="B40" s="154" t="str">
        <f aca="false">IFERROR(INDEX(Projects!$C$9:$C$16,MATCH($A40,Projects!$A$9:$A$16,0)),"")</f>
        <v>Residential</v>
      </c>
      <c r="C40" s="155" t="n">
        <f aca="false">IF(Dashboard!$C$6="Corporate",1,IF(Dashboard!$C$6="Project",IF($A40=Dashboard!$M$6,1,0),IF($B40=Dashboard!$H$6,1,0)))</f>
        <v>1</v>
      </c>
      <c r="D40" s="200" t="n">
        <v>8</v>
      </c>
      <c r="E40" s="51" t="s">
        <v>1324</v>
      </c>
      <c r="F40" s="98" t="n">
        <v>46356</v>
      </c>
      <c r="G40" s="155" t="n">
        <f aca="false">IF($D40&lt;=Dashboard!$H$7,1,0)</f>
        <v>0</v>
      </c>
      <c r="H40" s="99" t="n">
        <v>3317606</v>
      </c>
      <c r="I40" s="99" t="n">
        <v>0</v>
      </c>
      <c r="J40" s="99" t="n">
        <v>0</v>
      </c>
      <c r="K40" s="99" t="n">
        <v>0</v>
      </c>
      <c r="L40" s="99" t="n">
        <v>10368</v>
      </c>
      <c r="M40" s="99" t="n">
        <v>0</v>
      </c>
      <c r="N40" s="99" t="n">
        <v>0</v>
      </c>
      <c r="O40" s="99" t="n">
        <v>0</v>
      </c>
      <c r="P40" s="157" t="n">
        <f aca="false">IF(OR($G40=0,$H40=0),0,$I40/$H40)</f>
        <v>0</v>
      </c>
      <c r="Q40" s="157" t="n">
        <f aca="false">IF(OR($G40=0,$J40=0),0,$I40/$J40)</f>
        <v>0</v>
      </c>
      <c r="R40" s="50" t="n">
        <f aca="false">IF(OR($G40=0,$M40=0),0,$I40/$M40)</f>
        <v>0</v>
      </c>
    </row>
    <row r="41" customFormat="false" ht="12.75" hidden="false" customHeight="true" outlineLevel="0" collapsed="false">
      <c r="A41" s="149" t="s">
        <v>293</v>
      </c>
      <c r="B41" s="150" t="str">
        <f aca="false">IFERROR(INDEX(Projects!$C$9:$C$16,MATCH($A41,Projects!$A$9:$A$16,0)),"")</f>
        <v>Residential</v>
      </c>
      <c r="C41" s="94" t="n">
        <f aca="false">IF(Dashboard!$C$6="Corporate",1,IF(Dashboard!$C$6="Project",IF($A41=Dashboard!$M$6,1,0),IF($B41=Dashboard!$H$6,1,0)))</f>
        <v>1</v>
      </c>
      <c r="D41" s="199" t="n">
        <v>9</v>
      </c>
      <c r="E41" s="45" t="s">
        <v>1325</v>
      </c>
      <c r="F41" s="85" t="n">
        <v>46387</v>
      </c>
      <c r="G41" s="94" t="n">
        <f aca="false">IF($D41&lt;=Dashboard!$H$7,1,0)</f>
        <v>0</v>
      </c>
      <c r="H41" s="92" t="n">
        <v>3796349</v>
      </c>
      <c r="I41" s="92" t="n">
        <v>0</v>
      </c>
      <c r="J41" s="92" t="n">
        <v>0</v>
      </c>
      <c r="K41" s="92" t="n">
        <v>0</v>
      </c>
      <c r="L41" s="92" t="n">
        <v>11864</v>
      </c>
      <c r="M41" s="92" t="n">
        <v>0</v>
      </c>
      <c r="N41" s="92" t="n">
        <v>0</v>
      </c>
      <c r="O41" s="92" t="n">
        <v>0</v>
      </c>
      <c r="P41" s="152" t="n">
        <f aca="false">IF(OR($G41=0,$H41=0),0,$I41/$H41)</f>
        <v>0</v>
      </c>
      <c r="Q41" s="152" t="n">
        <f aca="false">IF(OR($G41=0,$J41=0),0,$I41/$J41)</f>
        <v>0</v>
      </c>
      <c r="R41" s="44" t="n">
        <f aca="false">IF(OR($G41=0,$M41=0),0,$I41/$M41)</f>
        <v>0</v>
      </c>
    </row>
    <row r="42" customFormat="false" ht="12.75" hidden="false" customHeight="true" outlineLevel="0" collapsed="false">
      <c r="A42" s="47" t="s">
        <v>293</v>
      </c>
      <c r="B42" s="154" t="str">
        <f aca="false">IFERROR(INDEX(Projects!$C$9:$C$16,MATCH($A42,Projects!$A$9:$A$16,0)),"")</f>
        <v>Residential</v>
      </c>
      <c r="C42" s="155" t="n">
        <f aca="false">IF(Dashboard!$C$6="Corporate",1,IF(Dashboard!$C$6="Project",IF($A42=Dashboard!$M$6,1,0),IF($B42=Dashboard!$H$6,1,0)))</f>
        <v>1</v>
      </c>
      <c r="D42" s="200" t="n">
        <v>10</v>
      </c>
      <c r="E42" s="51" t="s">
        <v>1326</v>
      </c>
      <c r="F42" s="98" t="n">
        <v>46418</v>
      </c>
      <c r="G42" s="155" t="n">
        <f aca="false">IF($D42&lt;=Dashboard!$H$7,1,0)</f>
        <v>0</v>
      </c>
      <c r="H42" s="99" t="n">
        <v>4100168</v>
      </c>
      <c r="I42" s="99" t="n">
        <v>0</v>
      </c>
      <c r="J42" s="99" t="n">
        <v>0</v>
      </c>
      <c r="K42" s="99" t="n">
        <v>0</v>
      </c>
      <c r="L42" s="99" t="n">
        <v>12813</v>
      </c>
      <c r="M42" s="99" t="n">
        <v>0</v>
      </c>
      <c r="N42" s="99" t="n">
        <v>0</v>
      </c>
      <c r="O42" s="99" t="n">
        <v>0</v>
      </c>
      <c r="P42" s="157" t="n">
        <f aca="false">IF(OR($G42=0,$H42=0),0,$I42/$H42)</f>
        <v>0</v>
      </c>
      <c r="Q42" s="157" t="n">
        <f aca="false">IF(OR($G42=0,$J42=0),0,$I42/$J42)</f>
        <v>0</v>
      </c>
      <c r="R42" s="50" t="n">
        <f aca="false">IF(OR($G42=0,$M42=0),0,$I42/$M42)</f>
        <v>0</v>
      </c>
    </row>
    <row r="43" customFormat="false" ht="12.75" hidden="false" customHeight="true" outlineLevel="0" collapsed="false">
      <c r="A43" s="149" t="s">
        <v>293</v>
      </c>
      <c r="B43" s="150" t="str">
        <f aca="false">IFERROR(INDEX(Projects!$C$9:$C$16,MATCH($A43,Projects!$A$9:$A$16,0)),"")</f>
        <v>Residential</v>
      </c>
      <c r="C43" s="94" t="n">
        <f aca="false">IF(Dashboard!$C$6="Corporate",1,IF(Dashboard!$C$6="Project",IF($A43=Dashboard!$M$6,1,0),IF($B43=Dashboard!$H$6,1,0)))</f>
        <v>1</v>
      </c>
      <c r="D43" s="199" t="n">
        <v>11</v>
      </c>
      <c r="E43" s="45" t="s">
        <v>1327</v>
      </c>
      <c r="F43" s="85" t="n">
        <v>46446</v>
      </c>
      <c r="G43" s="94" t="n">
        <f aca="false">IF($D43&lt;=Dashboard!$H$7,1,0)</f>
        <v>0</v>
      </c>
      <c r="H43" s="92" t="n">
        <v>4354823</v>
      </c>
      <c r="I43" s="92" t="n">
        <v>0</v>
      </c>
      <c r="J43" s="92" t="n">
        <v>0</v>
      </c>
      <c r="K43" s="92" t="n">
        <v>0</v>
      </c>
      <c r="L43" s="92" t="n">
        <v>13609</v>
      </c>
      <c r="M43" s="92" t="n">
        <v>0</v>
      </c>
      <c r="N43" s="92" t="n">
        <v>0</v>
      </c>
      <c r="O43" s="92" t="n">
        <v>0</v>
      </c>
      <c r="P43" s="152" t="n">
        <f aca="false">IF(OR($G43=0,$H43=0),0,$I43/$H43)</f>
        <v>0</v>
      </c>
      <c r="Q43" s="152" t="n">
        <f aca="false">IF(OR($G43=0,$J43=0),0,$I43/$J43)</f>
        <v>0</v>
      </c>
      <c r="R43" s="44" t="n">
        <f aca="false">IF(OR($G43=0,$M43=0),0,$I43/$M43)</f>
        <v>0</v>
      </c>
    </row>
    <row r="44" customFormat="false" ht="12.75" hidden="false" customHeight="true" outlineLevel="0" collapsed="false">
      <c r="A44" s="47" t="s">
        <v>293</v>
      </c>
      <c r="B44" s="154" t="str">
        <f aca="false">IFERROR(INDEX(Projects!$C$9:$C$16,MATCH($A44,Projects!$A$9:$A$16,0)),"")</f>
        <v>Residential</v>
      </c>
      <c r="C44" s="155" t="n">
        <f aca="false">IF(Dashboard!$C$6="Corporate",1,IF(Dashboard!$C$6="Project",IF($A44=Dashboard!$M$6,1,0),IF($B44=Dashboard!$H$6,1,0)))</f>
        <v>1</v>
      </c>
      <c r="D44" s="200" t="n">
        <v>12</v>
      </c>
      <c r="E44" s="51" t="s">
        <v>1328</v>
      </c>
      <c r="F44" s="98" t="n">
        <v>46477</v>
      </c>
      <c r="G44" s="155" t="n">
        <f aca="false">IF($D44&lt;=Dashboard!$H$7,1,0)</f>
        <v>0</v>
      </c>
      <c r="H44" s="99" t="n">
        <v>4075750</v>
      </c>
      <c r="I44" s="99" t="n">
        <v>0</v>
      </c>
      <c r="J44" s="99" t="n">
        <v>0</v>
      </c>
      <c r="K44" s="99" t="n">
        <v>0</v>
      </c>
      <c r="L44" s="99" t="n">
        <v>12737</v>
      </c>
      <c r="M44" s="99" t="n">
        <v>0</v>
      </c>
      <c r="N44" s="99" t="n">
        <v>0</v>
      </c>
      <c r="O44" s="99" t="n">
        <v>0</v>
      </c>
      <c r="P44" s="157" t="n">
        <f aca="false">IF(OR($G44=0,$H44=0),0,$I44/$H44)</f>
        <v>0</v>
      </c>
      <c r="Q44" s="157" t="n">
        <f aca="false">IF(OR($G44=0,$J44=0),0,$I44/$J44)</f>
        <v>0</v>
      </c>
      <c r="R44" s="50" t="n">
        <f aca="false">IF(OR($G44=0,$M44=0),0,$I44/$M44)</f>
        <v>0</v>
      </c>
    </row>
    <row r="45" customFormat="false" ht="12.75" hidden="false" customHeight="true" outlineLevel="0" collapsed="false">
      <c r="A45" s="149" t="s">
        <v>293</v>
      </c>
      <c r="B45" s="150" t="str">
        <f aca="false">IFERROR(INDEX(Projects!$C$9:$C$16,MATCH($A45,Projects!$A$9:$A$16,0)),"")</f>
        <v>Residential</v>
      </c>
      <c r="C45" s="94" t="n">
        <f aca="false">IF(Dashboard!$C$6="Corporate",1,IF(Dashboard!$C$6="Project",IF($A45=Dashboard!$M$6,1,0),IF($B45=Dashboard!$H$6,1,0)))</f>
        <v>1</v>
      </c>
      <c r="D45" s="199" t="n">
        <v>13</v>
      </c>
      <c r="E45" s="45" t="s">
        <v>1329</v>
      </c>
      <c r="F45" s="85" t="n">
        <v>46507</v>
      </c>
      <c r="G45" s="94" t="n">
        <f aca="false">IF($D45&lt;=Dashboard!$H$7,1,0)</f>
        <v>0</v>
      </c>
      <c r="H45" s="92" t="n">
        <v>3822697</v>
      </c>
      <c r="I45" s="92" t="n">
        <v>0</v>
      </c>
      <c r="J45" s="92" t="n">
        <v>0</v>
      </c>
      <c r="K45" s="92" t="n">
        <v>0</v>
      </c>
      <c r="L45" s="92" t="n">
        <v>11946</v>
      </c>
      <c r="M45" s="92" t="n">
        <v>0</v>
      </c>
      <c r="N45" s="92" t="n">
        <v>0</v>
      </c>
      <c r="O45" s="92" t="n">
        <v>0</v>
      </c>
      <c r="P45" s="152" t="n">
        <f aca="false">IF(OR($G45=0,$H45=0),0,$I45/$H45)</f>
        <v>0</v>
      </c>
      <c r="Q45" s="152" t="n">
        <f aca="false">IF(OR($G45=0,$J45=0),0,$I45/$J45)</f>
        <v>0</v>
      </c>
      <c r="R45" s="44" t="n">
        <f aca="false">IF(OR($G45=0,$M45=0),0,$I45/$M45)</f>
        <v>0</v>
      </c>
    </row>
    <row r="46" customFormat="false" ht="12.75" hidden="false" customHeight="true" outlineLevel="0" collapsed="false">
      <c r="A46" s="47" t="s">
        <v>293</v>
      </c>
      <c r="B46" s="154" t="str">
        <f aca="false">IFERROR(INDEX(Projects!$C$9:$C$16,MATCH($A46,Projects!$A$9:$A$16,0)),"")</f>
        <v>Residential</v>
      </c>
      <c r="C46" s="155" t="n">
        <f aca="false">IF(Dashboard!$C$6="Corporate",1,IF(Dashboard!$C$6="Project",IF($A46=Dashboard!$M$6,1,0),IF($B46=Dashboard!$H$6,1,0)))</f>
        <v>1</v>
      </c>
      <c r="D46" s="200" t="n">
        <v>14</v>
      </c>
      <c r="E46" s="51" t="s">
        <v>1330</v>
      </c>
      <c r="F46" s="98" t="n">
        <v>46538</v>
      </c>
      <c r="G46" s="155" t="n">
        <f aca="false">IF($D46&lt;=Dashboard!$H$7,1,0)</f>
        <v>0</v>
      </c>
      <c r="H46" s="99" t="n">
        <v>3274639</v>
      </c>
      <c r="I46" s="99" t="n">
        <v>0</v>
      </c>
      <c r="J46" s="99" t="n">
        <v>0</v>
      </c>
      <c r="K46" s="99" t="n">
        <v>0</v>
      </c>
      <c r="L46" s="99" t="n">
        <v>10233</v>
      </c>
      <c r="M46" s="99" t="n">
        <v>0</v>
      </c>
      <c r="N46" s="99" t="n">
        <v>0</v>
      </c>
      <c r="O46" s="99" t="n">
        <v>0</v>
      </c>
      <c r="P46" s="157" t="n">
        <f aca="false">IF(OR($G46=0,$H46=0),0,$I46/$H46)</f>
        <v>0</v>
      </c>
      <c r="Q46" s="157" t="n">
        <f aca="false">IF(OR($G46=0,$J46=0),0,$I46/$J46)</f>
        <v>0</v>
      </c>
      <c r="R46" s="50" t="n">
        <f aca="false">IF(OR($G46=0,$M46=0),0,$I46/$M46)</f>
        <v>0</v>
      </c>
    </row>
    <row r="47" customFormat="false" ht="12.75" hidden="false" customHeight="true" outlineLevel="0" collapsed="false">
      <c r="A47" s="149" t="s">
        <v>293</v>
      </c>
      <c r="B47" s="150" t="str">
        <f aca="false">IFERROR(INDEX(Projects!$C$9:$C$16,MATCH($A47,Projects!$A$9:$A$16,0)),"")</f>
        <v>Residential</v>
      </c>
      <c r="C47" s="94" t="n">
        <f aca="false">IF(Dashboard!$C$6="Corporate",1,IF(Dashboard!$C$6="Project",IF($A47=Dashboard!$M$6,1,0),IF($B47=Dashboard!$H$6,1,0)))</f>
        <v>1</v>
      </c>
      <c r="D47" s="199" t="n">
        <v>15</v>
      </c>
      <c r="E47" s="45" t="s">
        <v>1331</v>
      </c>
      <c r="F47" s="85" t="n">
        <v>46568</v>
      </c>
      <c r="G47" s="94" t="n">
        <f aca="false">IF($D47&lt;=Dashboard!$H$7,1,0)</f>
        <v>0</v>
      </c>
      <c r="H47" s="92" t="n">
        <v>2316589</v>
      </c>
      <c r="I47" s="92" t="n">
        <v>0</v>
      </c>
      <c r="J47" s="92" t="n">
        <v>0</v>
      </c>
      <c r="K47" s="92" t="n">
        <v>0</v>
      </c>
      <c r="L47" s="92" t="n">
        <v>7239</v>
      </c>
      <c r="M47" s="92" t="n">
        <v>0</v>
      </c>
      <c r="N47" s="92" t="n">
        <v>0</v>
      </c>
      <c r="O47" s="92" t="n">
        <v>0</v>
      </c>
      <c r="P47" s="152" t="n">
        <f aca="false">IF(OR($G47=0,$H47=0),0,$I47/$H47)</f>
        <v>0</v>
      </c>
      <c r="Q47" s="152" t="n">
        <f aca="false">IF(OR($G47=0,$J47=0),0,$I47/$J47)</f>
        <v>0</v>
      </c>
      <c r="R47" s="44" t="n">
        <f aca="false">IF(OR($G47=0,$M47=0),0,$I47/$M47)</f>
        <v>0</v>
      </c>
    </row>
    <row r="48" customFormat="false" ht="12.75" hidden="false" customHeight="true" outlineLevel="0" collapsed="false">
      <c r="A48" s="47" t="s">
        <v>293</v>
      </c>
      <c r="B48" s="154" t="str">
        <f aca="false">IFERROR(INDEX(Projects!$C$9:$C$16,MATCH($A48,Projects!$A$9:$A$16,0)),"")</f>
        <v>Residential</v>
      </c>
      <c r="C48" s="155" t="n">
        <f aca="false">IF(Dashboard!$C$6="Corporate",1,IF(Dashboard!$C$6="Project",IF($A48=Dashboard!$M$6,1,0),IF($B48=Dashboard!$H$6,1,0)))</f>
        <v>1</v>
      </c>
      <c r="D48" s="200" t="n">
        <v>16</v>
      </c>
      <c r="E48" s="51" t="s">
        <v>1332</v>
      </c>
      <c r="F48" s="98" t="n">
        <v>46599</v>
      </c>
      <c r="G48" s="155" t="n">
        <f aca="false">IF($D48&lt;=Dashboard!$H$7,1,0)</f>
        <v>0</v>
      </c>
      <c r="H48" s="99" t="n">
        <v>1675429</v>
      </c>
      <c r="I48" s="99" t="n">
        <v>0</v>
      </c>
      <c r="J48" s="99" t="n">
        <v>0</v>
      </c>
      <c r="K48" s="99" t="n">
        <v>0</v>
      </c>
      <c r="L48" s="99" t="n">
        <v>5236</v>
      </c>
      <c r="M48" s="99" t="n">
        <v>0</v>
      </c>
      <c r="N48" s="99" t="n">
        <v>0</v>
      </c>
      <c r="O48" s="99" t="n">
        <v>0</v>
      </c>
      <c r="P48" s="157" t="n">
        <f aca="false">IF(OR($G48=0,$H48=0),0,$I48/$H48)</f>
        <v>0</v>
      </c>
      <c r="Q48" s="157" t="n">
        <f aca="false">IF(OR($G48=0,$J48=0),0,$I48/$J48)</f>
        <v>0</v>
      </c>
      <c r="R48" s="50" t="n">
        <f aca="false">IF(OR($G48=0,$M48=0),0,$I48/$M48)</f>
        <v>0</v>
      </c>
    </row>
    <row r="49" customFormat="false" ht="12.75" hidden="false" customHeight="true" outlineLevel="0" collapsed="false">
      <c r="A49" s="149" t="s">
        <v>293</v>
      </c>
      <c r="B49" s="150" t="str">
        <f aca="false">IFERROR(INDEX(Projects!$C$9:$C$16,MATCH($A49,Projects!$A$9:$A$16,0)),"")</f>
        <v>Residential</v>
      </c>
      <c r="C49" s="94" t="n">
        <f aca="false">IF(Dashboard!$C$6="Corporate",1,IF(Dashboard!$C$6="Project",IF($A49=Dashboard!$M$6,1,0),IF($B49=Dashboard!$H$6,1,0)))</f>
        <v>1</v>
      </c>
      <c r="D49" s="199" t="n">
        <v>17</v>
      </c>
      <c r="E49" s="45" t="s">
        <v>1333</v>
      </c>
      <c r="F49" s="85" t="n">
        <v>46630</v>
      </c>
      <c r="G49" s="94" t="n">
        <f aca="false">IF($D49&lt;=Dashboard!$H$7,1,0)</f>
        <v>0</v>
      </c>
      <c r="H49" s="92" t="n">
        <v>2392793</v>
      </c>
      <c r="I49" s="92" t="n">
        <v>0</v>
      </c>
      <c r="J49" s="92" t="n">
        <v>0</v>
      </c>
      <c r="K49" s="92" t="n">
        <v>0</v>
      </c>
      <c r="L49" s="92" t="n">
        <v>7477</v>
      </c>
      <c r="M49" s="92" t="n">
        <v>0</v>
      </c>
      <c r="N49" s="92" t="n">
        <v>0</v>
      </c>
      <c r="O49" s="92" t="n">
        <v>0</v>
      </c>
      <c r="P49" s="152" t="n">
        <f aca="false">IF(OR($G49=0,$H49=0),0,$I49/$H49)</f>
        <v>0</v>
      </c>
      <c r="Q49" s="152" t="n">
        <f aca="false">IF(OR($G49=0,$J49=0),0,$I49/$J49)</f>
        <v>0</v>
      </c>
      <c r="R49" s="44" t="n">
        <f aca="false">IF(OR($G49=0,$M49=0),0,$I49/$M49)</f>
        <v>0</v>
      </c>
    </row>
    <row r="50" customFormat="false" ht="12.75" hidden="false" customHeight="true" outlineLevel="0" collapsed="false">
      <c r="A50" s="47" t="s">
        <v>293</v>
      </c>
      <c r="B50" s="154" t="str">
        <f aca="false">IFERROR(INDEX(Projects!$C$9:$C$16,MATCH($A50,Projects!$A$9:$A$16,0)),"")</f>
        <v>Residential</v>
      </c>
      <c r="C50" s="155" t="n">
        <f aca="false">IF(Dashboard!$C$6="Corporate",1,IF(Dashboard!$C$6="Project",IF($A50=Dashboard!$M$6,1,0),IF($B50=Dashboard!$H$6,1,0)))</f>
        <v>1</v>
      </c>
      <c r="D50" s="200" t="n">
        <v>18</v>
      </c>
      <c r="E50" s="51" t="s">
        <v>1334</v>
      </c>
      <c r="F50" s="98" t="n">
        <v>46660</v>
      </c>
      <c r="G50" s="155" t="n">
        <f aca="false">IF($D50&lt;=Dashboard!$H$7,1,0)</f>
        <v>0</v>
      </c>
      <c r="H50" s="99" t="n">
        <v>1442532</v>
      </c>
      <c r="I50" s="99" t="n">
        <v>0</v>
      </c>
      <c r="J50" s="99" t="n">
        <v>0</v>
      </c>
      <c r="K50" s="99" t="n">
        <v>0</v>
      </c>
      <c r="L50" s="99" t="n">
        <v>4508</v>
      </c>
      <c r="M50" s="99" t="n">
        <v>0</v>
      </c>
      <c r="N50" s="99" t="n">
        <v>0</v>
      </c>
      <c r="O50" s="99" t="n">
        <v>0</v>
      </c>
      <c r="P50" s="157" t="n">
        <f aca="false">IF(OR($G50=0,$H50=0),0,$I50/$H50)</f>
        <v>0</v>
      </c>
      <c r="Q50" s="157" t="n">
        <f aca="false">IF(OR($G50=0,$J50=0),0,$I50/$J50)</f>
        <v>0</v>
      </c>
      <c r="R50" s="50" t="n">
        <f aca="false">IF(OR($G50=0,$M50=0),0,$I50/$M50)</f>
        <v>0</v>
      </c>
    </row>
    <row r="51" customFormat="false" ht="12.75" hidden="false" customHeight="true" outlineLevel="0" collapsed="false">
      <c r="A51" s="149" t="s">
        <v>293</v>
      </c>
      <c r="B51" s="150" t="str">
        <f aca="false">IFERROR(INDEX(Projects!$C$9:$C$16,MATCH($A51,Projects!$A$9:$A$16,0)),"")</f>
        <v>Residential</v>
      </c>
      <c r="C51" s="94" t="n">
        <f aca="false">IF(Dashboard!$C$6="Corporate",1,IF(Dashboard!$C$6="Project",IF($A51=Dashboard!$M$6,1,0),IF($B51=Dashboard!$H$6,1,0)))</f>
        <v>1</v>
      </c>
      <c r="D51" s="199" t="n">
        <v>19</v>
      </c>
      <c r="E51" s="45" t="s">
        <v>1335</v>
      </c>
      <c r="F51" s="85" t="n">
        <v>46691</v>
      </c>
      <c r="G51" s="94" t="n">
        <f aca="false">IF($D51&lt;=Dashboard!$H$7,1,0)</f>
        <v>0</v>
      </c>
      <c r="H51" s="92" t="n">
        <v>0</v>
      </c>
      <c r="I51" s="92" t="n">
        <v>0</v>
      </c>
      <c r="J51" s="92" t="n">
        <v>0</v>
      </c>
      <c r="K51" s="92" t="n">
        <v>0</v>
      </c>
      <c r="L51" s="92" t="n">
        <v>0</v>
      </c>
      <c r="M51" s="92" t="n">
        <v>0</v>
      </c>
      <c r="N51" s="92" t="n">
        <v>0</v>
      </c>
      <c r="O51" s="92" t="n">
        <v>0</v>
      </c>
      <c r="P51" s="152" t="n">
        <f aca="false">IF(OR($G51=0,$H51=0),0,$I51/$H51)</f>
        <v>0</v>
      </c>
      <c r="Q51" s="152" t="n">
        <f aca="false">IF(OR($G51=0,$J51=0),0,$I51/$J51)</f>
        <v>0</v>
      </c>
      <c r="R51" s="44" t="n">
        <f aca="false">IF(OR($G51=0,$M51=0),0,$I51/$M51)</f>
        <v>0</v>
      </c>
    </row>
    <row r="52" customFormat="false" ht="12.75" hidden="false" customHeight="true" outlineLevel="0" collapsed="false">
      <c r="A52" s="47" t="s">
        <v>293</v>
      </c>
      <c r="B52" s="154" t="str">
        <f aca="false">IFERROR(INDEX(Projects!$C$9:$C$16,MATCH($A52,Projects!$A$9:$A$16,0)),"")</f>
        <v>Residential</v>
      </c>
      <c r="C52" s="155" t="n">
        <f aca="false">IF(Dashboard!$C$6="Corporate",1,IF(Dashboard!$C$6="Project",IF($A52=Dashboard!$M$6,1,0),IF($B52=Dashboard!$H$6,1,0)))</f>
        <v>1</v>
      </c>
      <c r="D52" s="200" t="n">
        <v>20</v>
      </c>
      <c r="E52" s="51" t="s">
        <v>1336</v>
      </c>
      <c r="F52" s="98" t="n">
        <v>46721</v>
      </c>
      <c r="G52" s="155" t="n">
        <f aca="false">IF($D52&lt;=Dashboard!$H$7,1,0)</f>
        <v>0</v>
      </c>
      <c r="H52" s="99" t="n">
        <v>0</v>
      </c>
      <c r="I52" s="99" t="n">
        <v>0</v>
      </c>
      <c r="J52" s="99" t="n">
        <v>0</v>
      </c>
      <c r="K52" s="99" t="n">
        <v>0</v>
      </c>
      <c r="L52" s="99" t="n">
        <v>0</v>
      </c>
      <c r="M52" s="99" t="n">
        <v>0</v>
      </c>
      <c r="N52" s="99" t="n">
        <v>0</v>
      </c>
      <c r="O52" s="99" t="n">
        <v>0</v>
      </c>
      <c r="P52" s="157" t="n">
        <f aca="false">IF(OR($G52=0,$H52=0),0,$I52/$H52)</f>
        <v>0</v>
      </c>
      <c r="Q52" s="157" t="n">
        <f aca="false">IF(OR($G52=0,$J52=0),0,$I52/$J52)</f>
        <v>0</v>
      </c>
      <c r="R52" s="50" t="n">
        <f aca="false">IF(OR($G52=0,$M52=0),0,$I52/$M52)</f>
        <v>0</v>
      </c>
    </row>
    <row r="53" customFormat="false" ht="12.75" hidden="false" customHeight="true" outlineLevel="0" collapsed="false">
      <c r="A53" s="149" t="s">
        <v>293</v>
      </c>
      <c r="B53" s="150" t="str">
        <f aca="false">IFERROR(INDEX(Projects!$C$9:$C$16,MATCH($A53,Projects!$A$9:$A$16,0)),"")</f>
        <v>Residential</v>
      </c>
      <c r="C53" s="94" t="n">
        <f aca="false">IF(Dashboard!$C$6="Corporate",1,IF(Dashboard!$C$6="Project",IF($A53=Dashboard!$M$6,1,0),IF($B53=Dashboard!$H$6,1,0)))</f>
        <v>1</v>
      </c>
      <c r="D53" s="199" t="n">
        <v>21</v>
      </c>
      <c r="E53" s="45" t="s">
        <v>1337</v>
      </c>
      <c r="F53" s="85" t="n">
        <v>46752</v>
      </c>
      <c r="G53" s="94" t="n">
        <f aca="false">IF($D53&lt;=Dashboard!$H$7,1,0)</f>
        <v>0</v>
      </c>
      <c r="H53" s="92" t="n">
        <v>0</v>
      </c>
      <c r="I53" s="92" t="n">
        <v>0</v>
      </c>
      <c r="J53" s="92" t="n">
        <v>0</v>
      </c>
      <c r="K53" s="92" t="n">
        <v>0</v>
      </c>
      <c r="L53" s="92" t="n">
        <v>0</v>
      </c>
      <c r="M53" s="92" t="n">
        <v>0</v>
      </c>
      <c r="N53" s="92" t="n">
        <v>0</v>
      </c>
      <c r="O53" s="92" t="n">
        <v>0</v>
      </c>
      <c r="P53" s="152" t="n">
        <f aca="false">IF(OR($G53=0,$H53=0),0,$I53/$H53)</f>
        <v>0</v>
      </c>
      <c r="Q53" s="152" t="n">
        <f aca="false">IF(OR($G53=0,$J53=0),0,$I53/$J53)</f>
        <v>0</v>
      </c>
      <c r="R53" s="44" t="n">
        <f aca="false">IF(OR($G53=0,$M53=0),0,$I53/$M53)</f>
        <v>0</v>
      </c>
    </row>
    <row r="54" customFormat="false" ht="12.75" hidden="false" customHeight="true" outlineLevel="0" collapsed="false">
      <c r="A54" s="47" t="s">
        <v>293</v>
      </c>
      <c r="B54" s="154" t="str">
        <f aca="false">IFERROR(INDEX(Projects!$C$9:$C$16,MATCH($A54,Projects!$A$9:$A$16,0)),"")</f>
        <v>Residential</v>
      </c>
      <c r="C54" s="155" t="n">
        <f aca="false">IF(Dashboard!$C$6="Corporate",1,IF(Dashboard!$C$6="Project",IF($A54=Dashboard!$M$6,1,0),IF($B54=Dashboard!$H$6,1,0)))</f>
        <v>1</v>
      </c>
      <c r="D54" s="200" t="n">
        <v>22</v>
      </c>
      <c r="E54" s="51" t="s">
        <v>1338</v>
      </c>
      <c r="F54" s="98" t="n">
        <v>46783</v>
      </c>
      <c r="G54" s="155" t="n">
        <f aca="false">IF($D54&lt;=Dashboard!$H$7,1,0)</f>
        <v>0</v>
      </c>
      <c r="H54" s="99" t="n">
        <v>0</v>
      </c>
      <c r="I54" s="99" t="n">
        <v>0</v>
      </c>
      <c r="J54" s="99" t="n">
        <v>0</v>
      </c>
      <c r="K54" s="99" t="n">
        <v>0</v>
      </c>
      <c r="L54" s="99" t="n">
        <v>0</v>
      </c>
      <c r="M54" s="99" t="n">
        <v>0</v>
      </c>
      <c r="N54" s="99" t="n">
        <v>0</v>
      </c>
      <c r="O54" s="99" t="n">
        <v>0</v>
      </c>
      <c r="P54" s="157" t="n">
        <f aca="false">IF(OR($G54=0,$H54=0),0,$I54/$H54)</f>
        <v>0</v>
      </c>
      <c r="Q54" s="157" t="n">
        <f aca="false">IF(OR($G54=0,$J54=0),0,$I54/$J54)</f>
        <v>0</v>
      </c>
      <c r="R54" s="50" t="n">
        <f aca="false">IF(OR($G54=0,$M54=0),0,$I54/$M54)</f>
        <v>0</v>
      </c>
    </row>
    <row r="55" customFormat="false" ht="12.75" hidden="false" customHeight="true" outlineLevel="0" collapsed="false">
      <c r="A55" s="149" t="s">
        <v>293</v>
      </c>
      <c r="B55" s="150" t="str">
        <f aca="false">IFERROR(INDEX(Projects!$C$9:$C$16,MATCH($A55,Projects!$A$9:$A$16,0)),"")</f>
        <v>Residential</v>
      </c>
      <c r="C55" s="94" t="n">
        <f aca="false">IF(Dashboard!$C$6="Corporate",1,IF(Dashboard!$C$6="Project",IF($A55=Dashboard!$M$6,1,0),IF($B55=Dashboard!$H$6,1,0)))</f>
        <v>1</v>
      </c>
      <c r="D55" s="199" t="n">
        <v>23</v>
      </c>
      <c r="E55" s="45" t="s">
        <v>1339</v>
      </c>
      <c r="F55" s="85" t="n">
        <v>46812</v>
      </c>
      <c r="G55" s="94" t="n">
        <f aca="false">IF($D55&lt;=Dashboard!$H$7,1,0)</f>
        <v>0</v>
      </c>
      <c r="H55" s="92" t="n">
        <v>0</v>
      </c>
      <c r="I55" s="92" t="n">
        <v>0</v>
      </c>
      <c r="J55" s="92" t="n">
        <v>0</v>
      </c>
      <c r="K55" s="92" t="n">
        <v>0</v>
      </c>
      <c r="L55" s="92" t="n">
        <v>0</v>
      </c>
      <c r="M55" s="92" t="n">
        <v>0</v>
      </c>
      <c r="N55" s="92" t="n">
        <v>0</v>
      </c>
      <c r="O55" s="92" t="n">
        <v>0</v>
      </c>
      <c r="P55" s="152" t="n">
        <f aca="false">IF(OR($G55=0,$H55=0),0,$I55/$H55)</f>
        <v>0</v>
      </c>
      <c r="Q55" s="152" t="n">
        <f aca="false">IF(OR($G55=0,$J55=0),0,$I55/$J55)</f>
        <v>0</v>
      </c>
      <c r="R55" s="44" t="n">
        <f aca="false">IF(OR($G55=0,$M55=0),0,$I55/$M55)</f>
        <v>0</v>
      </c>
    </row>
    <row r="56" customFormat="false" ht="12.75" hidden="false" customHeight="true" outlineLevel="0" collapsed="false">
      <c r="A56" s="47" t="s">
        <v>293</v>
      </c>
      <c r="B56" s="154" t="str">
        <f aca="false">IFERROR(INDEX(Projects!$C$9:$C$16,MATCH($A56,Projects!$A$9:$A$16,0)),"")</f>
        <v>Residential</v>
      </c>
      <c r="C56" s="155" t="n">
        <f aca="false">IF(Dashboard!$C$6="Corporate",1,IF(Dashboard!$C$6="Project",IF($A56=Dashboard!$M$6,1,0),IF($B56=Dashboard!$H$6,1,0)))</f>
        <v>1</v>
      </c>
      <c r="D56" s="200" t="n">
        <v>24</v>
      </c>
      <c r="E56" s="51" t="s">
        <v>1340</v>
      </c>
      <c r="F56" s="98" t="n">
        <v>46843</v>
      </c>
      <c r="G56" s="155" t="n">
        <f aca="false">IF($D56&lt;=Dashboard!$H$7,1,0)</f>
        <v>0</v>
      </c>
      <c r="H56" s="99" t="n">
        <v>0</v>
      </c>
      <c r="I56" s="99" t="n">
        <v>0</v>
      </c>
      <c r="J56" s="99" t="n">
        <v>0</v>
      </c>
      <c r="K56" s="99" t="n">
        <v>0</v>
      </c>
      <c r="L56" s="99" t="n">
        <v>0</v>
      </c>
      <c r="M56" s="99" t="n">
        <v>0</v>
      </c>
      <c r="N56" s="99" t="n">
        <v>0</v>
      </c>
      <c r="O56" s="99" t="n">
        <v>0</v>
      </c>
      <c r="P56" s="157" t="n">
        <f aca="false">IF(OR($G56=0,$H56=0),0,$I56/$H56)</f>
        <v>0</v>
      </c>
      <c r="Q56" s="157" t="n">
        <f aca="false">IF(OR($G56=0,$J56=0),0,$I56/$J56)</f>
        <v>0</v>
      </c>
      <c r="R56" s="50" t="n">
        <f aca="false">IF(OR($G56=0,$M56=0),0,$I56/$M56)</f>
        <v>0</v>
      </c>
    </row>
    <row r="57" customFormat="false" ht="12.75" hidden="false" customHeight="true" outlineLevel="0" collapsed="false">
      <c r="A57" s="149" t="s">
        <v>296</v>
      </c>
      <c r="B57" s="150" t="str">
        <f aca="false">IFERROR(INDEX(Projects!$C$9:$C$16,MATCH($A57,Projects!$A$9:$A$16,0)),"")</f>
        <v>Commercial</v>
      </c>
      <c r="C57" s="94" t="n">
        <f aca="false">IF(Dashboard!$C$6="Corporate",1,IF(Dashboard!$C$6="Project",IF($A57=Dashboard!$M$6,1,0),IF($B57=Dashboard!$H$6,1,0)))</f>
        <v>1</v>
      </c>
      <c r="D57" s="199" t="n">
        <v>1</v>
      </c>
      <c r="E57" s="45" t="s">
        <v>1317</v>
      </c>
      <c r="F57" s="85" t="n">
        <v>46142</v>
      </c>
      <c r="G57" s="94" t="n">
        <f aca="false">IF($D57&lt;=Dashboard!$H$7,1,0)</f>
        <v>1</v>
      </c>
      <c r="H57" s="92" t="n">
        <v>5049128</v>
      </c>
      <c r="I57" s="92" t="n">
        <v>4821195</v>
      </c>
      <c r="J57" s="92" t="n">
        <v>4985724</v>
      </c>
      <c r="K57" s="92" t="n">
        <v>4010196</v>
      </c>
      <c r="L57" s="92" t="n">
        <v>15779</v>
      </c>
      <c r="M57" s="92" t="n">
        <v>15918</v>
      </c>
      <c r="N57" s="92" t="n">
        <v>0</v>
      </c>
      <c r="O57" s="92" t="n">
        <v>0</v>
      </c>
      <c r="P57" s="152" t="n">
        <f aca="false">IF(OR($G57=0,$H57=0),0,$I57/$H57)</f>
        <v>0.954856957478598</v>
      </c>
      <c r="Q57" s="152" t="n">
        <f aca="false">IF(OR($G57=0,$J57=0),0,$I57/$J57)</f>
        <v>0.966999978338151</v>
      </c>
      <c r="R57" s="44" t="n">
        <f aca="false">IF(OR($G57=0,$M57=0),0,$I57/$M57)</f>
        <v>302.876931775349</v>
      </c>
    </row>
    <row r="58" customFormat="false" ht="12.75" hidden="false" customHeight="true" outlineLevel="0" collapsed="false">
      <c r="A58" s="47" t="s">
        <v>296</v>
      </c>
      <c r="B58" s="154" t="str">
        <f aca="false">IFERROR(INDEX(Projects!$C$9:$C$16,MATCH($A58,Projects!$A$9:$A$16,0)),"")</f>
        <v>Commercial</v>
      </c>
      <c r="C58" s="155" t="n">
        <f aca="false">IF(Dashboard!$C$6="Corporate",1,IF(Dashboard!$C$6="Project",IF($A58=Dashboard!$M$6,1,0),IF($B58=Dashboard!$H$6,1,0)))</f>
        <v>1</v>
      </c>
      <c r="D58" s="200" t="n">
        <v>2</v>
      </c>
      <c r="E58" s="51" t="s">
        <v>1318</v>
      </c>
      <c r="F58" s="98" t="n">
        <v>46173</v>
      </c>
      <c r="G58" s="155" t="n">
        <f aca="false">IF($D58&lt;=Dashboard!$H$7,1,0)</f>
        <v>1</v>
      </c>
      <c r="H58" s="99" t="n">
        <v>6640290</v>
      </c>
      <c r="I58" s="99" t="n">
        <v>6340528</v>
      </c>
      <c r="J58" s="99" t="n">
        <v>6485728</v>
      </c>
      <c r="K58" s="99" t="n">
        <v>5273953</v>
      </c>
      <c r="L58" s="99" t="n">
        <v>20751</v>
      </c>
      <c r="M58" s="99" t="n">
        <v>20935</v>
      </c>
      <c r="N58" s="99" t="n">
        <v>1</v>
      </c>
      <c r="O58" s="99" t="n">
        <v>1</v>
      </c>
      <c r="P58" s="157" t="n">
        <f aca="false">IF(OR($G58=0,$H58=0),0,$I58/$H58)</f>
        <v>0.954857092084834</v>
      </c>
      <c r="Q58" s="157" t="n">
        <f aca="false">IF(OR($G58=0,$J58=0),0,$I58/$J58)</f>
        <v>0.977612382141218</v>
      </c>
      <c r="R58" s="50" t="n">
        <f aca="false">IF(OR($G58=0,$M58=0),0,$I58/$M58)</f>
        <v>302.867351325531</v>
      </c>
    </row>
    <row r="59" customFormat="false" ht="12.75" hidden="false" customHeight="true" outlineLevel="0" collapsed="false">
      <c r="A59" s="149" t="s">
        <v>296</v>
      </c>
      <c r="B59" s="150" t="str">
        <f aca="false">IFERROR(INDEX(Projects!$C$9:$C$16,MATCH($A59,Projects!$A$9:$A$16,0)),"")</f>
        <v>Commercial</v>
      </c>
      <c r="C59" s="94" t="n">
        <f aca="false">IF(Dashboard!$C$6="Corporate",1,IF(Dashboard!$C$6="Project",IF($A59=Dashboard!$M$6,1,0),IF($B59=Dashboard!$H$6,1,0)))</f>
        <v>1</v>
      </c>
      <c r="D59" s="199" t="n">
        <v>3</v>
      </c>
      <c r="E59" s="45" t="s">
        <v>1319</v>
      </c>
      <c r="F59" s="85" t="n">
        <v>46203</v>
      </c>
      <c r="G59" s="94" t="n">
        <f aca="false">IF($D59&lt;=Dashboard!$H$7,1,0)</f>
        <v>1</v>
      </c>
      <c r="H59" s="92" t="n">
        <v>4239282</v>
      </c>
      <c r="I59" s="92" t="n">
        <v>4047908</v>
      </c>
      <c r="J59" s="92" t="n">
        <v>4064432</v>
      </c>
      <c r="K59" s="92" t="n">
        <v>3366987</v>
      </c>
      <c r="L59" s="92" t="n">
        <v>13248</v>
      </c>
      <c r="M59" s="92" t="n">
        <v>13365</v>
      </c>
      <c r="N59" s="92" t="n">
        <v>1</v>
      </c>
      <c r="O59" s="92" t="n">
        <v>1</v>
      </c>
      <c r="P59" s="152" t="n">
        <f aca="false">IF(OR($G59=0,$H59=0),0,$I59/$H59)</f>
        <v>0.954856978139223</v>
      </c>
      <c r="Q59" s="152" t="n">
        <f aca="false">IF(OR($G59=0,$J59=0),0,$I59/$J59)</f>
        <v>0.995934487278911</v>
      </c>
      <c r="R59" s="44" t="n">
        <f aca="false">IF(OR($G59=0,$M59=0),0,$I59/$M59)</f>
        <v>302.873774784886</v>
      </c>
    </row>
    <row r="60" customFormat="false" ht="12.75" hidden="false" customHeight="true" outlineLevel="0" collapsed="false">
      <c r="A60" s="47" t="s">
        <v>296</v>
      </c>
      <c r="B60" s="154" t="str">
        <f aca="false">IFERROR(INDEX(Projects!$C$9:$C$16,MATCH($A60,Projects!$A$9:$A$16,0)),"")</f>
        <v>Commercial</v>
      </c>
      <c r="C60" s="155" t="n">
        <f aca="false">IF(Dashboard!$C$6="Corporate",1,IF(Dashboard!$C$6="Project",IF($A60=Dashboard!$M$6,1,0),IF($B60=Dashboard!$H$6,1,0)))</f>
        <v>1</v>
      </c>
      <c r="D60" s="200" t="n">
        <v>4</v>
      </c>
      <c r="E60" s="51" t="s">
        <v>1320</v>
      </c>
      <c r="F60" s="98" t="n">
        <v>46234</v>
      </c>
      <c r="G60" s="155" t="n">
        <f aca="false">IF($D60&lt;=Dashboard!$H$7,1,0)</f>
        <v>1</v>
      </c>
      <c r="H60" s="99" t="n">
        <v>6457418</v>
      </c>
      <c r="I60" s="99" t="n">
        <v>6165911</v>
      </c>
      <c r="J60" s="99" t="n">
        <v>6165173</v>
      </c>
      <c r="K60" s="99" t="n">
        <v>5128709</v>
      </c>
      <c r="L60" s="99" t="n">
        <v>20179</v>
      </c>
      <c r="M60" s="99" t="n">
        <v>20358</v>
      </c>
      <c r="N60" s="99" t="n">
        <v>1</v>
      </c>
      <c r="O60" s="99" t="n">
        <v>0</v>
      </c>
      <c r="P60" s="157" t="n">
        <f aca="false">IF(OR($G60=0,$H60=0),0,$I60/$H60)</f>
        <v>0.954857034189207</v>
      </c>
      <c r="Q60" s="157" t="n">
        <f aca="false">IF(OR($G60=0,$J60=0),0,$I60/$J60)</f>
        <v>1.00011970467009</v>
      </c>
      <c r="R60" s="50" t="n">
        <f aca="false">IF(OR($G60=0,$M60=0),0,$I60/$M60)</f>
        <v>302.874103546517</v>
      </c>
    </row>
    <row r="61" customFormat="false" ht="12.75" hidden="false" customHeight="true" outlineLevel="0" collapsed="false">
      <c r="A61" s="149" t="s">
        <v>296</v>
      </c>
      <c r="B61" s="150" t="str">
        <f aca="false">IFERROR(INDEX(Projects!$C$9:$C$16,MATCH($A61,Projects!$A$9:$A$16,0)),"")</f>
        <v>Commercial</v>
      </c>
      <c r="C61" s="94" t="n">
        <f aca="false">IF(Dashboard!$C$6="Corporate",1,IF(Dashboard!$C$6="Project",IF($A61=Dashboard!$M$6,1,0),IF($B61=Dashboard!$H$6,1,0)))</f>
        <v>1</v>
      </c>
      <c r="D61" s="199" t="n">
        <v>5</v>
      </c>
      <c r="E61" s="45" t="s">
        <v>1321</v>
      </c>
      <c r="F61" s="85" t="n">
        <v>46265</v>
      </c>
      <c r="G61" s="94" t="n">
        <f aca="false">IF($D61&lt;=Dashboard!$H$7,1,0)</f>
        <v>1</v>
      </c>
      <c r="H61" s="92" t="n">
        <v>9584969</v>
      </c>
      <c r="I61" s="92" t="n">
        <v>9149596</v>
      </c>
      <c r="J61" s="92" t="n">
        <v>9100553</v>
      </c>
      <c r="K61" s="92" t="n">
        <v>7610492</v>
      </c>
      <c r="L61" s="92" t="n">
        <v>29942</v>
      </c>
      <c r="M61" s="92" t="n">
        <v>30211</v>
      </c>
      <c r="N61" s="92" t="n">
        <v>0</v>
      </c>
      <c r="O61" s="92" t="n">
        <v>0</v>
      </c>
      <c r="P61" s="152" t="n">
        <f aca="false">IF(OR($G61=0,$H61=0),0,$I61/$H61)</f>
        <v>0.954577526541818</v>
      </c>
      <c r="Q61" s="152" t="n">
        <f aca="false">IF(OR($G61=0,$J61=0),0,$I61/$J61)</f>
        <v>1.00538901317316</v>
      </c>
      <c r="R61" s="44" t="n">
        <f aca="false">IF(OR($G61=0,$M61=0),0,$I61/$M61)</f>
        <v>302.856443017444</v>
      </c>
    </row>
    <row r="62" customFormat="false" ht="12.75" hidden="false" customHeight="true" outlineLevel="0" collapsed="false">
      <c r="A62" s="47" t="s">
        <v>296</v>
      </c>
      <c r="B62" s="154" t="str">
        <f aca="false">IFERROR(INDEX(Projects!$C$9:$C$16,MATCH($A62,Projects!$A$9:$A$16,0)),"")</f>
        <v>Commercial</v>
      </c>
      <c r="C62" s="155" t="n">
        <f aca="false">IF(Dashboard!$C$6="Corporate",1,IF(Dashboard!$C$6="Project",IF($A62=Dashboard!$M$6,1,0),IF($B62=Dashboard!$H$6,1,0)))</f>
        <v>1</v>
      </c>
      <c r="D62" s="200" t="n">
        <v>6</v>
      </c>
      <c r="E62" s="51" t="s">
        <v>1322</v>
      </c>
      <c r="F62" s="98" t="n">
        <v>46295</v>
      </c>
      <c r="G62" s="155" t="n">
        <f aca="false">IF($D62&lt;=Dashboard!$H$7,1,0)</f>
        <v>0</v>
      </c>
      <c r="H62" s="99" t="n">
        <v>11887838</v>
      </c>
      <c r="I62" s="99" t="n">
        <v>0</v>
      </c>
      <c r="J62" s="99" t="n">
        <v>0</v>
      </c>
      <c r="K62" s="99" t="n">
        <v>0</v>
      </c>
      <c r="L62" s="99" t="n">
        <v>37161</v>
      </c>
      <c r="M62" s="99" t="n">
        <v>0</v>
      </c>
      <c r="N62" s="99" t="n">
        <v>0</v>
      </c>
      <c r="O62" s="99" t="n">
        <v>0</v>
      </c>
      <c r="P62" s="157" t="n">
        <f aca="false">IF(OR($G62=0,$H62=0),0,$I62/$H62)</f>
        <v>0</v>
      </c>
      <c r="Q62" s="157" t="n">
        <f aca="false">IF(OR($G62=0,$J62=0),0,$I62/$J62)</f>
        <v>0</v>
      </c>
      <c r="R62" s="50" t="n">
        <f aca="false">IF(OR($G62=0,$M62=0),0,$I62/$M62)</f>
        <v>0</v>
      </c>
    </row>
    <row r="63" customFormat="false" ht="12.75" hidden="false" customHeight="true" outlineLevel="0" collapsed="false">
      <c r="A63" s="149" t="s">
        <v>296</v>
      </c>
      <c r="B63" s="150" t="str">
        <f aca="false">IFERROR(INDEX(Projects!$C$9:$C$16,MATCH($A63,Projects!$A$9:$A$16,0)),"")</f>
        <v>Commercial</v>
      </c>
      <c r="C63" s="94" t="n">
        <f aca="false">IF(Dashboard!$C$6="Corporate",1,IF(Dashboard!$C$6="Project",IF($A63=Dashboard!$M$6,1,0),IF($B63=Dashboard!$H$6,1,0)))</f>
        <v>1</v>
      </c>
      <c r="D63" s="199" t="n">
        <v>7</v>
      </c>
      <c r="E63" s="45" t="s">
        <v>1323</v>
      </c>
      <c r="F63" s="85" t="n">
        <v>46326</v>
      </c>
      <c r="G63" s="94" t="n">
        <f aca="false">IF($D63&lt;=Dashboard!$H$7,1,0)</f>
        <v>0</v>
      </c>
      <c r="H63" s="92" t="n">
        <v>13443085</v>
      </c>
      <c r="I63" s="92" t="n">
        <v>0</v>
      </c>
      <c r="J63" s="92" t="n">
        <v>0</v>
      </c>
      <c r="K63" s="92" t="n">
        <v>0</v>
      </c>
      <c r="L63" s="92" t="n">
        <v>42010</v>
      </c>
      <c r="M63" s="92" t="n">
        <v>0</v>
      </c>
      <c r="N63" s="92" t="n">
        <v>0</v>
      </c>
      <c r="O63" s="92" t="n">
        <v>0</v>
      </c>
      <c r="P63" s="152" t="n">
        <f aca="false">IF(OR($G63=0,$H63=0),0,$I63/$H63)</f>
        <v>0</v>
      </c>
      <c r="Q63" s="152" t="n">
        <f aca="false">IF(OR($G63=0,$J63=0),0,$I63/$J63)</f>
        <v>0</v>
      </c>
      <c r="R63" s="44" t="n">
        <f aca="false">IF(OR($G63=0,$M63=0),0,$I63/$M63)</f>
        <v>0</v>
      </c>
    </row>
    <row r="64" customFormat="false" ht="12.75" hidden="false" customHeight="true" outlineLevel="0" collapsed="false">
      <c r="A64" s="47" t="s">
        <v>296</v>
      </c>
      <c r="B64" s="154" t="str">
        <f aca="false">IFERROR(INDEX(Projects!$C$9:$C$16,MATCH($A64,Projects!$A$9:$A$16,0)),"")</f>
        <v>Commercial</v>
      </c>
      <c r="C64" s="155" t="n">
        <f aca="false">IF(Dashboard!$C$6="Corporate",1,IF(Dashboard!$C$6="Project",IF($A64=Dashboard!$M$6,1,0),IF($B64=Dashboard!$H$6,1,0)))</f>
        <v>1</v>
      </c>
      <c r="D64" s="200" t="n">
        <v>8</v>
      </c>
      <c r="E64" s="51" t="s">
        <v>1324</v>
      </c>
      <c r="F64" s="98" t="n">
        <v>46356</v>
      </c>
      <c r="G64" s="155" t="n">
        <f aca="false">IF($D64&lt;=Dashboard!$H$7,1,0)</f>
        <v>0</v>
      </c>
      <c r="H64" s="99" t="n">
        <v>14983100</v>
      </c>
      <c r="I64" s="99" t="n">
        <v>0</v>
      </c>
      <c r="J64" s="99" t="n">
        <v>0</v>
      </c>
      <c r="K64" s="99" t="n">
        <v>0</v>
      </c>
      <c r="L64" s="99" t="n">
        <v>46822</v>
      </c>
      <c r="M64" s="99" t="n">
        <v>0</v>
      </c>
      <c r="N64" s="99" t="n">
        <v>0</v>
      </c>
      <c r="O64" s="99" t="n">
        <v>0</v>
      </c>
      <c r="P64" s="157" t="n">
        <f aca="false">IF(OR($G64=0,$H64=0),0,$I64/$H64)</f>
        <v>0</v>
      </c>
      <c r="Q64" s="157" t="n">
        <f aca="false">IF(OR($G64=0,$J64=0),0,$I64/$J64)</f>
        <v>0</v>
      </c>
      <c r="R64" s="50" t="n">
        <f aca="false">IF(OR($G64=0,$M64=0),0,$I64/$M64)</f>
        <v>0</v>
      </c>
    </row>
    <row r="65" customFormat="false" ht="12.75" hidden="false" customHeight="true" outlineLevel="0" collapsed="false">
      <c r="A65" s="149" t="s">
        <v>296</v>
      </c>
      <c r="B65" s="150" t="str">
        <f aca="false">IFERROR(INDEX(Projects!$C$9:$C$16,MATCH($A65,Projects!$A$9:$A$16,0)),"")</f>
        <v>Commercial</v>
      </c>
      <c r="C65" s="94" t="n">
        <f aca="false">IF(Dashboard!$C$6="Corporate",1,IF(Dashboard!$C$6="Project",IF($A65=Dashboard!$M$6,1,0),IF($B65=Dashboard!$H$6,1,0)))</f>
        <v>1</v>
      </c>
      <c r="D65" s="199" t="n">
        <v>9</v>
      </c>
      <c r="E65" s="45" t="s">
        <v>1325</v>
      </c>
      <c r="F65" s="85" t="n">
        <v>46387</v>
      </c>
      <c r="G65" s="94" t="n">
        <f aca="false">IF($D65&lt;=Dashboard!$H$7,1,0)</f>
        <v>0</v>
      </c>
      <c r="H65" s="92" t="n">
        <v>16061446</v>
      </c>
      <c r="I65" s="92" t="n">
        <v>0</v>
      </c>
      <c r="J65" s="92" t="n">
        <v>0</v>
      </c>
      <c r="K65" s="92" t="n">
        <v>0</v>
      </c>
      <c r="L65" s="92" t="n">
        <v>50192</v>
      </c>
      <c r="M65" s="92" t="n">
        <v>0</v>
      </c>
      <c r="N65" s="92" t="n">
        <v>0</v>
      </c>
      <c r="O65" s="92" t="n">
        <v>0</v>
      </c>
      <c r="P65" s="152" t="n">
        <f aca="false">IF(OR($G65=0,$H65=0),0,$I65/$H65)</f>
        <v>0</v>
      </c>
      <c r="Q65" s="152" t="n">
        <f aca="false">IF(OR($G65=0,$J65=0),0,$I65/$J65)</f>
        <v>0</v>
      </c>
      <c r="R65" s="44" t="n">
        <f aca="false">IF(OR($G65=0,$M65=0),0,$I65/$M65)</f>
        <v>0</v>
      </c>
    </row>
    <row r="66" customFormat="false" ht="12.75" hidden="false" customHeight="true" outlineLevel="0" collapsed="false">
      <c r="A66" s="47" t="s">
        <v>296</v>
      </c>
      <c r="B66" s="154" t="str">
        <f aca="false">IFERROR(INDEX(Projects!$C$9:$C$16,MATCH($A66,Projects!$A$9:$A$16,0)),"")</f>
        <v>Commercial</v>
      </c>
      <c r="C66" s="155" t="n">
        <f aca="false">IF(Dashboard!$C$6="Corporate",1,IF(Dashboard!$C$6="Project",IF($A66=Dashboard!$M$6,1,0),IF($B66=Dashboard!$H$6,1,0)))</f>
        <v>1</v>
      </c>
      <c r="D66" s="200" t="n">
        <v>10</v>
      </c>
      <c r="E66" s="51" t="s">
        <v>1326</v>
      </c>
      <c r="F66" s="98" t="n">
        <v>46418</v>
      </c>
      <c r="G66" s="155" t="n">
        <f aca="false">IF($D66&lt;=Dashboard!$H$7,1,0)</f>
        <v>0</v>
      </c>
      <c r="H66" s="99" t="n">
        <v>16986329</v>
      </c>
      <c r="I66" s="99" t="n">
        <v>0</v>
      </c>
      <c r="J66" s="99" t="n">
        <v>0</v>
      </c>
      <c r="K66" s="99" t="n">
        <v>0</v>
      </c>
      <c r="L66" s="99" t="n">
        <v>53082</v>
      </c>
      <c r="M66" s="99" t="n">
        <v>0</v>
      </c>
      <c r="N66" s="99" t="n">
        <v>0</v>
      </c>
      <c r="O66" s="99" t="n">
        <v>0</v>
      </c>
      <c r="P66" s="157" t="n">
        <f aca="false">IF(OR($G66=0,$H66=0),0,$I66/$H66)</f>
        <v>0</v>
      </c>
      <c r="Q66" s="157" t="n">
        <f aca="false">IF(OR($G66=0,$J66=0),0,$I66/$J66)</f>
        <v>0</v>
      </c>
      <c r="R66" s="50" t="n">
        <f aca="false">IF(OR($G66=0,$M66=0),0,$I66/$M66)</f>
        <v>0</v>
      </c>
    </row>
    <row r="67" customFormat="false" ht="12.75" hidden="false" customHeight="true" outlineLevel="0" collapsed="false">
      <c r="A67" s="149" t="s">
        <v>296</v>
      </c>
      <c r="B67" s="150" t="str">
        <f aca="false">IFERROR(INDEX(Projects!$C$9:$C$16,MATCH($A67,Projects!$A$9:$A$16,0)),"")</f>
        <v>Commercial</v>
      </c>
      <c r="C67" s="94" t="n">
        <f aca="false">IF(Dashboard!$C$6="Corporate",1,IF(Dashboard!$C$6="Project",IF($A67=Dashboard!$M$6,1,0),IF($B67=Dashboard!$H$6,1,0)))</f>
        <v>1</v>
      </c>
      <c r="D67" s="199" t="n">
        <v>11</v>
      </c>
      <c r="E67" s="45" t="s">
        <v>1327</v>
      </c>
      <c r="F67" s="85" t="n">
        <v>46446</v>
      </c>
      <c r="G67" s="94" t="n">
        <f aca="false">IF($D67&lt;=Dashboard!$H$7,1,0)</f>
        <v>0</v>
      </c>
      <c r="H67" s="92" t="n">
        <v>16092882</v>
      </c>
      <c r="I67" s="92" t="n">
        <v>0</v>
      </c>
      <c r="J67" s="92" t="n">
        <v>0</v>
      </c>
      <c r="K67" s="92" t="n">
        <v>0</v>
      </c>
      <c r="L67" s="92" t="n">
        <v>50290</v>
      </c>
      <c r="M67" s="92" t="n">
        <v>0</v>
      </c>
      <c r="N67" s="92" t="n">
        <v>0</v>
      </c>
      <c r="O67" s="92" t="n">
        <v>0</v>
      </c>
      <c r="P67" s="152" t="n">
        <f aca="false">IF(OR($G67=0,$H67=0),0,$I67/$H67)</f>
        <v>0</v>
      </c>
      <c r="Q67" s="152" t="n">
        <f aca="false">IF(OR($G67=0,$J67=0),0,$I67/$J67)</f>
        <v>0</v>
      </c>
      <c r="R67" s="44" t="n">
        <f aca="false">IF(OR($G67=0,$M67=0),0,$I67/$M67)</f>
        <v>0</v>
      </c>
    </row>
    <row r="68" customFormat="false" ht="12.75" hidden="false" customHeight="true" outlineLevel="0" collapsed="false">
      <c r="A68" s="47" t="s">
        <v>296</v>
      </c>
      <c r="B68" s="154" t="str">
        <f aca="false">IFERROR(INDEX(Projects!$C$9:$C$16,MATCH($A68,Projects!$A$9:$A$16,0)),"")</f>
        <v>Commercial</v>
      </c>
      <c r="C68" s="155" t="n">
        <f aca="false">IF(Dashboard!$C$6="Corporate",1,IF(Dashboard!$C$6="Project",IF($A68=Dashboard!$M$6,1,0),IF($B68=Dashboard!$H$6,1,0)))</f>
        <v>1</v>
      </c>
      <c r="D68" s="200" t="n">
        <v>12</v>
      </c>
      <c r="E68" s="51" t="s">
        <v>1328</v>
      </c>
      <c r="F68" s="98" t="n">
        <v>46477</v>
      </c>
      <c r="G68" s="155" t="n">
        <f aca="false">IF($D68&lt;=Dashboard!$H$7,1,0)</f>
        <v>0</v>
      </c>
      <c r="H68" s="99" t="n">
        <v>15203246</v>
      </c>
      <c r="I68" s="99" t="n">
        <v>0</v>
      </c>
      <c r="J68" s="99" t="n">
        <v>0</v>
      </c>
      <c r="K68" s="99" t="n">
        <v>0</v>
      </c>
      <c r="L68" s="99" t="n">
        <v>47510</v>
      </c>
      <c r="M68" s="99" t="n">
        <v>0</v>
      </c>
      <c r="N68" s="99" t="n">
        <v>0</v>
      </c>
      <c r="O68" s="99" t="n">
        <v>0</v>
      </c>
      <c r="P68" s="157" t="n">
        <f aca="false">IF(OR($G68=0,$H68=0),0,$I68/$H68)</f>
        <v>0</v>
      </c>
      <c r="Q68" s="157" t="n">
        <f aca="false">IF(OR($G68=0,$J68=0),0,$I68/$J68)</f>
        <v>0</v>
      </c>
      <c r="R68" s="50" t="n">
        <f aca="false">IF(OR($G68=0,$M68=0),0,$I68/$M68)</f>
        <v>0</v>
      </c>
    </row>
    <row r="69" customFormat="false" ht="12.75" hidden="false" customHeight="true" outlineLevel="0" collapsed="false">
      <c r="A69" s="149" t="s">
        <v>296</v>
      </c>
      <c r="B69" s="150" t="str">
        <f aca="false">IFERROR(INDEX(Projects!$C$9:$C$16,MATCH($A69,Projects!$A$9:$A$16,0)),"")</f>
        <v>Commercial</v>
      </c>
      <c r="C69" s="94" t="n">
        <f aca="false">IF(Dashboard!$C$6="Corporate",1,IF(Dashboard!$C$6="Project",IF($A69=Dashboard!$M$6,1,0),IF($B69=Dashboard!$H$6,1,0)))</f>
        <v>1</v>
      </c>
      <c r="D69" s="199" t="n">
        <v>13</v>
      </c>
      <c r="E69" s="45" t="s">
        <v>1329</v>
      </c>
      <c r="F69" s="85" t="n">
        <v>46507</v>
      </c>
      <c r="G69" s="94" t="n">
        <f aca="false">IF($D69&lt;=Dashboard!$H$7,1,0)</f>
        <v>0</v>
      </c>
      <c r="H69" s="92" t="n">
        <v>13795196</v>
      </c>
      <c r="I69" s="92" t="n">
        <v>0</v>
      </c>
      <c r="J69" s="92" t="n">
        <v>0</v>
      </c>
      <c r="K69" s="92" t="n">
        <v>0</v>
      </c>
      <c r="L69" s="92" t="n">
        <v>43110</v>
      </c>
      <c r="M69" s="92" t="n">
        <v>0</v>
      </c>
      <c r="N69" s="92" t="n">
        <v>0</v>
      </c>
      <c r="O69" s="92" t="n">
        <v>0</v>
      </c>
      <c r="P69" s="152" t="n">
        <f aca="false">IF(OR($G69=0,$H69=0),0,$I69/$H69)</f>
        <v>0</v>
      </c>
      <c r="Q69" s="152" t="n">
        <f aca="false">IF(OR($G69=0,$J69=0),0,$I69/$J69)</f>
        <v>0</v>
      </c>
      <c r="R69" s="44" t="n">
        <f aca="false">IF(OR($G69=0,$M69=0),0,$I69/$M69)</f>
        <v>0</v>
      </c>
    </row>
    <row r="70" customFormat="false" ht="12.75" hidden="false" customHeight="true" outlineLevel="0" collapsed="false">
      <c r="A70" s="47" t="s">
        <v>296</v>
      </c>
      <c r="B70" s="154" t="str">
        <f aca="false">IFERROR(INDEX(Projects!$C$9:$C$16,MATCH($A70,Projects!$A$9:$A$16,0)),"")</f>
        <v>Commercial</v>
      </c>
      <c r="C70" s="155" t="n">
        <f aca="false">IF(Dashboard!$C$6="Corporate",1,IF(Dashboard!$C$6="Project",IF($A70=Dashboard!$M$6,1,0),IF($B70=Dashboard!$H$6,1,0)))</f>
        <v>1</v>
      </c>
      <c r="D70" s="200" t="n">
        <v>14</v>
      </c>
      <c r="E70" s="51" t="s">
        <v>1330</v>
      </c>
      <c r="F70" s="98" t="n">
        <v>46538</v>
      </c>
      <c r="G70" s="155" t="n">
        <f aca="false">IF($D70&lt;=Dashboard!$H$7,1,0)</f>
        <v>0</v>
      </c>
      <c r="H70" s="99" t="n">
        <v>11082099</v>
      </c>
      <c r="I70" s="99" t="n">
        <v>0</v>
      </c>
      <c r="J70" s="99" t="n">
        <v>0</v>
      </c>
      <c r="K70" s="99" t="n">
        <v>0</v>
      </c>
      <c r="L70" s="99" t="n">
        <v>34632</v>
      </c>
      <c r="M70" s="99" t="n">
        <v>0</v>
      </c>
      <c r="N70" s="99" t="n">
        <v>0</v>
      </c>
      <c r="O70" s="99" t="n">
        <v>0</v>
      </c>
      <c r="P70" s="157" t="n">
        <f aca="false">IF(OR($G70=0,$H70=0),0,$I70/$H70)</f>
        <v>0</v>
      </c>
      <c r="Q70" s="157" t="n">
        <f aca="false">IF(OR($G70=0,$J70=0),0,$I70/$J70)</f>
        <v>0</v>
      </c>
      <c r="R70" s="50" t="n">
        <f aca="false">IF(OR($G70=0,$M70=0),0,$I70/$M70)</f>
        <v>0</v>
      </c>
    </row>
    <row r="71" customFormat="false" ht="12.75" hidden="false" customHeight="true" outlineLevel="0" collapsed="false">
      <c r="A71" s="149" t="s">
        <v>296</v>
      </c>
      <c r="B71" s="150" t="str">
        <f aca="false">IFERROR(INDEX(Projects!$C$9:$C$16,MATCH($A71,Projects!$A$9:$A$16,0)),"")</f>
        <v>Commercial</v>
      </c>
      <c r="C71" s="94" t="n">
        <f aca="false">IF(Dashboard!$C$6="Corporate",1,IF(Dashboard!$C$6="Project",IF($A71=Dashboard!$M$6,1,0),IF($B71=Dashboard!$H$6,1,0)))</f>
        <v>1</v>
      </c>
      <c r="D71" s="199" t="n">
        <v>15</v>
      </c>
      <c r="E71" s="45" t="s">
        <v>1331</v>
      </c>
      <c r="F71" s="85" t="n">
        <v>46568</v>
      </c>
      <c r="G71" s="94" t="n">
        <f aca="false">IF($D71&lt;=Dashboard!$H$7,1,0)</f>
        <v>0</v>
      </c>
      <c r="H71" s="92" t="n">
        <v>7512547</v>
      </c>
      <c r="I71" s="92" t="n">
        <v>0</v>
      </c>
      <c r="J71" s="92" t="n">
        <v>0</v>
      </c>
      <c r="K71" s="92" t="n">
        <v>0</v>
      </c>
      <c r="L71" s="92" t="n">
        <v>23477</v>
      </c>
      <c r="M71" s="92" t="n">
        <v>0</v>
      </c>
      <c r="N71" s="92" t="n">
        <v>0</v>
      </c>
      <c r="O71" s="92" t="n">
        <v>0</v>
      </c>
      <c r="P71" s="152" t="n">
        <f aca="false">IF(OR($G71=0,$H71=0),0,$I71/$H71)</f>
        <v>0</v>
      </c>
      <c r="Q71" s="152" t="n">
        <f aca="false">IF(OR($G71=0,$J71=0),0,$I71/$J71)</f>
        <v>0</v>
      </c>
      <c r="R71" s="44" t="n">
        <f aca="false">IF(OR($G71=0,$M71=0),0,$I71/$M71)</f>
        <v>0</v>
      </c>
    </row>
    <row r="72" customFormat="false" ht="12.75" hidden="false" customHeight="true" outlineLevel="0" collapsed="false">
      <c r="A72" s="47" t="s">
        <v>296</v>
      </c>
      <c r="B72" s="154" t="str">
        <f aca="false">IFERROR(INDEX(Projects!$C$9:$C$16,MATCH($A72,Projects!$A$9:$A$16,0)),"")</f>
        <v>Commercial</v>
      </c>
      <c r="C72" s="155" t="n">
        <f aca="false">IF(Dashboard!$C$6="Corporate",1,IF(Dashboard!$C$6="Project",IF($A72=Dashboard!$M$6,1,0),IF($B72=Dashboard!$H$6,1,0)))</f>
        <v>1</v>
      </c>
      <c r="D72" s="200" t="n">
        <v>16</v>
      </c>
      <c r="E72" s="51" t="s">
        <v>1332</v>
      </c>
      <c r="F72" s="98" t="n">
        <v>46599</v>
      </c>
      <c r="G72" s="155" t="n">
        <f aca="false">IF($D72&lt;=Dashboard!$H$7,1,0)</f>
        <v>0</v>
      </c>
      <c r="H72" s="99" t="n">
        <v>7057391</v>
      </c>
      <c r="I72" s="99" t="n">
        <v>0</v>
      </c>
      <c r="J72" s="99" t="n">
        <v>0</v>
      </c>
      <c r="K72" s="99" t="n">
        <v>0</v>
      </c>
      <c r="L72" s="99" t="n">
        <v>22054</v>
      </c>
      <c r="M72" s="99" t="n">
        <v>0</v>
      </c>
      <c r="N72" s="99" t="n">
        <v>0</v>
      </c>
      <c r="O72" s="99" t="n">
        <v>0</v>
      </c>
      <c r="P72" s="157" t="n">
        <f aca="false">IF(OR($G72=0,$H72=0),0,$I72/$H72)</f>
        <v>0</v>
      </c>
      <c r="Q72" s="157" t="n">
        <f aca="false">IF(OR($G72=0,$J72=0),0,$I72/$J72)</f>
        <v>0</v>
      </c>
      <c r="R72" s="50" t="n">
        <f aca="false">IF(OR($G72=0,$M72=0),0,$I72/$M72)</f>
        <v>0</v>
      </c>
    </row>
    <row r="73" customFormat="false" ht="12.75" hidden="false" customHeight="true" outlineLevel="0" collapsed="false">
      <c r="A73" s="149" t="s">
        <v>296</v>
      </c>
      <c r="B73" s="150" t="str">
        <f aca="false">IFERROR(INDEX(Projects!$C$9:$C$16,MATCH($A73,Projects!$A$9:$A$16,0)),"")</f>
        <v>Commercial</v>
      </c>
      <c r="C73" s="94" t="n">
        <f aca="false">IF(Dashboard!$C$6="Corporate",1,IF(Dashboard!$C$6="Project",IF($A73=Dashboard!$M$6,1,0),IF($B73=Dashboard!$H$6,1,0)))</f>
        <v>1</v>
      </c>
      <c r="D73" s="199" t="n">
        <v>17</v>
      </c>
      <c r="E73" s="45" t="s">
        <v>1333</v>
      </c>
      <c r="F73" s="85" t="n">
        <v>46630</v>
      </c>
      <c r="G73" s="94" t="n">
        <f aca="false">IF($D73&lt;=Dashboard!$H$7,1,0)</f>
        <v>0</v>
      </c>
      <c r="H73" s="92" t="n">
        <v>9371060</v>
      </c>
      <c r="I73" s="92" t="n">
        <v>0</v>
      </c>
      <c r="J73" s="92" t="n">
        <v>0</v>
      </c>
      <c r="K73" s="92" t="n">
        <v>0</v>
      </c>
      <c r="L73" s="92" t="n">
        <v>29285</v>
      </c>
      <c r="M73" s="92" t="n">
        <v>0</v>
      </c>
      <c r="N73" s="92" t="n">
        <v>0</v>
      </c>
      <c r="O73" s="92" t="n">
        <v>0</v>
      </c>
      <c r="P73" s="152" t="n">
        <f aca="false">IF(OR($G73=0,$H73=0),0,$I73/$H73)</f>
        <v>0</v>
      </c>
      <c r="Q73" s="152" t="n">
        <f aca="false">IF(OR($G73=0,$J73=0),0,$I73/$J73)</f>
        <v>0</v>
      </c>
      <c r="R73" s="44" t="n">
        <f aca="false">IF(OR($G73=0,$M73=0),0,$I73/$M73)</f>
        <v>0</v>
      </c>
    </row>
    <row r="74" customFormat="false" ht="12.75" hidden="false" customHeight="true" outlineLevel="0" collapsed="false">
      <c r="A74" s="47" t="s">
        <v>296</v>
      </c>
      <c r="B74" s="154" t="str">
        <f aca="false">IFERROR(INDEX(Projects!$C$9:$C$16,MATCH($A74,Projects!$A$9:$A$16,0)),"")</f>
        <v>Commercial</v>
      </c>
      <c r="C74" s="155" t="n">
        <f aca="false">IF(Dashboard!$C$6="Corporate",1,IF(Dashboard!$C$6="Project",IF($A74=Dashboard!$M$6,1,0),IF($B74=Dashboard!$H$6,1,0)))</f>
        <v>1</v>
      </c>
      <c r="D74" s="200" t="n">
        <v>18</v>
      </c>
      <c r="E74" s="51" t="s">
        <v>1334</v>
      </c>
      <c r="F74" s="98" t="n">
        <v>46660</v>
      </c>
      <c r="G74" s="155" t="n">
        <f aca="false">IF($D74&lt;=Dashboard!$H$7,1,0)</f>
        <v>0</v>
      </c>
      <c r="H74" s="99" t="n">
        <v>5236110</v>
      </c>
      <c r="I74" s="99" t="n">
        <v>0</v>
      </c>
      <c r="J74" s="99" t="n">
        <v>0</v>
      </c>
      <c r="K74" s="99" t="n">
        <v>0</v>
      </c>
      <c r="L74" s="99" t="n">
        <v>16363</v>
      </c>
      <c r="M74" s="99" t="n">
        <v>0</v>
      </c>
      <c r="N74" s="99" t="n">
        <v>0</v>
      </c>
      <c r="O74" s="99" t="n">
        <v>0</v>
      </c>
      <c r="P74" s="157" t="n">
        <f aca="false">IF(OR($G74=0,$H74=0),0,$I74/$H74)</f>
        <v>0</v>
      </c>
      <c r="Q74" s="157" t="n">
        <f aca="false">IF(OR($G74=0,$J74=0),0,$I74/$J74)</f>
        <v>0</v>
      </c>
      <c r="R74" s="50" t="n">
        <f aca="false">IF(OR($G74=0,$M74=0),0,$I74/$M74)</f>
        <v>0</v>
      </c>
    </row>
    <row r="75" customFormat="false" ht="12.75" hidden="false" customHeight="true" outlineLevel="0" collapsed="false">
      <c r="A75" s="149" t="s">
        <v>296</v>
      </c>
      <c r="B75" s="150" t="str">
        <f aca="false">IFERROR(INDEX(Projects!$C$9:$C$16,MATCH($A75,Projects!$A$9:$A$16,0)),"")</f>
        <v>Commercial</v>
      </c>
      <c r="C75" s="94" t="n">
        <f aca="false">IF(Dashboard!$C$6="Corporate",1,IF(Dashboard!$C$6="Project",IF($A75=Dashboard!$M$6,1,0),IF($B75=Dashboard!$H$6,1,0)))</f>
        <v>1</v>
      </c>
      <c r="D75" s="199" t="n">
        <v>19</v>
      </c>
      <c r="E75" s="45" t="s">
        <v>1335</v>
      </c>
      <c r="F75" s="85" t="n">
        <v>46691</v>
      </c>
      <c r="G75" s="94" t="n">
        <f aca="false">IF($D75&lt;=Dashboard!$H$7,1,0)</f>
        <v>0</v>
      </c>
      <c r="H75" s="92" t="n">
        <v>0</v>
      </c>
      <c r="I75" s="92" t="n">
        <v>0</v>
      </c>
      <c r="J75" s="92" t="n">
        <v>0</v>
      </c>
      <c r="K75" s="92" t="n">
        <v>0</v>
      </c>
      <c r="L75" s="92" t="n">
        <v>0</v>
      </c>
      <c r="M75" s="92" t="n">
        <v>0</v>
      </c>
      <c r="N75" s="92" t="n">
        <v>0</v>
      </c>
      <c r="O75" s="92" t="n">
        <v>0</v>
      </c>
      <c r="P75" s="152" t="n">
        <f aca="false">IF(OR($G75=0,$H75=0),0,$I75/$H75)</f>
        <v>0</v>
      </c>
      <c r="Q75" s="152" t="n">
        <f aca="false">IF(OR($G75=0,$J75=0),0,$I75/$J75)</f>
        <v>0</v>
      </c>
      <c r="R75" s="44" t="n">
        <f aca="false">IF(OR($G75=0,$M75=0),0,$I75/$M75)</f>
        <v>0</v>
      </c>
    </row>
    <row r="76" customFormat="false" ht="12.75" hidden="false" customHeight="true" outlineLevel="0" collapsed="false">
      <c r="A76" s="47" t="s">
        <v>296</v>
      </c>
      <c r="B76" s="154" t="str">
        <f aca="false">IFERROR(INDEX(Projects!$C$9:$C$16,MATCH($A76,Projects!$A$9:$A$16,0)),"")</f>
        <v>Commercial</v>
      </c>
      <c r="C76" s="155" t="n">
        <f aca="false">IF(Dashboard!$C$6="Corporate",1,IF(Dashboard!$C$6="Project",IF($A76=Dashboard!$M$6,1,0),IF($B76=Dashboard!$H$6,1,0)))</f>
        <v>1</v>
      </c>
      <c r="D76" s="200" t="n">
        <v>20</v>
      </c>
      <c r="E76" s="51" t="s">
        <v>1336</v>
      </c>
      <c r="F76" s="98" t="n">
        <v>46721</v>
      </c>
      <c r="G76" s="155" t="n">
        <f aca="false">IF($D76&lt;=Dashboard!$H$7,1,0)</f>
        <v>0</v>
      </c>
      <c r="H76" s="99" t="n">
        <v>0</v>
      </c>
      <c r="I76" s="99" t="n">
        <v>0</v>
      </c>
      <c r="J76" s="99" t="n">
        <v>0</v>
      </c>
      <c r="K76" s="99" t="n">
        <v>0</v>
      </c>
      <c r="L76" s="99" t="n">
        <v>0</v>
      </c>
      <c r="M76" s="99" t="n">
        <v>0</v>
      </c>
      <c r="N76" s="99" t="n">
        <v>0</v>
      </c>
      <c r="O76" s="99" t="n">
        <v>0</v>
      </c>
      <c r="P76" s="157" t="n">
        <f aca="false">IF(OR($G76=0,$H76=0),0,$I76/$H76)</f>
        <v>0</v>
      </c>
      <c r="Q76" s="157" t="n">
        <f aca="false">IF(OR($G76=0,$J76=0),0,$I76/$J76)</f>
        <v>0</v>
      </c>
      <c r="R76" s="50" t="n">
        <f aca="false">IF(OR($G76=0,$M76=0),0,$I76/$M76)</f>
        <v>0</v>
      </c>
    </row>
    <row r="77" customFormat="false" ht="12.75" hidden="false" customHeight="true" outlineLevel="0" collapsed="false">
      <c r="A77" s="149" t="s">
        <v>296</v>
      </c>
      <c r="B77" s="150" t="str">
        <f aca="false">IFERROR(INDEX(Projects!$C$9:$C$16,MATCH($A77,Projects!$A$9:$A$16,0)),"")</f>
        <v>Commercial</v>
      </c>
      <c r="C77" s="94" t="n">
        <f aca="false">IF(Dashboard!$C$6="Corporate",1,IF(Dashboard!$C$6="Project",IF($A77=Dashboard!$M$6,1,0),IF($B77=Dashboard!$H$6,1,0)))</f>
        <v>1</v>
      </c>
      <c r="D77" s="199" t="n">
        <v>21</v>
      </c>
      <c r="E77" s="45" t="s">
        <v>1337</v>
      </c>
      <c r="F77" s="85" t="n">
        <v>46752</v>
      </c>
      <c r="G77" s="94" t="n">
        <f aca="false">IF($D77&lt;=Dashboard!$H$7,1,0)</f>
        <v>0</v>
      </c>
      <c r="H77" s="92" t="n">
        <v>0</v>
      </c>
      <c r="I77" s="92" t="n">
        <v>0</v>
      </c>
      <c r="J77" s="92" t="n">
        <v>0</v>
      </c>
      <c r="K77" s="92" t="n">
        <v>0</v>
      </c>
      <c r="L77" s="92" t="n">
        <v>0</v>
      </c>
      <c r="M77" s="92" t="n">
        <v>0</v>
      </c>
      <c r="N77" s="92" t="n">
        <v>0</v>
      </c>
      <c r="O77" s="92" t="n">
        <v>0</v>
      </c>
      <c r="P77" s="152" t="n">
        <f aca="false">IF(OR($G77=0,$H77=0),0,$I77/$H77)</f>
        <v>0</v>
      </c>
      <c r="Q77" s="152" t="n">
        <f aca="false">IF(OR($G77=0,$J77=0),0,$I77/$J77)</f>
        <v>0</v>
      </c>
      <c r="R77" s="44" t="n">
        <f aca="false">IF(OR($G77=0,$M77=0),0,$I77/$M77)</f>
        <v>0</v>
      </c>
    </row>
    <row r="78" customFormat="false" ht="12.75" hidden="false" customHeight="true" outlineLevel="0" collapsed="false">
      <c r="A78" s="47" t="s">
        <v>296</v>
      </c>
      <c r="B78" s="154" t="str">
        <f aca="false">IFERROR(INDEX(Projects!$C$9:$C$16,MATCH($A78,Projects!$A$9:$A$16,0)),"")</f>
        <v>Commercial</v>
      </c>
      <c r="C78" s="155" t="n">
        <f aca="false">IF(Dashboard!$C$6="Corporate",1,IF(Dashboard!$C$6="Project",IF($A78=Dashboard!$M$6,1,0),IF($B78=Dashboard!$H$6,1,0)))</f>
        <v>1</v>
      </c>
      <c r="D78" s="200" t="n">
        <v>22</v>
      </c>
      <c r="E78" s="51" t="s">
        <v>1338</v>
      </c>
      <c r="F78" s="98" t="n">
        <v>46783</v>
      </c>
      <c r="G78" s="155" t="n">
        <f aca="false">IF($D78&lt;=Dashboard!$H$7,1,0)</f>
        <v>0</v>
      </c>
      <c r="H78" s="99" t="n">
        <v>0</v>
      </c>
      <c r="I78" s="99" t="n">
        <v>0</v>
      </c>
      <c r="J78" s="99" t="n">
        <v>0</v>
      </c>
      <c r="K78" s="99" t="n">
        <v>0</v>
      </c>
      <c r="L78" s="99" t="n">
        <v>0</v>
      </c>
      <c r="M78" s="99" t="n">
        <v>0</v>
      </c>
      <c r="N78" s="99" t="n">
        <v>0</v>
      </c>
      <c r="O78" s="99" t="n">
        <v>0</v>
      </c>
      <c r="P78" s="157" t="n">
        <f aca="false">IF(OR($G78=0,$H78=0),0,$I78/$H78)</f>
        <v>0</v>
      </c>
      <c r="Q78" s="157" t="n">
        <f aca="false">IF(OR($G78=0,$J78=0),0,$I78/$J78)</f>
        <v>0</v>
      </c>
      <c r="R78" s="50" t="n">
        <f aca="false">IF(OR($G78=0,$M78=0),0,$I78/$M78)</f>
        <v>0</v>
      </c>
    </row>
    <row r="79" customFormat="false" ht="12.75" hidden="false" customHeight="true" outlineLevel="0" collapsed="false">
      <c r="A79" s="149" t="s">
        <v>296</v>
      </c>
      <c r="B79" s="150" t="str">
        <f aca="false">IFERROR(INDEX(Projects!$C$9:$C$16,MATCH($A79,Projects!$A$9:$A$16,0)),"")</f>
        <v>Commercial</v>
      </c>
      <c r="C79" s="94" t="n">
        <f aca="false">IF(Dashboard!$C$6="Corporate",1,IF(Dashboard!$C$6="Project",IF($A79=Dashboard!$M$6,1,0),IF($B79=Dashboard!$H$6,1,0)))</f>
        <v>1</v>
      </c>
      <c r="D79" s="199" t="n">
        <v>23</v>
      </c>
      <c r="E79" s="45" t="s">
        <v>1339</v>
      </c>
      <c r="F79" s="85" t="n">
        <v>46812</v>
      </c>
      <c r="G79" s="94" t="n">
        <f aca="false">IF($D79&lt;=Dashboard!$H$7,1,0)</f>
        <v>0</v>
      </c>
      <c r="H79" s="92" t="n">
        <v>0</v>
      </c>
      <c r="I79" s="92" t="n">
        <v>0</v>
      </c>
      <c r="J79" s="92" t="n">
        <v>0</v>
      </c>
      <c r="K79" s="92" t="n">
        <v>0</v>
      </c>
      <c r="L79" s="92" t="n">
        <v>0</v>
      </c>
      <c r="M79" s="92" t="n">
        <v>0</v>
      </c>
      <c r="N79" s="92" t="n">
        <v>0</v>
      </c>
      <c r="O79" s="92" t="n">
        <v>0</v>
      </c>
      <c r="P79" s="152" t="n">
        <f aca="false">IF(OR($G79=0,$H79=0),0,$I79/$H79)</f>
        <v>0</v>
      </c>
      <c r="Q79" s="152" t="n">
        <f aca="false">IF(OR($G79=0,$J79=0),0,$I79/$J79)</f>
        <v>0</v>
      </c>
      <c r="R79" s="44" t="n">
        <f aca="false">IF(OR($G79=0,$M79=0),0,$I79/$M79)</f>
        <v>0</v>
      </c>
    </row>
    <row r="80" customFormat="false" ht="12.75" hidden="false" customHeight="true" outlineLevel="0" collapsed="false">
      <c r="A80" s="47" t="s">
        <v>296</v>
      </c>
      <c r="B80" s="154" t="str">
        <f aca="false">IFERROR(INDEX(Projects!$C$9:$C$16,MATCH($A80,Projects!$A$9:$A$16,0)),"")</f>
        <v>Commercial</v>
      </c>
      <c r="C80" s="155" t="n">
        <f aca="false">IF(Dashboard!$C$6="Corporate",1,IF(Dashboard!$C$6="Project",IF($A80=Dashboard!$M$6,1,0),IF($B80=Dashboard!$H$6,1,0)))</f>
        <v>1</v>
      </c>
      <c r="D80" s="200" t="n">
        <v>24</v>
      </c>
      <c r="E80" s="51" t="s">
        <v>1340</v>
      </c>
      <c r="F80" s="98" t="n">
        <v>46843</v>
      </c>
      <c r="G80" s="155" t="n">
        <f aca="false">IF($D80&lt;=Dashboard!$H$7,1,0)</f>
        <v>0</v>
      </c>
      <c r="H80" s="99" t="n">
        <v>0</v>
      </c>
      <c r="I80" s="99" t="n">
        <v>0</v>
      </c>
      <c r="J80" s="99" t="n">
        <v>0</v>
      </c>
      <c r="K80" s="99" t="n">
        <v>0</v>
      </c>
      <c r="L80" s="99" t="n">
        <v>0</v>
      </c>
      <c r="M80" s="99" t="n">
        <v>0</v>
      </c>
      <c r="N80" s="99" t="n">
        <v>0</v>
      </c>
      <c r="O80" s="99" t="n">
        <v>0</v>
      </c>
      <c r="P80" s="157" t="n">
        <f aca="false">IF(OR($G80=0,$H80=0),0,$I80/$H80)</f>
        <v>0</v>
      </c>
      <c r="Q80" s="157" t="n">
        <f aca="false">IF(OR($G80=0,$J80=0),0,$I80/$J80)</f>
        <v>0</v>
      </c>
      <c r="R80" s="50" t="n">
        <f aca="false">IF(OR($G80=0,$M80=0),0,$I80/$M80)</f>
        <v>0</v>
      </c>
    </row>
    <row r="81" customFormat="false" ht="12.75" hidden="false" customHeight="true" outlineLevel="0" collapsed="false">
      <c r="A81" s="149" t="s">
        <v>298</v>
      </c>
      <c r="B81" s="150" t="str">
        <f aca="false">IFERROR(INDEX(Projects!$C$9:$C$16,MATCH($A81,Projects!$A$9:$A$16,0)),"")</f>
        <v>Commercial</v>
      </c>
      <c r="C81" s="94" t="n">
        <f aca="false">IF(Dashboard!$C$6="Corporate",1,IF(Dashboard!$C$6="Project",IF($A81=Dashboard!$M$6,1,0),IF($B81=Dashboard!$H$6,1,0)))</f>
        <v>1</v>
      </c>
      <c r="D81" s="199" t="n">
        <v>1</v>
      </c>
      <c r="E81" s="45" t="s">
        <v>1317</v>
      </c>
      <c r="F81" s="85" t="n">
        <v>46142</v>
      </c>
      <c r="G81" s="94" t="n">
        <f aca="false">IF($D81&lt;=Dashboard!$H$7,1,0)</f>
        <v>1</v>
      </c>
      <c r="H81" s="92" t="n">
        <v>0</v>
      </c>
      <c r="I81" s="92" t="n">
        <v>0</v>
      </c>
      <c r="J81" s="92" t="n">
        <v>0</v>
      </c>
      <c r="K81" s="92" t="n">
        <v>0</v>
      </c>
      <c r="L81" s="92" t="n">
        <v>0</v>
      </c>
      <c r="M81" s="92" t="n">
        <v>0</v>
      </c>
      <c r="N81" s="92" t="n">
        <v>0</v>
      </c>
      <c r="O81" s="92" t="n">
        <v>0</v>
      </c>
      <c r="P81" s="152" t="n">
        <f aca="false">IF(OR($G81=0,$H81=0),0,$I81/$H81)</f>
        <v>0</v>
      </c>
      <c r="Q81" s="152" t="n">
        <f aca="false">IF(OR($G81=0,$J81=0),0,$I81/$J81)</f>
        <v>0</v>
      </c>
      <c r="R81" s="44" t="n">
        <f aca="false">IF(OR($G81=0,$M81=0),0,$I81/$M81)</f>
        <v>0</v>
      </c>
    </row>
    <row r="82" customFormat="false" ht="12.75" hidden="false" customHeight="true" outlineLevel="0" collapsed="false">
      <c r="A82" s="47" t="s">
        <v>298</v>
      </c>
      <c r="B82" s="154" t="str">
        <f aca="false">IFERROR(INDEX(Projects!$C$9:$C$16,MATCH($A82,Projects!$A$9:$A$16,0)),"")</f>
        <v>Commercial</v>
      </c>
      <c r="C82" s="155" t="n">
        <f aca="false">IF(Dashboard!$C$6="Corporate",1,IF(Dashboard!$C$6="Project",IF($A82=Dashboard!$M$6,1,0),IF($B82=Dashboard!$H$6,1,0)))</f>
        <v>1</v>
      </c>
      <c r="D82" s="200" t="n">
        <v>2</v>
      </c>
      <c r="E82" s="51" t="s">
        <v>1318</v>
      </c>
      <c r="F82" s="98" t="n">
        <v>46173</v>
      </c>
      <c r="G82" s="155" t="n">
        <f aca="false">IF($D82&lt;=Dashboard!$H$7,1,0)</f>
        <v>1</v>
      </c>
      <c r="H82" s="99" t="n">
        <v>4164887</v>
      </c>
      <c r="I82" s="99" t="n">
        <v>4303490</v>
      </c>
      <c r="J82" s="99" t="n">
        <v>4178145</v>
      </c>
      <c r="K82" s="99" t="n">
        <v>3639661</v>
      </c>
      <c r="L82" s="99" t="n">
        <v>13015</v>
      </c>
      <c r="M82" s="99" t="n">
        <v>13275</v>
      </c>
      <c r="N82" s="99" t="n">
        <v>0</v>
      </c>
      <c r="O82" s="99" t="n">
        <v>0</v>
      </c>
      <c r="P82" s="157" t="n">
        <f aca="false">IF(OR($G82=0,$H82=0),0,$I82/$H82)</f>
        <v>1.03327893409833</v>
      </c>
      <c r="Q82" s="157" t="n">
        <f aca="false">IF(OR($G82=0,$J82=0),0,$I82/$J82)</f>
        <v>1.03000015557143</v>
      </c>
      <c r="R82" s="50" t="n">
        <f aca="false">IF(OR($G82=0,$M82=0),0,$I82/$M82)</f>
        <v>324.180037664783</v>
      </c>
    </row>
    <row r="83" customFormat="false" ht="12.75" hidden="false" customHeight="true" outlineLevel="0" collapsed="false">
      <c r="A83" s="149" t="s">
        <v>298</v>
      </c>
      <c r="B83" s="150" t="str">
        <f aca="false">IFERROR(INDEX(Projects!$C$9:$C$16,MATCH($A83,Projects!$A$9:$A$16,0)),"")</f>
        <v>Commercial</v>
      </c>
      <c r="C83" s="94" t="n">
        <f aca="false">IF(Dashboard!$C$6="Corporate",1,IF(Dashboard!$C$6="Project",IF($A83=Dashboard!$M$6,1,0),IF($B83=Dashboard!$H$6,1,0)))</f>
        <v>1</v>
      </c>
      <c r="D83" s="199" t="n">
        <v>3</v>
      </c>
      <c r="E83" s="45" t="s">
        <v>1319</v>
      </c>
      <c r="F83" s="85" t="n">
        <v>46203</v>
      </c>
      <c r="G83" s="94" t="n">
        <f aca="false">IF($D83&lt;=Dashboard!$H$7,1,0)</f>
        <v>1</v>
      </c>
      <c r="H83" s="92" t="n">
        <v>3815427</v>
      </c>
      <c r="I83" s="92" t="n">
        <v>3942400</v>
      </c>
      <c r="J83" s="92" t="n">
        <v>3874481</v>
      </c>
      <c r="K83" s="92" t="n">
        <v>3334271</v>
      </c>
      <c r="L83" s="92" t="n">
        <v>11923</v>
      </c>
      <c r="M83" s="92" t="n">
        <v>12161</v>
      </c>
      <c r="N83" s="92" t="n">
        <v>1</v>
      </c>
      <c r="O83" s="92" t="n">
        <v>1</v>
      </c>
      <c r="P83" s="152" t="n">
        <f aca="false">IF(OR($G83=0,$H83=0),0,$I83/$H83)</f>
        <v>1.03327884401929</v>
      </c>
      <c r="Q83" s="152" t="n">
        <f aca="false">IF(OR($G83=0,$J83=0),0,$I83/$J83)</f>
        <v>1.01752983173746</v>
      </c>
      <c r="R83" s="44" t="n">
        <f aca="false">IF(OR($G83=0,$M83=0),0,$I83/$M83)</f>
        <v>324.18386645835</v>
      </c>
    </row>
    <row r="84" customFormat="false" ht="12.75" hidden="false" customHeight="true" outlineLevel="0" collapsed="false">
      <c r="A84" s="47" t="s">
        <v>298</v>
      </c>
      <c r="B84" s="154" t="str">
        <f aca="false">IFERROR(INDEX(Projects!$C$9:$C$16,MATCH($A84,Projects!$A$9:$A$16,0)),"")</f>
        <v>Commercial</v>
      </c>
      <c r="C84" s="155" t="n">
        <f aca="false">IF(Dashboard!$C$6="Corporate",1,IF(Dashboard!$C$6="Project",IF($A84=Dashboard!$M$6,1,0),IF($B84=Dashboard!$H$6,1,0)))</f>
        <v>1</v>
      </c>
      <c r="D84" s="200" t="n">
        <v>4</v>
      </c>
      <c r="E84" s="51" t="s">
        <v>1320</v>
      </c>
      <c r="F84" s="98" t="n">
        <v>46234</v>
      </c>
      <c r="G84" s="155" t="n">
        <f aca="false">IF($D84&lt;=Dashboard!$H$7,1,0)</f>
        <v>1</v>
      </c>
      <c r="H84" s="99" t="n">
        <v>4274984</v>
      </c>
      <c r="I84" s="99" t="n">
        <v>4417250</v>
      </c>
      <c r="J84" s="99" t="n">
        <v>4386607</v>
      </c>
      <c r="K84" s="99" t="n">
        <v>3735873</v>
      </c>
      <c r="L84" s="99" t="n">
        <v>13359</v>
      </c>
      <c r="M84" s="99" t="n">
        <v>13626</v>
      </c>
      <c r="N84" s="99" t="n">
        <v>1</v>
      </c>
      <c r="O84" s="99" t="n">
        <v>1</v>
      </c>
      <c r="P84" s="157" t="n">
        <f aca="false">IF(OR($G84=0,$H84=0),0,$I84/$H84)</f>
        <v>1.03327872104317</v>
      </c>
      <c r="Q84" s="157" t="n">
        <f aca="false">IF(OR($G84=0,$J84=0),0,$I84/$J84)</f>
        <v>1.00698558133883</v>
      </c>
      <c r="R84" s="50" t="n">
        <f aca="false">IF(OR($G84=0,$M84=0),0,$I84/$M84)</f>
        <v>324.17804197857</v>
      </c>
    </row>
    <row r="85" customFormat="false" ht="12.75" hidden="false" customHeight="true" outlineLevel="0" collapsed="false">
      <c r="A85" s="149" t="s">
        <v>298</v>
      </c>
      <c r="B85" s="150" t="str">
        <f aca="false">IFERROR(INDEX(Projects!$C$9:$C$16,MATCH($A85,Projects!$A$9:$A$16,0)),"")</f>
        <v>Commercial</v>
      </c>
      <c r="C85" s="94" t="n">
        <f aca="false">IF(Dashboard!$C$6="Corporate",1,IF(Dashboard!$C$6="Project",IF($A85=Dashboard!$M$6,1,0),IF($B85=Dashboard!$H$6,1,0)))</f>
        <v>1</v>
      </c>
      <c r="D85" s="199" t="n">
        <v>5</v>
      </c>
      <c r="E85" s="45" t="s">
        <v>1321</v>
      </c>
      <c r="F85" s="85" t="n">
        <v>46265</v>
      </c>
      <c r="G85" s="94" t="n">
        <f aca="false">IF($D85&lt;=Dashboard!$H$7,1,0)</f>
        <v>1</v>
      </c>
      <c r="H85" s="92" t="n">
        <v>7069658</v>
      </c>
      <c r="I85" s="92" t="n">
        <v>7304877</v>
      </c>
      <c r="J85" s="92" t="n">
        <v>7291660</v>
      </c>
      <c r="K85" s="92" t="n">
        <v>6178075</v>
      </c>
      <c r="L85" s="92" t="n">
        <v>22091</v>
      </c>
      <c r="M85" s="92" t="n">
        <v>22535</v>
      </c>
      <c r="N85" s="92" t="n">
        <v>1</v>
      </c>
      <c r="O85" s="92" t="n">
        <v>0</v>
      </c>
      <c r="P85" s="152" t="n">
        <f aca="false">IF(OR($G85=0,$H85=0),0,$I85/$H85)</f>
        <v>1.03327162360612</v>
      </c>
      <c r="Q85" s="152" t="n">
        <f aca="false">IF(OR($G85=0,$J85=0),0,$I85/$J85)</f>
        <v>1.00181261880011</v>
      </c>
      <c r="R85" s="44" t="n">
        <f aca="false">IF(OR($G85=0,$M85=0),0,$I85/$M85)</f>
        <v>324.156955846461</v>
      </c>
    </row>
    <row r="86" customFormat="false" ht="12.75" hidden="false" customHeight="true" outlineLevel="0" collapsed="false">
      <c r="A86" s="47" t="s">
        <v>298</v>
      </c>
      <c r="B86" s="154" t="str">
        <f aca="false">IFERROR(INDEX(Projects!$C$9:$C$16,MATCH($A86,Projects!$A$9:$A$16,0)),"")</f>
        <v>Commercial</v>
      </c>
      <c r="C86" s="155" t="n">
        <f aca="false">IF(Dashboard!$C$6="Corporate",1,IF(Dashboard!$C$6="Project",IF($A86=Dashboard!$M$6,1,0),IF($B86=Dashboard!$H$6,1,0)))</f>
        <v>1</v>
      </c>
      <c r="D86" s="200" t="n">
        <v>6</v>
      </c>
      <c r="E86" s="51" t="s">
        <v>1322</v>
      </c>
      <c r="F86" s="98" t="n">
        <v>46295</v>
      </c>
      <c r="G86" s="155" t="n">
        <f aca="false">IF($D86&lt;=Dashboard!$H$7,1,0)</f>
        <v>0</v>
      </c>
      <c r="H86" s="99" t="n">
        <v>9106582</v>
      </c>
      <c r="I86" s="99" t="n">
        <v>0</v>
      </c>
      <c r="J86" s="99" t="n">
        <v>0</v>
      </c>
      <c r="K86" s="99" t="n">
        <v>0</v>
      </c>
      <c r="L86" s="99" t="n">
        <v>28459</v>
      </c>
      <c r="M86" s="99" t="n">
        <v>0</v>
      </c>
      <c r="N86" s="99" t="n">
        <v>0</v>
      </c>
      <c r="O86" s="99" t="n">
        <v>0</v>
      </c>
      <c r="P86" s="157" t="n">
        <f aca="false">IF(OR($G86=0,$H86=0),0,$I86/$H86)</f>
        <v>0</v>
      </c>
      <c r="Q86" s="157" t="n">
        <f aca="false">IF(OR($G86=0,$J86=0),0,$I86/$J86)</f>
        <v>0</v>
      </c>
      <c r="R86" s="50" t="n">
        <f aca="false">IF(OR($G86=0,$M86=0),0,$I86/$M86)</f>
        <v>0</v>
      </c>
    </row>
    <row r="87" customFormat="false" ht="12.75" hidden="false" customHeight="true" outlineLevel="0" collapsed="false">
      <c r="A87" s="149" t="s">
        <v>298</v>
      </c>
      <c r="B87" s="150" t="str">
        <f aca="false">IFERROR(INDEX(Projects!$C$9:$C$16,MATCH($A87,Projects!$A$9:$A$16,0)),"")</f>
        <v>Commercial</v>
      </c>
      <c r="C87" s="94" t="n">
        <f aca="false">IF(Dashboard!$C$6="Corporate",1,IF(Dashboard!$C$6="Project",IF($A87=Dashboard!$M$6,1,0),IF($B87=Dashboard!$H$6,1,0)))</f>
        <v>1</v>
      </c>
      <c r="D87" s="199" t="n">
        <v>7</v>
      </c>
      <c r="E87" s="45" t="s">
        <v>1323</v>
      </c>
      <c r="F87" s="85" t="n">
        <v>46326</v>
      </c>
      <c r="G87" s="94" t="n">
        <f aca="false">IF($D87&lt;=Dashboard!$H$7,1,0)</f>
        <v>0</v>
      </c>
      <c r="H87" s="92" t="n">
        <v>10694126</v>
      </c>
      <c r="I87" s="92" t="n">
        <v>0</v>
      </c>
      <c r="J87" s="92" t="n">
        <v>0</v>
      </c>
      <c r="K87" s="92" t="n">
        <v>0</v>
      </c>
      <c r="L87" s="92" t="n">
        <v>33419</v>
      </c>
      <c r="M87" s="92" t="n">
        <v>0</v>
      </c>
      <c r="N87" s="92" t="n">
        <v>0</v>
      </c>
      <c r="O87" s="92" t="n">
        <v>0</v>
      </c>
      <c r="P87" s="152" t="n">
        <f aca="false">IF(OR($G87=0,$H87=0),0,$I87/$H87)</f>
        <v>0</v>
      </c>
      <c r="Q87" s="152" t="n">
        <f aca="false">IF(OR($G87=0,$J87=0),0,$I87/$J87)</f>
        <v>0</v>
      </c>
      <c r="R87" s="44" t="n">
        <f aca="false">IF(OR($G87=0,$M87=0),0,$I87/$M87)</f>
        <v>0</v>
      </c>
    </row>
    <row r="88" customFormat="false" ht="12.75" hidden="false" customHeight="true" outlineLevel="0" collapsed="false">
      <c r="A88" s="47" t="s">
        <v>298</v>
      </c>
      <c r="B88" s="154" t="str">
        <f aca="false">IFERROR(INDEX(Projects!$C$9:$C$16,MATCH($A88,Projects!$A$9:$A$16,0)),"")</f>
        <v>Commercial</v>
      </c>
      <c r="C88" s="155" t="n">
        <f aca="false">IF(Dashboard!$C$6="Corporate",1,IF(Dashboard!$C$6="Project",IF($A88=Dashboard!$M$6,1,0),IF($B88=Dashboard!$H$6,1,0)))</f>
        <v>1</v>
      </c>
      <c r="D88" s="200" t="n">
        <v>8</v>
      </c>
      <c r="E88" s="51" t="s">
        <v>1324</v>
      </c>
      <c r="F88" s="98" t="n">
        <v>46356</v>
      </c>
      <c r="G88" s="155" t="n">
        <f aca="false">IF($D88&lt;=Dashboard!$H$7,1,0)</f>
        <v>0</v>
      </c>
      <c r="H88" s="99" t="n">
        <v>11754822</v>
      </c>
      <c r="I88" s="99" t="n">
        <v>0</v>
      </c>
      <c r="J88" s="99" t="n">
        <v>0</v>
      </c>
      <c r="K88" s="99" t="n">
        <v>0</v>
      </c>
      <c r="L88" s="99" t="n">
        <v>36734</v>
      </c>
      <c r="M88" s="99" t="n">
        <v>0</v>
      </c>
      <c r="N88" s="99" t="n">
        <v>0</v>
      </c>
      <c r="O88" s="99" t="n">
        <v>0</v>
      </c>
      <c r="P88" s="157" t="n">
        <f aca="false">IF(OR($G88=0,$H88=0),0,$I88/$H88)</f>
        <v>0</v>
      </c>
      <c r="Q88" s="157" t="n">
        <f aca="false">IF(OR($G88=0,$J88=0),0,$I88/$J88)</f>
        <v>0</v>
      </c>
      <c r="R88" s="50" t="n">
        <f aca="false">IF(OR($G88=0,$M88=0),0,$I88/$M88)</f>
        <v>0</v>
      </c>
    </row>
    <row r="89" customFormat="false" ht="12.75" hidden="false" customHeight="true" outlineLevel="0" collapsed="false">
      <c r="A89" s="149" t="s">
        <v>298</v>
      </c>
      <c r="B89" s="150" t="str">
        <f aca="false">IFERROR(INDEX(Projects!$C$9:$C$16,MATCH($A89,Projects!$A$9:$A$16,0)),"")</f>
        <v>Commercial</v>
      </c>
      <c r="C89" s="94" t="n">
        <f aca="false">IF(Dashboard!$C$6="Corporate",1,IF(Dashboard!$C$6="Project",IF($A89=Dashboard!$M$6,1,0),IF($B89=Dashboard!$H$6,1,0)))</f>
        <v>1</v>
      </c>
      <c r="D89" s="199" t="n">
        <v>9</v>
      </c>
      <c r="E89" s="45" t="s">
        <v>1325</v>
      </c>
      <c r="F89" s="85" t="n">
        <v>46387</v>
      </c>
      <c r="G89" s="94" t="n">
        <f aca="false">IF($D89&lt;=Dashboard!$H$7,1,0)</f>
        <v>0</v>
      </c>
      <c r="H89" s="92" t="n">
        <v>12525202</v>
      </c>
      <c r="I89" s="92" t="n">
        <v>0</v>
      </c>
      <c r="J89" s="92" t="n">
        <v>0</v>
      </c>
      <c r="K89" s="92" t="n">
        <v>0</v>
      </c>
      <c r="L89" s="92" t="n">
        <v>39141</v>
      </c>
      <c r="M89" s="92" t="n">
        <v>0</v>
      </c>
      <c r="N89" s="92" t="n">
        <v>0</v>
      </c>
      <c r="O89" s="92" t="n">
        <v>0</v>
      </c>
      <c r="P89" s="152" t="n">
        <f aca="false">IF(OR($G89=0,$H89=0),0,$I89/$H89)</f>
        <v>0</v>
      </c>
      <c r="Q89" s="152" t="n">
        <f aca="false">IF(OR($G89=0,$J89=0),0,$I89/$J89)</f>
        <v>0</v>
      </c>
      <c r="R89" s="44" t="n">
        <f aca="false">IF(OR($G89=0,$M89=0),0,$I89/$M89)</f>
        <v>0</v>
      </c>
    </row>
    <row r="90" customFormat="false" ht="12.75" hidden="false" customHeight="true" outlineLevel="0" collapsed="false">
      <c r="A90" s="47" t="s">
        <v>298</v>
      </c>
      <c r="B90" s="154" t="str">
        <f aca="false">IFERROR(INDEX(Projects!$C$9:$C$16,MATCH($A90,Projects!$A$9:$A$16,0)),"")</f>
        <v>Commercial</v>
      </c>
      <c r="C90" s="155" t="n">
        <f aca="false">IF(Dashboard!$C$6="Corporate",1,IF(Dashboard!$C$6="Project",IF($A90=Dashboard!$M$6,1,0),IF($B90=Dashboard!$H$6,1,0)))</f>
        <v>1</v>
      </c>
      <c r="D90" s="200" t="n">
        <v>10</v>
      </c>
      <c r="E90" s="51" t="s">
        <v>1326</v>
      </c>
      <c r="F90" s="98" t="n">
        <v>46418</v>
      </c>
      <c r="G90" s="155" t="n">
        <f aca="false">IF($D90&lt;=Dashboard!$H$7,1,0)</f>
        <v>0</v>
      </c>
      <c r="H90" s="99" t="n">
        <v>11584565</v>
      </c>
      <c r="I90" s="99" t="n">
        <v>0</v>
      </c>
      <c r="J90" s="99" t="n">
        <v>0</v>
      </c>
      <c r="K90" s="99" t="n">
        <v>0</v>
      </c>
      <c r="L90" s="99" t="n">
        <v>36202</v>
      </c>
      <c r="M90" s="99" t="n">
        <v>0</v>
      </c>
      <c r="N90" s="99" t="n">
        <v>0</v>
      </c>
      <c r="O90" s="99" t="n">
        <v>0</v>
      </c>
      <c r="P90" s="157" t="n">
        <f aca="false">IF(OR($G90=0,$H90=0),0,$I90/$H90)</f>
        <v>0</v>
      </c>
      <c r="Q90" s="157" t="n">
        <f aca="false">IF(OR($G90=0,$J90=0),0,$I90/$J90)</f>
        <v>0</v>
      </c>
      <c r="R90" s="50" t="n">
        <f aca="false">IF(OR($G90=0,$M90=0),0,$I90/$M90)</f>
        <v>0</v>
      </c>
    </row>
    <row r="91" customFormat="false" ht="12.75" hidden="false" customHeight="true" outlineLevel="0" collapsed="false">
      <c r="A91" s="149" t="s">
        <v>298</v>
      </c>
      <c r="B91" s="150" t="str">
        <f aca="false">IFERROR(INDEX(Projects!$C$9:$C$16,MATCH($A91,Projects!$A$9:$A$16,0)),"")</f>
        <v>Commercial</v>
      </c>
      <c r="C91" s="94" t="n">
        <f aca="false">IF(Dashboard!$C$6="Corporate",1,IF(Dashboard!$C$6="Project",IF($A91=Dashboard!$M$6,1,0),IF($B91=Dashboard!$H$6,1,0)))</f>
        <v>1</v>
      </c>
      <c r="D91" s="199" t="n">
        <v>11</v>
      </c>
      <c r="E91" s="45" t="s">
        <v>1327</v>
      </c>
      <c r="F91" s="85" t="n">
        <v>46446</v>
      </c>
      <c r="G91" s="94" t="n">
        <f aca="false">IF($D91&lt;=Dashboard!$H$7,1,0)</f>
        <v>0</v>
      </c>
      <c r="H91" s="92" t="n">
        <v>10585098</v>
      </c>
      <c r="I91" s="92" t="n">
        <v>0</v>
      </c>
      <c r="J91" s="92" t="n">
        <v>0</v>
      </c>
      <c r="K91" s="92" t="n">
        <v>0</v>
      </c>
      <c r="L91" s="92" t="n">
        <v>33078</v>
      </c>
      <c r="M91" s="92" t="n">
        <v>0</v>
      </c>
      <c r="N91" s="92" t="n">
        <v>0</v>
      </c>
      <c r="O91" s="92" t="n">
        <v>0</v>
      </c>
      <c r="P91" s="152" t="n">
        <f aca="false">IF(OR($G91=0,$H91=0),0,$I91/$H91)</f>
        <v>0</v>
      </c>
      <c r="Q91" s="152" t="n">
        <f aca="false">IF(OR($G91=0,$J91=0),0,$I91/$J91)</f>
        <v>0</v>
      </c>
      <c r="R91" s="44" t="n">
        <f aca="false">IF(OR($G91=0,$M91=0),0,$I91/$M91)</f>
        <v>0</v>
      </c>
    </row>
    <row r="92" customFormat="false" ht="12.75" hidden="false" customHeight="true" outlineLevel="0" collapsed="false">
      <c r="A92" s="47" t="s">
        <v>298</v>
      </c>
      <c r="B92" s="154" t="str">
        <f aca="false">IFERROR(INDEX(Projects!$C$9:$C$16,MATCH($A92,Projects!$A$9:$A$16,0)),"")</f>
        <v>Commercial</v>
      </c>
      <c r="C92" s="155" t="n">
        <f aca="false">IF(Dashboard!$C$6="Corporate",1,IF(Dashboard!$C$6="Project",IF($A92=Dashboard!$M$6,1,0),IF($B92=Dashboard!$H$6,1,0)))</f>
        <v>1</v>
      </c>
      <c r="D92" s="200" t="n">
        <v>12</v>
      </c>
      <c r="E92" s="51" t="s">
        <v>1328</v>
      </c>
      <c r="F92" s="98" t="n">
        <v>46477</v>
      </c>
      <c r="G92" s="155" t="n">
        <f aca="false">IF($D92&lt;=Dashboard!$H$7,1,0)</f>
        <v>0</v>
      </c>
      <c r="H92" s="99" t="n">
        <v>8179641</v>
      </c>
      <c r="I92" s="99" t="n">
        <v>0</v>
      </c>
      <c r="J92" s="99" t="n">
        <v>0</v>
      </c>
      <c r="K92" s="99" t="n">
        <v>0</v>
      </c>
      <c r="L92" s="99" t="n">
        <v>25561</v>
      </c>
      <c r="M92" s="99" t="n">
        <v>0</v>
      </c>
      <c r="N92" s="99" t="n">
        <v>0</v>
      </c>
      <c r="O92" s="99" t="n">
        <v>0</v>
      </c>
      <c r="P92" s="157" t="n">
        <f aca="false">IF(OR($G92=0,$H92=0),0,$I92/$H92)</f>
        <v>0</v>
      </c>
      <c r="Q92" s="157" t="n">
        <f aca="false">IF(OR($G92=0,$J92=0),0,$I92/$J92)</f>
        <v>0</v>
      </c>
      <c r="R92" s="50" t="n">
        <f aca="false">IF(OR($G92=0,$M92=0),0,$I92/$M92)</f>
        <v>0</v>
      </c>
    </row>
    <row r="93" customFormat="false" ht="12.75" hidden="false" customHeight="true" outlineLevel="0" collapsed="false">
      <c r="A93" s="149" t="s">
        <v>298</v>
      </c>
      <c r="B93" s="150" t="str">
        <f aca="false">IFERROR(INDEX(Projects!$C$9:$C$16,MATCH($A93,Projects!$A$9:$A$16,0)),"")</f>
        <v>Commercial</v>
      </c>
      <c r="C93" s="94" t="n">
        <f aca="false">IF(Dashboard!$C$6="Corporate",1,IF(Dashboard!$C$6="Project",IF($A93=Dashboard!$M$6,1,0),IF($B93=Dashboard!$H$6,1,0)))</f>
        <v>1</v>
      </c>
      <c r="D93" s="199" t="n">
        <v>13</v>
      </c>
      <c r="E93" s="45" t="s">
        <v>1329</v>
      </c>
      <c r="F93" s="85" t="n">
        <v>46507</v>
      </c>
      <c r="G93" s="94" t="n">
        <f aca="false">IF($D93&lt;=Dashboard!$H$7,1,0)</f>
        <v>0</v>
      </c>
      <c r="H93" s="92" t="n">
        <v>5009615</v>
      </c>
      <c r="I93" s="92" t="n">
        <v>0</v>
      </c>
      <c r="J93" s="92" t="n">
        <v>0</v>
      </c>
      <c r="K93" s="92" t="n">
        <v>0</v>
      </c>
      <c r="L93" s="92" t="n">
        <v>15655</v>
      </c>
      <c r="M93" s="92" t="n">
        <v>0</v>
      </c>
      <c r="N93" s="92" t="n">
        <v>0</v>
      </c>
      <c r="O93" s="92" t="n">
        <v>0</v>
      </c>
      <c r="P93" s="152" t="n">
        <f aca="false">IF(OR($G93=0,$H93=0),0,$I93/$H93)</f>
        <v>0</v>
      </c>
      <c r="Q93" s="152" t="n">
        <f aca="false">IF(OR($G93=0,$J93=0),0,$I93/$J93)</f>
        <v>0</v>
      </c>
      <c r="R93" s="44" t="n">
        <f aca="false">IF(OR($G93=0,$M93=0),0,$I93/$M93)</f>
        <v>0</v>
      </c>
    </row>
    <row r="94" customFormat="false" ht="12.75" hidden="false" customHeight="true" outlineLevel="0" collapsed="false">
      <c r="A94" s="47" t="s">
        <v>298</v>
      </c>
      <c r="B94" s="154" t="str">
        <f aca="false">IFERROR(INDEX(Projects!$C$9:$C$16,MATCH($A94,Projects!$A$9:$A$16,0)),"")</f>
        <v>Commercial</v>
      </c>
      <c r="C94" s="155" t="n">
        <f aca="false">IF(Dashboard!$C$6="Corporate",1,IF(Dashboard!$C$6="Project",IF($A94=Dashboard!$M$6,1,0),IF($B94=Dashboard!$H$6,1,0)))</f>
        <v>1</v>
      </c>
      <c r="D94" s="200" t="n">
        <v>14</v>
      </c>
      <c r="E94" s="51" t="s">
        <v>1330</v>
      </c>
      <c r="F94" s="98" t="n">
        <v>46538</v>
      </c>
      <c r="G94" s="155" t="n">
        <f aca="false">IF($D94&lt;=Dashboard!$H$7,1,0)</f>
        <v>0</v>
      </c>
      <c r="H94" s="99" t="n">
        <v>6561732</v>
      </c>
      <c r="I94" s="99" t="n">
        <v>0</v>
      </c>
      <c r="J94" s="99" t="n">
        <v>0</v>
      </c>
      <c r="K94" s="99" t="n">
        <v>0</v>
      </c>
      <c r="L94" s="99" t="n">
        <v>20505</v>
      </c>
      <c r="M94" s="99" t="n">
        <v>0</v>
      </c>
      <c r="N94" s="99" t="n">
        <v>0</v>
      </c>
      <c r="O94" s="99" t="n">
        <v>0</v>
      </c>
      <c r="P94" s="157" t="n">
        <f aca="false">IF(OR($G94=0,$H94=0),0,$I94/$H94)</f>
        <v>0</v>
      </c>
      <c r="Q94" s="157" t="n">
        <f aca="false">IF(OR($G94=0,$J94=0),0,$I94/$J94)</f>
        <v>0</v>
      </c>
      <c r="R94" s="50" t="n">
        <f aca="false">IF(OR($G94=0,$M94=0),0,$I94/$M94)</f>
        <v>0</v>
      </c>
    </row>
    <row r="95" customFormat="false" ht="12.75" hidden="false" customHeight="true" outlineLevel="0" collapsed="false">
      <c r="A95" s="149" t="s">
        <v>298</v>
      </c>
      <c r="B95" s="150" t="str">
        <f aca="false">IFERROR(INDEX(Projects!$C$9:$C$16,MATCH($A95,Projects!$A$9:$A$16,0)),"")</f>
        <v>Commercial</v>
      </c>
      <c r="C95" s="94" t="n">
        <f aca="false">IF(Dashboard!$C$6="Corporate",1,IF(Dashboard!$C$6="Project",IF($A95=Dashboard!$M$6,1,0),IF($B95=Dashboard!$H$6,1,0)))</f>
        <v>1</v>
      </c>
      <c r="D95" s="199" t="n">
        <v>15</v>
      </c>
      <c r="E95" s="45" t="s">
        <v>1331</v>
      </c>
      <c r="F95" s="85" t="n">
        <v>46568</v>
      </c>
      <c r="G95" s="94" t="n">
        <f aca="false">IF($D95&lt;=Dashboard!$H$7,1,0)</f>
        <v>0</v>
      </c>
      <c r="H95" s="92" t="n">
        <v>4491920</v>
      </c>
      <c r="I95" s="92" t="n">
        <v>0</v>
      </c>
      <c r="J95" s="92" t="n">
        <v>0</v>
      </c>
      <c r="K95" s="92" t="n">
        <v>0</v>
      </c>
      <c r="L95" s="92" t="n">
        <v>14037</v>
      </c>
      <c r="M95" s="92" t="n">
        <v>0</v>
      </c>
      <c r="N95" s="92" t="n">
        <v>0</v>
      </c>
      <c r="O95" s="92" t="n">
        <v>0</v>
      </c>
      <c r="P95" s="152" t="n">
        <f aca="false">IF(OR($G95=0,$H95=0),0,$I95/$H95)</f>
        <v>0</v>
      </c>
      <c r="Q95" s="152" t="n">
        <f aca="false">IF(OR($G95=0,$J95=0),0,$I95/$J95)</f>
        <v>0</v>
      </c>
      <c r="R95" s="44" t="n">
        <f aca="false">IF(OR($G95=0,$M95=0),0,$I95/$M95)</f>
        <v>0</v>
      </c>
    </row>
    <row r="96" customFormat="false" ht="12.75" hidden="false" customHeight="true" outlineLevel="0" collapsed="false">
      <c r="A96" s="47" t="s">
        <v>298</v>
      </c>
      <c r="B96" s="154" t="str">
        <f aca="false">IFERROR(INDEX(Projects!$C$9:$C$16,MATCH($A96,Projects!$A$9:$A$16,0)),"")</f>
        <v>Commercial</v>
      </c>
      <c r="C96" s="155" t="n">
        <f aca="false">IF(Dashboard!$C$6="Corporate",1,IF(Dashboard!$C$6="Project",IF($A96=Dashboard!$M$6,1,0),IF($B96=Dashboard!$H$6,1,0)))</f>
        <v>1</v>
      </c>
      <c r="D96" s="200" t="n">
        <v>16</v>
      </c>
      <c r="E96" s="51" t="s">
        <v>1332</v>
      </c>
      <c r="F96" s="98" t="n">
        <v>46599</v>
      </c>
      <c r="G96" s="155" t="n">
        <f aca="false">IF($D96&lt;=Dashboard!$H$7,1,0)</f>
        <v>0</v>
      </c>
      <c r="H96" s="99" t="n">
        <v>0</v>
      </c>
      <c r="I96" s="99" t="n">
        <v>0</v>
      </c>
      <c r="J96" s="99" t="n">
        <v>0</v>
      </c>
      <c r="K96" s="99" t="n">
        <v>0</v>
      </c>
      <c r="L96" s="99" t="n">
        <v>0</v>
      </c>
      <c r="M96" s="99" t="n">
        <v>0</v>
      </c>
      <c r="N96" s="99" t="n">
        <v>0</v>
      </c>
      <c r="O96" s="99" t="n">
        <v>0</v>
      </c>
      <c r="P96" s="157" t="n">
        <f aca="false">IF(OR($G96=0,$H96=0),0,$I96/$H96)</f>
        <v>0</v>
      </c>
      <c r="Q96" s="157" t="n">
        <f aca="false">IF(OR($G96=0,$J96=0),0,$I96/$J96)</f>
        <v>0</v>
      </c>
      <c r="R96" s="50" t="n">
        <f aca="false">IF(OR($G96=0,$M96=0),0,$I96/$M96)</f>
        <v>0</v>
      </c>
    </row>
    <row r="97" customFormat="false" ht="12.75" hidden="false" customHeight="true" outlineLevel="0" collapsed="false">
      <c r="A97" s="149" t="s">
        <v>298</v>
      </c>
      <c r="B97" s="150" t="str">
        <f aca="false">IFERROR(INDEX(Projects!$C$9:$C$16,MATCH($A97,Projects!$A$9:$A$16,0)),"")</f>
        <v>Commercial</v>
      </c>
      <c r="C97" s="94" t="n">
        <f aca="false">IF(Dashboard!$C$6="Corporate",1,IF(Dashboard!$C$6="Project",IF($A97=Dashboard!$M$6,1,0),IF($B97=Dashboard!$H$6,1,0)))</f>
        <v>1</v>
      </c>
      <c r="D97" s="199" t="n">
        <v>17</v>
      </c>
      <c r="E97" s="45" t="s">
        <v>1333</v>
      </c>
      <c r="F97" s="85" t="n">
        <v>46630</v>
      </c>
      <c r="G97" s="94" t="n">
        <f aca="false">IF($D97&lt;=Dashboard!$H$7,1,0)</f>
        <v>0</v>
      </c>
      <c r="H97" s="92" t="n">
        <v>0</v>
      </c>
      <c r="I97" s="92" t="n">
        <v>0</v>
      </c>
      <c r="J97" s="92" t="n">
        <v>0</v>
      </c>
      <c r="K97" s="92" t="n">
        <v>0</v>
      </c>
      <c r="L97" s="92" t="n">
        <v>0</v>
      </c>
      <c r="M97" s="92" t="n">
        <v>0</v>
      </c>
      <c r="N97" s="92" t="n">
        <v>0</v>
      </c>
      <c r="O97" s="92" t="n">
        <v>0</v>
      </c>
      <c r="P97" s="152" t="n">
        <f aca="false">IF(OR($G97=0,$H97=0),0,$I97/$H97)</f>
        <v>0</v>
      </c>
      <c r="Q97" s="152" t="n">
        <f aca="false">IF(OR($G97=0,$J97=0),0,$I97/$J97)</f>
        <v>0</v>
      </c>
      <c r="R97" s="44" t="n">
        <f aca="false">IF(OR($G97=0,$M97=0),0,$I97/$M97)</f>
        <v>0</v>
      </c>
    </row>
    <row r="98" customFormat="false" ht="12.75" hidden="false" customHeight="true" outlineLevel="0" collapsed="false">
      <c r="A98" s="47" t="s">
        <v>298</v>
      </c>
      <c r="B98" s="154" t="str">
        <f aca="false">IFERROR(INDEX(Projects!$C$9:$C$16,MATCH($A98,Projects!$A$9:$A$16,0)),"")</f>
        <v>Commercial</v>
      </c>
      <c r="C98" s="155" t="n">
        <f aca="false">IF(Dashboard!$C$6="Corporate",1,IF(Dashboard!$C$6="Project",IF($A98=Dashboard!$M$6,1,0),IF($B98=Dashboard!$H$6,1,0)))</f>
        <v>1</v>
      </c>
      <c r="D98" s="200" t="n">
        <v>18</v>
      </c>
      <c r="E98" s="51" t="s">
        <v>1334</v>
      </c>
      <c r="F98" s="98" t="n">
        <v>46660</v>
      </c>
      <c r="G98" s="155" t="n">
        <f aca="false">IF($D98&lt;=Dashboard!$H$7,1,0)</f>
        <v>0</v>
      </c>
      <c r="H98" s="99" t="n">
        <v>0</v>
      </c>
      <c r="I98" s="99" t="n">
        <v>0</v>
      </c>
      <c r="J98" s="99" t="n">
        <v>0</v>
      </c>
      <c r="K98" s="99" t="n">
        <v>0</v>
      </c>
      <c r="L98" s="99" t="n">
        <v>0</v>
      </c>
      <c r="M98" s="99" t="n">
        <v>0</v>
      </c>
      <c r="N98" s="99" t="n">
        <v>0</v>
      </c>
      <c r="O98" s="99" t="n">
        <v>0</v>
      </c>
      <c r="P98" s="157" t="n">
        <f aca="false">IF(OR($G98=0,$H98=0),0,$I98/$H98)</f>
        <v>0</v>
      </c>
      <c r="Q98" s="157" t="n">
        <f aca="false">IF(OR($G98=0,$J98=0),0,$I98/$J98)</f>
        <v>0</v>
      </c>
      <c r="R98" s="50" t="n">
        <f aca="false">IF(OR($G98=0,$M98=0),0,$I98/$M98)</f>
        <v>0</v>
      </c>
    </row>
    <row r="99" customFormat="false" ht="12.75" hidden="false" customHeight="true" outlineLevel="0" collapsed="false">
      <c r="A99" s="149" t="s">
        <v>298</v>
      </c>
      <c r="B99" s="150" t="str">
        <f aca="false">IFERROR(INDEX(Projects!$C$9:$C$16,MATCH($A99,Projects!$A$9:$A$16,0)),"")</f>
        <v>Commercial</v>
      </c>
      <c r="C99" s="94" t="n">
        <f aca="false">IF(Dashboard!$C$6="Corporate",1,IF(Dashboard!$C$6="Project",IF($A99=Dashboard!$M$6,1,0),IF($B99=Dashboard!$H$6,1,0)))</f>
        <v>1</v>
      </c>
      <c r="D99" s="199" t="n">
        <v>19</v>
      </c>
      <c r="E99" s="45" t="s">
        <v>1335</v>
      </c>
      <c r="F99" s="85" t="n">
        <v>46691</v>
      </c>
      <c r="G99" s="94" t="n">
        <f aca="false">IF($D99&lt;=Dashboard!$H$7,1,0)</f>
        <v>0</v>
      </c>
      <c r="H99" s="92" t="n">
        <v>0</v>
      </c>
      <c r="I99" s="92" t="n">
        <v>0</v>
      </c>
      <c r="J99" s="92" t="n">
        <v>0</v>
      </c>
      <c r="K99" s="92" t="n">
        <v>0</v>
      </c>
      <c r="L99" s="92" t="n">
        <v>0</v>
      </c>
      <c r="M99" s="92" t="n">
        <v>0</v>
      </c>
      <c r="N99" s="92" t="n">
        <v>0</v>
      </c>
      <c r="O99" s="92" t="n">
        <v>0</v>
      </c>
      <c r="P99" s="152" t="n">
        <f aca="false">IF(OR($G99=0,$H99=0),0,$I99/$H99)</f>
        <v>0</v>
      </c>
      <c r="Q99" s="152" t="n">
        <f aca="false">IF(OR($G99=0,$J99=0),0,$I99/$J99)</f>
        <v>0</v>
      </c>
      <c r="R99" s="44" t="n">
        <f aca="false">IF(OR($G99=0,$M99=0),0,$I99/$M99)</f>
        <v>0</v>
      </c>
    </row>
    <row r="100" customFormat="false" ht="12.75" hidden="false" customHeight="true" outlineLevel="0" collapsed="false">
      <c r="A100" s="47" t="s">
        <v>298</v>
      </c>
      <c r="B100" s="154" t="str">
        <f aca="false">IFERROR(INDEX(Projects!$C$9:$C$16,MATCH($A100,Projects!$A$9:$A$16,0)),"")</f>
        <v>Commercial</v>
      </c>
      <c r="C100" s="155" t="n">
        <f aca="false">IF(Dashboard!$C$6="Corporate",1,IF(Dashboard!$C$6="Project",IF($A100=Dashboard!$M$6,1,0),IF($B100=Dashboard!$H$6,1,0)))</f>
        <v>1</v>
      </c>
      <c r="D100" s="200" t="n">
        <v>20</v>
      </c>
      <c r="E100" s="51" t="s">
        <v>1336</v>
      </c>
      <c r="F100" s="98" t="n">
        <v>46721</v>
      </c>
      <c r="G100" s="155" t="n">
        <f aca="false">IF($D100&lt;=Dashboard!$H$7,1,0)</f>
        <v>0</v>
      </c>
      <c r="H100" s="99" t="n">
        <v>0</v>
      </c>
      <c r="I100" s="99" t="n">
        <v>0</v>
      </c>
      <c r="J100" s="99" t="n">
        <v>0</v>
      </c>
      <c r="K100" s="99" t="n">
        <v>0</v>
      </c>
      <c r="L100" s="99" t="n">
        <v>0</v>
      </c>
      <c r="M100" s="99" t="n">
        <v>0</v>
      </c>
      <c r="N100" s="99" t="n">
        <v>0</v>
      </c>
      <c r="O100" s="99" t="n">
        <v>0</v>
      </c>
      <c r="P100" s="157" t="n">
        <f aca="false">IF(OR($G100=0,$H100=0),0,$I100/$H100)</f>
        <v>0</v>
      </c>
      <c r="Q100" s="157" t="n">
        <f aca="false">IF(OR($G100=0,$J100=0),0,$I100/$J100)</f>
        <v>0</v>
      </c>
      <c r="R100" s="50" t="n">
        <f aca="false">IF(OR($G100=0,$M100=0),0,$I100/$M100)</f>
        <v>0</v>
      </c>
    </row>
    <row r="101" customFormat="false" ht="12.75" hidden="false" customHeight="true" outlineLevel="0" collapsed="false">
      <c r="A101" s="149" t="s">
        <v>298</v>
      </c>
      <c r="B101" s="150" t="str">
        <f aca="false">IFERROR(INDEX(Projects!$C$9:$C$16,MATCH($A101,Projects!$A$9:$A$16,0)),"")</f>
        <v>Commercial</v>
      </c>
      <c r="C101" s="94" t="n">
        <f aca="false">IF(Dashboard!$C$6="Corporate",1,IF(Dashboard!$C$6="Project",IF($A101=Dashboard!$M$6,1,0),IF($B101=Dashboard!$H$6,1,0)))</f>
        <v>1</v>
      </c>
      <c r="D101" s="199" t="n">
        <v>21</v>
      </c>
      <c r="E101" s="45" t="s">
        <v>1337</v>
      </c>
      <c r="F101" s="85" t="n">
        <v>46752</v>
      </c>
      <c r="G101" s="94" t="n">
        <f aca="false">IF($D101&lt;=Dashboard!$H$7,1,0)</f>
        <v>0</v>
      </c>
      <c r="H101" s="92" t="n">
        <v>0</v>
      </c>
      <c r="I101" s="92" t="n">
        <v>0</v>
      </c>
      <c r="J101" s="92" t="n">
        <v>0</v>
      </c>
      <c r="K101" s="92" t="n">
        <v>0</v>
      </c>
      <c r="L101" s="92" t="n">
        <v>0</v>
      </c>
      <c r="M101" s="92" t="n">
        <v>0</v>
      </c>
      <c r="N101" s="92" t="n">
        <v>0</v>
      </c>
      <c r="O101" s="92" t="n">
        <v>0</v>
      </c>
      <c r="P101" s="152" t="n">
        <f aca="false">IF(OR($G101=0,$H101=0),0,$I101/$H101)</f>
        <v>0</v>
      </c>
      <c r="Q101" s="152" t="n">
        <f aca="false">IF(OR($G101=0,$J101=0),0,$I101/$J101)</f>
        <v>0</v>
      </c>
      <c r="R101" s="44" t="n">
        <f aca="false">IF(OR($G101=0,$M101=0),0,$I101/$M101)</f>
        <v>0</v>
      </c>
    </row>
    <row r="102" customFormat="false" ht="12.75" hidden="false" customHeight="true" outlineLevel="0" collapsed="false">
      <c r="A102" s="47" t="s">
        <v>298</v>
      </c>
      <c r="B102" s="154" t="str">
        <f aca="false">IFERROR(INDEX(Projects!$C$9:$C$16,MATCH($A102,Projects!$A$9:$A$16,0)),"")</f>
        <v>Commercial</v>
      </c>
      <c r="C102" s="155" t="n">
        <f aca="false">IF(Dashboard!$C$6="Corporate",1,IF(Dashboard!$C$6="Project",IF($A102=Dashboard!$M$6,1,0),IF($B102=Dashboard!$H$6,1,0)))</f>
        <v>1</v>
      </c>
      <c r="D102" s="200" t="n">
        <v>22</v>
      </c>
      <c r="E102" s="51" t="s">
        <v>1338</v>
      </c>
      <c r="F102" s="98" t="n">
        <v>46783</v>
      </c>
      <c r="G102" s="155" t="n">
        <f aca="false">IF($D102&lt;=Dashboard!$H$7,1,0)</f>
        <v>0</v>
      </c>
      <c r="H102" s="99" t="n">
        <v>0</v>
      </c>
      <c r="I102" s="99" t="n">
        <v>0</v>
      </c>
      <c r="J102" s="99" t="n">
        <v>0</v>
      </c>
      <c r="K102" s="99" t="n">
        <v>0</v>
      </c>
      <c r="L102" s="99" t="n">
        <v>0</v>
      </c>
      <c r="M102" s="99" t="n">
        <v>0</v>
      </c>
      <c r="N102" s="99" t="n">
        <v>0</v>
      </c>
      <c r="O102" s="99" t="n">
        <v>0</v>
      </c>
      <c r="P102" s="157" t="n">
        <f aca="false">IF(OR($G102=0,$H102=0),0,$I102/$H102)</f>
        <v>0</v>
      </c>
      <c r="Q102" s="157" t="n">
        <f aca="false">IF(OR($G102=0,$J102=0),0,$I102/$J102)</f>
        <v>0</v>
      </c>
      <c r="R102" s="50" t="n">
        <f aca="false">IF(OR($G102=0,$M102=0),0,$I102/$M102)</f>
        <v>0</v>
      </c>
    </row>
    <row r="103" customFormat="false" ht="12.75" hidden="false" customHeight="true" outlineLevel="0" collapsed="false">
      <c r="A103" s="149" t="s">
        <v>298</v>
      </c>
      <c r="B103" s="150" t="str">
        <f aca="false">IFERROR(INDEX(Projects!$C$9:$C$16,MATCH($A103,Projects!$A$9:$A$16,0)),"")</f>
        <v>Commercial</v>
      </c>
      <c r="C103" s="94" t="n">
        <f aca="false">IF(Dashboard!$C$6="Corporate",1,IF(Dashboard!$C$6="Project",IF($A103=Dashboard!$M$6,1,0),IF($B103=Dashboard!$H$6,1,0)))</f>
        <v>1</v>
      </c>
      <c r="D103" s="199" t="n">
        <v>23</v>
      </c>
      <c r="E103" s="45" t="s">
        <v>1339</v>
      </c>
      <c r="F103" s="85" t="n">
        <v>46812</v>
      </c>
      <c r="G103" s="94" t="n">
        <f aca="false">IF($D103&lt;=Dashboard!$H$7,1,0)</f>
        <v>0</v>
      </c>
      <c r="H103" s="92" t="n">
        <v>0</v>
      </c>
      <c r="I103" s="92" t="n">
        <v>0</v>
      </c>
      <c r="J103" s="92" t="n">
        <v>0</v>
      </c>
      <c r="K103" s="92" t="n">
        <v>0</v>
      </c>
      <c r="L103" s="92" t="n">
        <v>0</v>
      </c>
      <c r="M103" s="92" t="n">
        <v>0</v>
      </c>
      <c r="N103" s="92" t="n">
        <v>0</v>
      </c>
      <c r="O103" s="92" t="n">
        <v>0</v>
      </c>
      <c r="P103" s="152" t="n">
        <f aca="false">IF(OR($G103=0,$H103=0),0,$I103/$H103)</f>
        <v>0</v>
      </c>
      <c r="Q103" s="152" t="n">
        <f aca="false">IF(OR($G103=0,$J103=0),0,$I103/$J103)</f>
        <v>0</v>
      </c>
      <c r="R103" s="44" t="n">
        <f aca="false">IF(OR($G103=0,$M103=0),0,$I103/$M103)</f>
        <v>0</v>
      </c>
    </row>
    <row r="104" customFormat="false" ht="12.75" hidden="false" customHeight="true" outlineLevel="0" collapsed="false">
      <c r="A104" s="47" t="s">
        <v>298</v>
      </c>
      <c r="B104" s="154" t="str">
        <f aca="false">IFERROR(INDEX(Projects!$C$9:$C$16,MATCH($A104,Projects!$A$9:$A$16,0)),"")</f>
        <v>Commercial</v>
      </c>
      <c r="C104" s="155" t="n">
        <f aca="false">IF(Dashboard!$C$6="Corporate",1,IF(Dashboard!$C$6="Project",IF($A104=Dashboard!$M$6,1,0),IF($B104=Dashboard!$H$6,1,0)))</f>
        <v>1</v>
      </c>
      <c r="D104" s="200" t="n">
        <v>24</v>
      </c>
      <c r="E104" s="51" t="s">
        <v>1340</v>
      </c>
      <c r="F104" s="98" t="n">
        <v>46843</v>
      </c>
      <c r="G104" s="155" t="n">
        <f aca="false">IF($D104&lt;=Dashboard!$H$7,1,0)</f>
        <v>0</v>
      </c>
      <c r="H104" s="99" t="n">
        <v>0</v>
      </c>
      <c r="I104" s="99" t="n">
        <v>0</v>
      </c>
      <c r="J104" s="99" t="n">
        <v>0</v>
      </c>
      <c r="K104" s="99" t="n">
        <v>0</v>
      </c>
      <c r="L104" s="99" t="n">
        <v>0</v>
      </c>
      <c r="M104" s="99" t="n">
        <v>0</v>
      </c>
      <c r="N104" s="99" t="n">
        <v>0</v>
      </c>
      <c r="O104" s="99" t="n">
        <v>0</v>
      </c>
      <c r="P104" s="157" t="n">
        <f aca="false">IF(OR($G104=0,$H104=0),0,$I104/$H104)</f>
        <v>0</v>
      </c>
      <c r="Q104" s="157" t="n">
        <f aca="false">IF(OR($G104=0,$J104=0),0,$I104/$J104)</f>
        <v>0</v>
      </c>
      <c r="R104" s="50" t="n">
        <f aca="false">IF(OR($G104=0,$M104=0),0,$I104/$M104)</f>
        <v>0</v>
      </c>
    </row>
    <row r="105" customFormat="false" ht="12.75" hidden="false" customHeight="true" outlineLevel="0" collapsed="false">
      <c r="A105" s="149" t="s">
        <v>300</v>
      </c>
      <c r="B105" s="150" t="str">
        <f aca="false">IFERROR(INDEX(Projects!$C$9:$C$16,MATCH($A105,Projects!$A$9:$A$16,0)),"")</f>
        <v>Mixed Use</v>
      </c>
      <c r="C105" s="94" t="n">
        <f aca="false">IF(Dashboard!$C$6="Corporate",1,IF(Dashboard!$C$6="Project",IF($A105=Dashboard!$M$6,1,0),IF($B105=Dashboard!$H$6,1,0)))</f>
        <v>1</v>
      </c>
      <c r="D105" s="199" t="n">
        <v>1</v>
      </c>
      <c r="E105" s="45" t="s">
        <v>1317</v>
      </c>
      <c r="F105" s="85" t="n">
        <v>46142</v>
      </c>
      <c r="G105" s="94" t="n">
        <f aca="false">IF($D105&lt;=Dashboard!$H$7,1,0)</f>
        <v>1</v>
      </c>
      <c r="H105" s="92" t="n">
        <v>0</v>
      </c>
      <c r="I105" s="92" t="n">
        <v>0</v>
      </c>
      <c r="J105" s="92" t="n">
        <v>0</v>
      </c>
      <c r="K105" s="92" t="n">
        <v>0</v>
      </c>
      <c r="L105" s="92" t="n">
        <v>0</v>
      </c>
      <c r="M105" s="92" t="n">
        <v>0</v>
      </c>
      <c r="N105" s="92" t="n">
        <v>0</v>
      </c>
      <c r="O105" s="92" t="n">
        <v>0</v>
      </c>
      <c r="P105" s="152" t="n">
        <f aca="false">IF(OR($G105=0,$H105=0),0,$I105/$H105)</f>
        <v>0</v>
      </c>
      <c r="Q105" s="152" t="n">
        <f aca="false">IF(OR($G105=0,$J105=0),0,$I105/$J105)</f>
        <v>0</v>
      </c>
      <c r="R105" s="44" t="n">
        <f aca="false">IF(OR($G105=0,$M105=0),0,$I105/$M105)</f>
        <v>0</v>
      </c>
    </row>
    <row r="106" customFormat="false" ht="12.75" hidden="false" customHeight="true" outlineLevel="0" collapsed="false">
      <c r="A106" s="47" t="s">
        <v>300</v>
      </c>
      <c r="B106" s="154" t="str">
        <f aca="false">IFERROR(INDEX(Projects!$C$9:$C$16,MATCH($A106,Projects!$A$9:$A$16,0)),"")</f>
        <v>Mixed Use</v>
      </c>
      <c r="C106" s="155" t="n">
        <f aca="false">IF(Dashboard!$C$6="Corporate",1,IF(Dashboard!$C$6="Project",IF($A106=Dashboard!$M$6,1,0),IF($B106=Dashboard!$H$6,1,0)))</f>
        <v>1</v>
      </c>
      <c r="D106" s="200" t="n">
        <v>2</v>
      </c>
      <c r="E106" s="51" t="s">
        <v>1318</v>
      </c>
      <c r="F106" s="98" t="n">
        <v>46173</v>
      </c>
      <c r="G106" s="155" t="n">
        <f aca="false">IF($D106&lt;=Dashboard!$H$7,1,0)</f>
        <v>1</v>
      </c>
      <c r="H106" s="99" t="n">
        <v>0</v>
      </c>
      <c r="I106" s="99" t="n">
        <v>0</v>
      </c>
      <c r="J106" s="99" t="n">
        <v>0</v>
      </c>
      <c r="K106" s="99" t="n">
        <v>0</v>
      </c>
      <c r="L106" s="99" t="n">
        <v>0</v>
      </c>
      <c r="M106" s="99" t="n">
        <v>0</v>
      </c>
      <c r="N106" s="99" t="n">
        <v>0</v>
      </c>
      <c r="O106" s="99" t="n">
        <v>0</v>
      </c>
      <c r="P106" s="157" t="n">
        <f aca="false">IF(OR($G106=0,$H106=0),0,$I106/$H106)</f>
        <v>0</v>
      </c>
      <c r="Q106" s="157" t="n">
        <f aca="false">IF(OR($G106=0,$J106=0),0,$I106/$J106)</f>
        <v>0</v>
      </c>
      <c r="R106" s="50" t="n">
        <f aca="false">IF(OR($G106=0,$M106=0),0,$I106/$M106)</f>
        <v>0</v>
      </c>
    </row>
    <row r="107" customFormat="false" ht="12.75" hidden="false" customHeight="true" outlineLevel="0" collapsed="false">
      <c r="A107" s="149" t="s">
        <v>300</v>
      </c>
      <c r="B107" s="150" t="str">
        <f aca="false">IFERROR(INDEX(Projects!$C$9:$C$16,MATCH($A107,Projects!$A$9:$A$16,0)),"")</f>
        <v>Mixed Use</v>
      </c>
      <c r="C107" s="94" t="n">
        <f aca="false">IF(Dashboard!$C$6="Corporate",1,IF(Dashboard!$C$6="Project",IF($A107=Dashboard!$M$6,1,0),IF($B107=Dashboard!$H$6,1,0)))</f>
        <v>1</v>
      </c>
      <c r="D107" s="199" t="n">
        <v>3</v>
      </c>
      <c r="E107" s="45" t="s">
        <v>1319</v>
      </c>
      <c r="F107" s="85" t="n">
        <v>46203</v>
      </c>
      <c r="G107" s="94" t="n">
        <f aca="false">IF($D107&lt;=Dashboard!$H$7,1,0)</f>
        <v>1</v>
      </c>
      <c r="H107" s="92" t="n">
        <v>4446117</v>
      </c>
      <c r="I107" s="92" t="n">
        <v>3877014</v>
      </c>
      <c r="J107" s="92" t="n">
        <v>4265142</v>
      </c>
      <c r="K107" s="92" t="n">
        <v>3242730</v>
      </c>
      <c r="L107" s="92" t="n">
        <v>13894</v>
      </c>
      <c r="M107" s="92" t="n">
        <v>13636</v>
      </c>
      <c r="N107" s="92" t="n">
        <v>0</v>
      </c>
      <c r="O107" s="92" t="n">
        <v>0</v>
      </c>
      <c r="P107" s="152" t="n">
        <f aca="false">IF(OR($G107=0,$H107=0),0,$I107/$H107)</f>
        <v>0.871999994602031</v>
      </c>
      <c r="Q107" s="152" t="n">
        <f aca="false">IF(OR($G107=0,$J107=0),0,$I107/$J107)</f>
        <v>0.908999981712215</v>
      </c>
      <c r="R107" s="44" t="n">
        <f aca="false">IF(OR($G107=0,$M107=0),0,$I107/$M107)</f>
        <v>284.321941918451</v>
      </c>
    </row>
    <row r="108" customFormat="false" ht="12.75" hidden="false" customHeight="true" outlineLevel="0" collapsed="false">
      <c r="A108" s="47" t="s">
        <v>300</v>
      </c>
      <c r="B108" s="154" t="str">
        <f aca="false">IFERROR(INDEX(Projects!$C$9:$C$16,MATCH($A108,Projects!$A$9:$A$16,0)),"")</f>
        <v>Mixed Use</v>
      </c>
      <c r="C108" s="155" t="n">
        <f aca="false">IF(Dashboard!$C$6="Corporate",1,IF(Dashboard!$C$6="Project",IF($A108=Dashboard!$M$6,1,0),IF($B108=Dashboard!$H$6,1,0)))</f>
        <v>1</v>
      </c>
      <c r="D108" s="200" t="n">
        <v>4</v>
      </c>
      <c r="E108" s="51" t="s">
        <v>1320</v>
      </c>
      <c r="F108" s="98" t="n">
        <v>46234</v>
      </c>
      <c r="G108" s="155" t="n">
        <f aca="false">IF($D108&lt;=Dashboard!$H$7,1,0)</f>
        <v>1</v>
      </c>
      <c r="H108" s="99" t="n">
        <v>5847248</v>
      </c>
      <c r="I108" s="99" t="n">
        <v>5098801</v>
      </c>
      <c r="J108" s="99" t="n">
        <v>5544492</v>
      </c>
      <c r="K108" s="99" t="n">
        <v>4264632</v>
      </c>
      <c r="L108" s="99" t="n">
        <v>18273</v>
      </c>
      <c r="M108" s="99" t="n">
        <v>17934</v>
      </c>
      <c r="N108" s="99" t="n">
        <v>1</v>
      </c>
      <c r="O108" s="99" t="n">
        <v>1</v>
      </c>
      <c r="P108" s="157" t="n">
        <f aca="false">IF(OR($G108=0,$H108=0),0,$I108/$H108)</f>
        <v>0.872000127239344</v>
      </c>
      <c r="Q108" s="157" t="n">
        <f aca="false">IF(OR($G108=0,$J108=0),0,$I108/$J108)</f>
        <v>0.919615539169323</v>
      </c>
      <c r="R108" s="50" t="n">
        <f aca="false">IF(OR($G108=0,$M108=0),0,$I108/$M108)</f>
        <v>284.30918924947</v>
      </c>
    </row>
    <row r="109" customFormat="false" ht="12.75" hidden="false" customHeight="true" outlineLevel="0" collapsed="false">
      <c r="A109" s="149" t="s">
        <v>300</v>
      </c>
      <c r="B109" s="150" t="str">
        <f aca="false">IFERROR(INDEX(Projects!$C$9:$C$16,MATCH($A109,Projects!$A$9:$A$16,0)),"")</f>
        <v>Mixed Use</v>
      </c>
      <c r="C109" s="94" t="n">
        <f aca="false">IF(Dashboard!$C$6="Corporate",1,IF(Dashboard!$C$6="Project",IF($A109=Dashboard!$M$6,1,0),IF($B109=Dashboard!$H$6,1,0)))</f>
        <v>1</v>
      </c>
      <c r="D109" s="199" t="n">
        <v>5</v>
      </c>
      <c r="E109" s="45" t="s">
        <v>1321</v>
      </c>
      <c r="F109" s="85" t="n">
        <v>46265</v>
      </c>
      <c r="G109" s="94" t="n">
        <f aca="false">IF($D109&lt;=Dashboard!$H$7,1,0)</f>
        <v>1</v>
      </c>
      <c r="H109" s="92" t="n">
        <v>3733413</v>
      </c>
      <c r="I109" s="92" t="n">
        <v>3256713</v>
      </c>
      <c r="J109" s="92" t="n">
        <v>3470476</v>
      </c>
      <c r="K109" s="92" t="n">
        <v>2723911</v>
      </c>
      <c r="L109" s="92" t="n">
        <v>11666</v>
      </c>
      <c r="M109" s="92" t="n">
        <v>11455</v>
      </c>
      <c r="N109" s="92" t="n">
        <v>1</v>
      </c>
      <c r="O109" s="92" t="n">
        <v>1</v>
      </c>
      <c r="P109" s="152" t="n">
        <f aca="false">IF(OR($G109=0,$H109=0),0,$I109/$H109)</f>
        <v>0.872315224701902</v>
      </c>
      <c r="Q109" s="152" t="n">
        <f aca="false">IF(OR($G109=0,$J109=0),0,$I109/$J109)</f>
        <v>0.938405279275811</v>
      </c>
      <c r="R109" s="44" t="n">
        <f aca="false">IF(OR($G109=0,$M109=0),0,$I109/$M109)</f>
        <v>284.304932343955</v>
      </c>
    </row>
    <row r="110" customFormat="false" ht="12.75" hidden="false" customHeight="true" outlineLevel="0" collapsed="false">
      <c r="A110" s="47" t="s">
        <v>300</v>
      </c>
      <c r="B110" s="154" t="str">
        <f aca="false">IFERROR(INDEX(Projects!$C$9:$C$16,MATCH($A110,Projects!$A$9:$A$16,0)),"")</f>
        <v>Mixed Use</v>
      </c>
      <c r="C110" s="155" t="n">
        <f aca="false">IF(Dashboard!$C$6="Corporate",1,IF(Dashboard!$C$6="Project",IF($A110=Dashboard!$M$6,1,0),IF($B110=Dashboard!$H$6,1,0)))</f>
        <v>1</v>
      </c>
      <c r="D110" s="200" t="n">
        <v>6</v>
      </c>
      <c r="E110" s="51" t="s">
        <v>1322</v>
      </c>
      <c r="F110" s="98" t="n">
        <v>46295</v>
      </c>
      <c r="G110" s="155" t="n">
        <f aca="false">IF($D110&lt;=Dashboard!$H$7,1,0)</f>
        <v>0</v>
      </c>
      <c r="H110" s="99" t="n">
        <v>5685793</v>
      </c>
      <c r="I110" s="99" t="n">
        <v>0</v>
      </c>
      <c r="J110" s="99" t="n">
        <v>0</v>
      </c>
      <c r="K110" s="99" t="n">
        <v>0</v>
      </c>
      <c r="L110" s="99" t="n">
        <v>17769</v>
      </c>
      <c r="M110" s="99" t="n">
        <v>0</v>
      </c>
      <c r="N110" s="99" t="n">
        <v>0</v>
      </c>
      <c r="O110" s="99" t="n">
        <v>0</v>
      </c>
      <c r="P110" s="157" t="n">
        <f aca="false">IF(OR($G110=0,$H110=0),0,$I110/$H110)</f>
        <v>0</v>
      </c>
      <c r="Q110" s="157" t="n">
        <f aca="false">IF(OR($G110=0,$J110=0),0,$I110/$J110)</f>
        <v>0</v>
      </c>
      <c r="R110" s="50" t="n">
        <f aca="false">IF(OR($G110=0,$M110=0),0,$I110/$M110)</f>
        <v>0</v>
      </c>
    </row>
    <row r="111" customFormat="false" ht="12.75" hidden="false" customHeight="true" outlineLevel="0" collapsed="false">
      <c r="A111" s="149" t="s">
        <v>300</v>
      </c>
      <c r="B111" s="150" t="str">
        <f aca="false">IFERROR(INDEX(Projects!$C$9:$C$16,MATCH($A111,Projects!$A$9:$A$16,0)),"")</f>
        <v>Mixed Use</v>
      </c>
      <c r="C111" s="94" t="n">
        <f aca="false">IF(Dashboard!$C$6="Corporate",1,IF(Dashboard!$C$6="Project",IF($A111=Dashboard!$M$6,1,0),IF($B111=Dashboard!$H$6,1,0)))</f>
        <v>1</v>
      </c>
      <c r="D111" s="199" t="n">
        <v>7</v>
      </c>
      <c r="E111" s="45" t="s">
        <v>1323</v>
      </c>
      <c r="F111" s="85" t="n">
        <v>46326</v>
      </c>
      <c r="G111" s="94" t="n">
        <f aca="false">IF($D111&lt;=Dashboard!$H$7,1,0)</f>
        <v>0</v>
      </c>
      <c r="H111" s="92" t="n">
        <v>8437092</v>
      </c>
      <c r="I111" s="92" t="n">
        <v>0</v>
      </c>
      <c r="J111" s="92" t="n">
        <v>0</v>
      </c>
      <c r="K111" s="92" t="n">
        <v>0</v>
      </c>
      <c r="L111" s="92" t="n">
        <v>26366</v>
      </c>
      <c r="M111" s="92" t="n">
        <v>0</v>
      </c>
      <c r="N111" s="92" t="n">
        <v>0</v>
      </c>
      <c r="O111" s="92" t="n">
        <v>0</v>
      </c>
      <c r="P111" s="152" t="n">
        <f aca="false">IF(OR($G111=0,$H111=0),0,$I111/$H111)</f>
        <v>0</v>
      </c>
      <c r="Q111" s="152" t="n">
        <f aca="false">IF(OR($G111=0,$J111=0),0,$I111/$J111)</f>
        <v>0</v>
      </c>
      <c r="R111" s="44" t="n">
        <f aca="false">IF(OR($G111=0,$M111=0),0,$I111/$M111)</f>
        <v>0</v>
      </c>
    </row>
    <row r="112" customFormat="false" ht="12.75" hidden="false" customHeight="true" outlineLevel="0" collapsed="false">
      <c r="A112" s="47" t="s">
        <v>300</v>
      </c>
      <c r="B112" s="154" t="str">
        <f aca="false">IFERROR(INDEX(Projects!$C$9:$C$16,MATCH($A112,Projects!$A$9:$A$16,0)),"")</f>
        <v>Mixed Use</v>
      </c>
      <c r="C112" s="155" t="n">
        <f aca="false">IF(Dashboard!$C$6="Corporate",1,IF(Dashboard!$C$6="Project",IF($A112=Dashboard!$M$6,1,0),IF($B112=Dashboard!$H$6,1,0)))</f>
        <v>1</v>
      </c>
      <c r="D112" s="200" t="n">
        <v>8</v>
      </c>
      <c r="E112" s="51" t="s">
        <v>1324</v>
      </c>
      <c r="F112" s="98" t="n">
        <v>46356</v>
      </c>
      <c r="G112" s="155" t="n">
        <f aca="false">IF($D112&lt;=Dashboard!$H$7,1,0)</f>
        <v>0</v>
      </c>
      <c r="H112" s="99" t="n">
        <v>10471243</v>
      </c>
      <c r="I112" s="99" t="n">
        <v>0</v>
      </c>
      <c r="J112" s="99" t="n">
        <v>0</v>
      </c>
      <c r="K112" s="99" t="n">
        <v>0</v>
      </c>
      <c r="L112" s="99" t="n">
        <v>32723</v>
      </c>
      <c r="M112" s="99" t="n">
        <v>0</v>
      </c>
      <c r="N112" s="99" t="n">
        <v>0</v>
      </c>
      <c r="O112" s="99" t="n">
        <v>0</v>
      </c>
      <c r="P112" s="157" t="n">
        <f aca="false">IF(OR($G112=0,$H112=0),0,$I112/$H112)</f>
        <v>0</v>
      </c>
      <c r="Q112" s="157" t="n">
        <f aca="false">IF(OR($G112=0,$J112=0),0,$I112/$J112)</f>
        <v>0</v>
      </c>
      <c r="R112" s="50" t="n">
        <f aca="false">IF(OR($G112=0,$M112=0),0,$I112/$M112)</f>
        <v>0</v>
      </c>
    </row>
    <row r="113" customFormat="false" ht="12.75" hidden="false" customHeight="true" outlineLevel="0" collapsed="false">
      <c r="A113" s="149" t="s">
        <v>300</v>
      </c>
      <c r="B113" s="150" t="str">
        <f aca="false">IFERROR(INDEX(Projects!$C$9:$C$16,MATCH($A113,Projects!$A$9:$A$16,0)),"")</f>
        <v>Mixed Use</v>
      </c>
      <c r="C113" s="94" t="n">
        <f aca="false">IF(Dashboard!$C$6="Corporate",1,IF(Dashboard!$C$6="Project",IF($A113=Dashboard!$M$6,1,0),IF($B113=Dashboard!$H$6,1,0)))</f>
        <v>1</v>
      </c>
      <c r="D113" s="199" t="n">
        <v>9</v>
      </c>
      <c r="E113" s="45" t="s">
        <v>1325</v>
      </c>
      <c r="F113" s="85" t="n">
        <v>46387</v>
      </c>
      <c r="G113" s="94" t="n">
        <f aca="false">IF($D113&lt;=Dashboard!$H$7,1,0)</f>
        <v>0</v>
      </c>
      <c r="H113" s="92" t="n">
        <v>11837594</v>
      </c>
      <c r="I113" s="92" t="n">
        <v>0</v>
      </c>
      <c r="J113" s="92" t="n">
        <v>0</v>
      </c>
      <c r="K113" s="92" t="n">
        <v>0</v>
      </c>
      <c r="L113" s="92" t="n">
        <v>36992</v>
      </c>
      <c r="M113" s="92" t="n">
        <v>0</v>
      </c>
      <c r="N113" s="92" t="n">
        <v>0</v>
      </c>
      <c r="O113" s="92" t="n">
        <v>0</v>
      </c>
      <c r="P113" s="152" t="n">
        <f aca="false">IF(OR($G113=0,$H113=0),0,$I113/$H113)</f>
        <v>0</v>
      </c>
      <c r="Q113" s="152" t="n">
        <f aca="false">IF(OR($G113=0,$J113=0),0,$I113/$J113)</f>
        <v>0</v>
      </c>
      <c r="R113" s="44" t="n">
        <f aca="false">IF(OR($G113=0,$M113=0),0,$I113/$M113)</f>
        <v>0</v>
      </c>
    </row>
    <row r="114" customFormat="false" ht="12.75" hidden="false" customHeight="true" outlineLevel="0" collapsed="false">
      <c r="A114" s="47" t="s">
        <v>300</v>
      </c>
      <c r="B114" s="154" t="str">
        <f aca="false">IFERROR(INDEX(Projects!$C$9:$C$16,MATCH($A114,Projects!$A$9:$A$16,0)),"")</f>
        <v>Mixed Use</v>
      </c>
      <c r="C114" s="155" t="n">
        <f aca="false">IF(Dashboard!$C$6="Corporate",1,IF(Dashboard!$C$6="Project",IF($A114=Dashboard!$M$6,1,0),IF($B114=Dashboard!$H$6,1,0)))</f>
        <v>1</v>
      </c>
      <c r="D114" s="200" t="n">
        <v>10</v>
      </c>
      <c r="E114" s="51" t="s">
        <v>1326</v>
      </c>
      <c r="F114" s="98" t="n">
        <v>46418</v>
      </c>
      <c r="G114" s="155" t="n">
        <f aca="false">IF($D114&lt;=Dashboard!$H$7,1,0)</f>
        <v>0</v>
      </c>
      <c r="H114" s="99" t="n">
        <v>13193686</v>
      </c>
      <c r="I114" s="99" t="n">
        <v>0</v>
      </c>
      <c r="J114" s="99" t="n">
        <v>0</v>
      </c>
      <c r="K114" s="99" t="n">
        <v>0</v>
      </c>
      <c r="L114" s="99" t="n">
        <v>41230</v>
      </c>
      <c r="M114" s="99" t="n">
        <v>0</v>
      </c>
      <c r="N114" s="99" t="n">
        <v>0</v>
      </c>
      <c r="O114" s="99" t="n">
        <v>0</v>
      </c>
      <c r="P114" s="157" t="n">
        <f aca="false">IF(OR($G114=0,$H114=0),0,$I114/$H114)</f>
        <v>0</v>
      </c>
      <c r="Q114" s="157" t="n">
        <f aca="false">IF(OR($G114=0,$J114=0),0,$I114/$J114)</f>
        <v>0</v>
      </c>
      <c r="R114" s="50" t="n">
        <f aca="false">IF(OR($G114=0,$M114=0),0,$I114/$M114)</f>
        <v>0</v>
      </c>
    </row>
    <row r="115" customFormat="false" ht="12.75" hidden="false" customHeight="true" outlineLevel="0" collapsed="false">
      <c r="A115" s="149" t="s">
        <v>300</v>
      </c>
      <c r="B115" s="150" t="str">
        <f aca="false">IFERROR(INDEX(Projects!$C$9:$C$16,MATCH($A115,Projects!$A$9:$A$16,0)),"")</f>
        <v>Mixed Use</v>
      </c>
      <c r="C115" s="94" t="n">
        <f aca="false">IF(Dashboard!$C$6="Corporate",1,IF(Dashboard!$C$6="Project",IF($A115=Dashboard!$M$6,1,0),IF($B115=Dashboard!$H$6,1,0)))</f>
        <v>1</v>
      </c>
      <c r="D115" s="199" t="n">
        <v>11</v>
      </c>
      <c r="E115" s="45" t="s">
        <v>1327</v>
      </c>
      <c r="F115" s="85" t="n">
        <v>46446</v>
      </c>
      <c r="G115" s="94" t="n">
        <f aca="false">IF($D115&lt;=Dashboard!$H$7,1,0)</f>
        <v>0</v>
      </c>
      <c r="H115" s="92" t="n">
        <v>14143247</v>
      </c>
      <c r="I115" s="92" t="n">
        <v>0</v>
      </c>
      <c r="J115" s="92" t="n">
        <v>0</v>
      </c>
      <c r="K115" s="92" t="n">
        <v>0</v>
      </c>
      <c r="L115" s="92" t="n">
        <v>44198</v>
      </c>
      <c r="M115" s="92" t="n">
        <v>0</v>
      </c>
      <c r="N115" s="92" t="n">
        <v>0</v>
      </c>
      <c r="O115" s="92" t="n">
        <v>0</v>
      </c>
      <c r="P115" s="152" t="n">
        <f aca="false">IF(OR($G115=0,$H115=0),0,$I115/$H115)</f>
        <v>0</v>
      </c>
      <c r="Q115" s="152" t="n">
        <f aca="false">IF(OR($G115=0,$J115=0),0,$I115/$J115)</f>
        <v>0</v>
      </c>
      <c r="R115" s="44" t="n">
        <f aca="false">IF(OR($G115=0,$M115=0),0,$I115/$M115)</f>
        <v>0</v>
      </c>
    </row>
    <row r="116" customFormat="false" ht="12.75" hidden="false" customHeight="true" outlineLevel="0" collapsed="false">
      <c r="A116" s="47" t="s">
        <v>300</v>
      </c>
      <c r="B116" s="154" t="str">
        <f aca="false">IFERROR(INDEX(Projects!$C$9:$C$16,MATCH($A116,Projects!$A$9:$A$16,0)),"")</f>
        <v>Mixed Use</v>
      </c>
      <c r="C116" s="155" t="n">
        <f aca="false">IF(Dashboard!$C$6="Corporate",1,IF(Dashboard!$C$6="Project",IF($A116=Dashboard!$M$6,1,0),IF($B116=Dashboard!$H$6,1,0)))</f>
        <v>1</v>
      </c>
      <c r="D116" s="200" t="n">
        <v>12</v>
      </c>
      <c r="E116" s="51" t="s">
        <v>1328</v>
      </c>
      <c r="F116" s="98" t="n">
        <v>46477</v>
      </c>
      <c r="G116" s="155" t="n">
        <f aca="false">IF($D116&lt;=Dashboard!$H$7,1,0)</f>
        <v>0</v>
      </c>
      <c r="H116" s="99" t="n">
        <v>14957673</v>
      </c>
      <c r="I116" s="99" t="n">
        <v>0</v>
      </c>
      <c r="J116" s="99" t="n">
        <v>0</v>
      </c>
      <c r="K116" s="99" t="n">
        <v>0</v>
      </c>
      <c r="L116" s="99" t="n">
        <v>46743</v>
      </c>
      <c r="M116" s="99" t="n">
        <v>0</v>
      </c>
      <c r="N116" s="99" t="n">
        <v>0</v>
      </c>
      <c r="O116" s="99" t="n">
        <v>0</v>
      </c>
      <c r="P116" s="157" t="n">
        <f aca="false">IF(OR($G116=0,$H116=0),0,$I116/$H116)</f>
        <v>0</v>
      </c>
      <c r="Q116" s="157" t="n">
        <f aca="false">IF(OR($G116=0,$J116=0),0,$I116/$J116)</f>
        <v>0</v>
      </c>
      <c r="R116" s="50" t="n">
        <f aca="false">IF(OR($G116=0,$M116=0),0,$I116/$M116)</f>
        <v>0</v>
      </c>
    </row>
    <row r="117" customFormat="false" ht="12.75" hidden="false" customHeight="true" outlineLevel="0" collapsed="false">
      <c r="A117" s="149" t="s">
        <v>300</v>
      </c>
      <c r="B117" s="150" t="str">
        <f aca="false">IFERROR(INDEX(Projects!$C$9:$C$16,MATCH($A117,Projects!$A$9:$A$16,0)),"")</f>
        <v>Mixed Use</v>
      </c>
      <c r="C117" s="94" t="n">
        <f aca="false">IF(Dashboard!$C$6="Corporate",1,IF(Dashboard!$C$6="Project",IF($A117=Dashboard!$M$6,1,0),IF($B117=Dashboard!$H$6,1,0)))</f>
        <v>1</v>
      </c>
      <c r="D117" s="199" t="n">
        <v>13</v>
      </c>
      <c r="E117" s="45" t="s">
        <v>1329</v>
      </c>
      <c r="F117" s="85" t="n">
        <v>46507</v>
      </c>
      <c r="G117" s="94" t="n">
        <f aca="false">IF($D117&lt;=Dashboard!$H$7,1,0)</f>
        <v>0</v>
      </c>
      <c r="H117" s="92" t="n">
        <v>14170929</v>
      </c>
      <c r="I117" s="92" t="n">
        <v>0</v>
      </c>
      <c r="J117" s="92" t="n">
        <v>0</v>
      </c>
      <c r="K117" s="92" t="n">
        <v>0</v>
      </c>
      <c r="L117" s="92" t="n">
        <v>44284</v>
      </c>
      <c r="M117" s="92" t="n">
        <v>0</v>
      </c>
      <c r="N117" s="92" t="n">
        <v>0</v>
      </c>
      <c r="O117" s="92" t="n">
        <v>0</v>
      </c>
      <c r="P117" s="152" t="n">
        <f aca="false">IF(OR($G117=0,$H117=0),0,$I117/$H117)</f>
        <v>0</v>
      </c>
      <c r="Q117" s="152" t="n">
        <f aca="false">IF(OR($G117=0,$J117=0),0,$I117/$J117)</f>
        <v>0</v>
      </c>
      <c r="R117" s="44" t="n">
        <f aca="false">IF(OR($G117=0,$M117=0),0,$I117/$M117)</f>
        <v>0</v>
      </c>
    </row>
    <row r="118" customFormat="false" ht="12.75" hidden="false" customHeight="true" outlineLevel="0" collapsed="false">
      <c r="A118" s="47" t="s">
        <v>300</v>
      </c>
      <c r="B118" s="154" t="str">
        <f aca="false">IFERROR(INDEX(Projects!$C$9:$C$16,MATCH($A118,Projects!$A$9:$A$16,0)),"")</f>
        <v>Mixed Use</v>
      </c>
      <c r="C118" s="155" t="n">
        <f aca="false">IF(Dashboard!$C$6="Corporate",1,IF(Dashboard!$C$6="Project",IF($A118=Dashboard!$M$6,1,0),IF($B118=Dashboard!$H$6,1,0)))</f>
        <v>1</v>
      </c>
      <c r="D118" s="200" t="n">
        <v>14</v>
      </c>
      <c r="E118" s="51" t="s">
        <v>1330</v>
      </c>
      <c r="F118" s="98" t="n">
        <v>46538</v>
      </c>
      <c r="G118" s="155" t="n">
        <f aca="false">IF($D118&lt;=Dashboard!$H$7,1,0)</f>
        <v>0</v>
      </c>
      <c r="H118" s="99" t="n">
        <v>13387541</v>
      </c>
      <c r="I118" s="99" t="n">
        <v>0</v>
      </c>
      <c r="J118" s="99" t="n">
        <v>0</v>
      </c>
      <c r="K118" s="99" t="n">
        <v>0</v>
      </c>
      <c r="L118" s="99" t="n">
        <v>41836</v>
      </c>
      <c r="M118" s="99" t="n">
        <v>0</v>
      </c>
      <c r="N118" s="99" t="n">
        <v>0</v>
      </c>
      <c r="O118" s="99" t="n">
        <v>0</v>
      </c>
      <c r="P118" s="157" t="n">
        <f aca="false">IF(OR($G118=0,$H118=0),0,$I118/$H118)</f>
        <v>0</v>
      </c>
      <c r="Q118" s="157" t="n">
        <f aca="false">IF(OR($G118=0,$J118=0),0,$I118/$J118)</f>
        <v>0</v>
      </c>
      <c r="R118" s="50" t="n">
        <f aca="false">IF(OR($G118=0,$M118=0),0,$I118/$M118)</f>
        <v>0</v>
      </c>
    </row>
    <row r="119" customFormat="false" ht="12.75" hidden="false" customHeight="true" outlineLevel="0" collapsed="false">
      <c r="A119" s="149" t="s">
        <v>300</v>
      </c>
      <c r="B119" s="150" t="str">
        <f aca="false">IFERROR(INDEX(Projects!$C$9:$C$16,MATCH($A119,Projects!$A$9:$A$16,0)),"")</f>
        <v>Mixed Use</v>
      </c>
      <c r="C119" s="94" t="n">
        <f aca="false">IF(Dashboard!$C$6="Corporate",1,IF(Dashboard!$C$6="Project",IF($A119=Dashboard!$M$6,1,0),IF($B119=Dashboard!$H$6,1,0)))</f>
        <v>1</v>
      </c>
      <c r="D119" s="199" t="n">
        <v>15</v>
      </c>
      <c r="E119" s="45" t="s">
        <v>1331</v>
      </c>
      <c r="F119" s="85" t="n">
        <v>46568</v>
      </c>
      <c r="G119" s="94" t="n">
        <f aca="false">IF($D119&lt;=Dashboard!$H$7,1,0)</f>
        <v>0</v>
      </c>
      <c r="H119" s="92" t="n">
        <v>12147652</v>
      </c>
      <c r="I119" s="92" t="n">
        <v>0</v>
      </c>
      <c r="J119" s="92" t="n">
        <v>0</v>
      </c>
      <c r="K119" s="92" t="n">
        <v>0</v>
      </c>
      <c r="L119" s="92" t="n">
        <v>37961</v>
      </c>
      <c r="M119" s="92" t="n">
        <v>0</v>
      </c>
      <c r="N119" s="92" t="n">
        <v>0</v>
      </c>
      <c r="O119" s="92" t="n">
        <v>0</v>
      </c>
      <c r="P119" s="152" t="n">
        <f aca="false">IF(OR($G119=0,$H119=0),0,$I119/$H119)</f>
        <v>0</v>
      </c>
      <c r="Q119" s="152" t="n">
        <f aca="false">IF(OR($G119=0,$J119=0),0,$I119/$J119)</f>
        <v>0</v>
      </c>
      <c r="R119" s="44" t="n">
        <f aca="false">IF(OR($G119=0,$M119=0),0,$I119/$M119)</f>
        <v>0</v>
      </c>
    </row>
    <row r="120" customFormat="false" ht="12.75" hidden="false" customHeight="true" outlineLevel="0" collapsed="false">
      <c r="A120" s="47" t="s">
        <v>300</v>
      </c>
      <c r="B120" s="154" t="str">
        <f aca="false">IFERROR(INDEX(Projects!$C$9:$C$16,MATCH($A120,Projects!$A$9:$A$16,0)),"")</f>
        <v>Mixed Use</v>
      </c>
      <c r="C120" s="155" t="n">
        <f aca="false">IF(Dashboard!$C$6="Corporate",1,IF(Dashboard!$C$6="Project",IF($A120=Dashboard!$M$6,1,0),IF($B120=Dashboard!$H$6,1,0)))</f>
        <v>1</v>
      </c>
      <c r="D120" s="200" t="n">
        <v>16</v>
      </c>
      <c r="E120" s="51" t="s">
        <v>1332</v>
      </c>
      <c r="F120" s="98" t="n">
        <v>46599</v>
      </c>
      <c r="G120" s="155" t="n">
        <f aca="false">IF($D120&lt;=Dashboard!$H$7,1,0)</f>
        <v>0</v>
      </c>
      <c r="H120" s="99" t="n">
        <v>9758578</v>
      </c>
      <c r="I120" s="99" t="n">
        <v>0</v>
      </c>
      <c r="J120" s="99" t="n">
        <v>0</v>
      </c>
      <c r="K120" s="99" t="n">
        <v>0</v>
      </c>
      <c r="L120" s="99" t="n">
        <v>30496</v>
      </c>
      <c r="M120" s="99" t="n">
        <v>0</v>
      </c>
      <c r="N120" s="99" t="n">
        <v>0</v>
      </c>
      <c r="O120" s="99" t="n">
        <v>0</v>
      </c>
      <c r="P120" s="157" t="n">
        <f aca="false">IF(OR($G120=0,$H120=0),0,$I120/$H120)</f>
        <v>0</v>
      </c>
      <c r="Q120" s="157" t="n">
        <f aca="false">IF(OR($G120=0,$J120=0),0,$I120/$J120)</f>
        <v>0</v>
      </c>
      <c r="R120" s="50" t="n">
        <f aca="false">IF(OR($G120=0,$M120=0),0,$I120/$M120)</f>
        <v>0</v>
      </c>
    </row>
    <row r="121" customFormat="false" ht="12.75" hidden="false" customHeight="true" outlineLevel="0" collapsed="false">
      <c r="A121" s="149" t="s">
        <v>300</v>
      </c>
      <c r="B121" s="150" t="str">
        <f aca="false">IFERROR(INDEX(Projects!$C$9:$C$16,MATCH($A121,Projects!$A$9:$A$16,0)),"")</f>
        <v>Mixed Use</v>
      </c>
      <c r="C121" s="94" t="n">
        <f aca="false">IF(Dashboard!$C$6="Corporate",1,IF(Dashboard!$C$6="Project",IF($A121=Dashboard!$M$6,1,0),IF($B121=Dashboard!$H$6,1,0)))</f>
        <v>1</v>
      </c>
      <c r="D121" s="199" t="n">
        <v>17</v>
      </c>
      <c r="E121" s="45" t="s">
        <v>1333</v>
      </c>
      <c r="F121" s="85" t="n">
        <v>46630</v>
      </c>
      <c r="G121" s="94" t="n">
        <f aca="false">IF($D121&lt;=Dashboard!$H$7,1,0)</f>
        <v>0</v>
      </c>
      <c r="H121" s="92" t="n">
        <v>6615333</v>
      </c>
      <c r="I121" s="92" t="n">
        <v>0</v>
      </c>
      <c r="J121" s="92" t="n">
        <v>0</v>
      </c>
      <c r="K121" s="92" t="n">
        <v>0</v>
      </c>
      <c r="L121" s="92" t="n">
        <v>20673</v>
      </c>
      <c r="M121" s="92" t="n">
        <v>0</v>
      </c>
      <c r="N121" s="92" t="n">
        <v>0</v>
      </c>
      <c r="O121" s="92" t="n">
        <v>0</v>
      </c>
      <c r="P121" s="152" t="n">
        <f aca="false">IF(OR($G121=0,$H121=0),0,$I121/$H121)</f>
        <v>0</v>
      </c>
      <c r="Q121" s="152" t="n">
        <f aca="false">IF(OR($G121=0,$J121=0),0,$I121/$J121)</f>
        <v>0</v>
      </c>
      <c r="R121" s="44" t="n">
        <f aca="false">IF(OR($G121=0,$M121=0),0,$I121/$M121)</f>
        <v>0</v>
      </c>
    </row>
    <row r="122" customFormat="false" ht="12.75" hidden="false" customHeight="true" outlineLevel="0" collapsed="false">
      <c r="A122" s="47" t="s">
        <v>300</v>
      </c>
      <c r="B122" s="154" t="str">
        <f aca="false">IFERROR(INDEX(Projects!$C$9:$C$16,MATCH($A122,Projects!$A$9:$A$16,0)),"")</f>
        <v>Mixed Use</v>
      </c>
      <c r="C122" s="155" t="n">
        <f aca="false">IF(Dashboard!$C$6="Corporate",1,IF(Dashboard!$C$6="Project",IF($A122=Dashboard!$M$6,1,0),IF($B122=Dashboard!$H$6,1,0)))</f>
        <v>1</v>
      </c>
      <c r="D122" s="200" t="n">
        <v>18</v>
      </c>
      <c r="E122" s="51" t="s">
        <v>1334</v>
      </c>
      <c r="F122" s="98" t="n">
        <v>46660</v>
      </c>
      <c r="G122" s="155" t="n">
        <f aca="false">IF($D122&lt;=Dashboard!$H$7,1,0)</f>
        <v>0</v>
      </c>
      <c r="H122" s="99" t="n">
        <v>6214535</v>
      </c>
      <c r="I122" s="99" t="n">
        <v>0</v>
      </c>
      <c r="J122" s="99" t="n">
        <v>0</v>
      </c>
      <c r="K122" s="99" t="n">
        <v>0</v>
      </c>
      <c r="L122" s="99" t="n">
        <v>19420</v>
      </c>
      <c r="M122" s="99" t="n">
        <v>0</v>
      </c>
      <c r="N122" s="99" t="n">
        <v>0</v>
      </c>
      <c r="O122" s="99" t="n">
        <v>0</v>
      </c>
      <c r="P122" s="157" t="n">
        <f aca="false">IF(OR($G122=0,$H122=0),0,$I122/$H122)</f>
        <v>0</v>
      </c>
      <c r="Q122" s="157" t="n">
        <f aca="false">IF(OR($G122=0,$J122=0),0,$I122/$J122)</f>
        <v>0</v>
      </c>
      <c r="R122" s="50" t="n">
        <f aca="false">IF(OR($G122=0,$M122=0),0,$I122/$M122)</f>
        <v>0</v>
      </c>
    </row>
    <row r="123" customFormat="false" ht="12.75" hidden="false" customHeight="true" outlineLevel="0" collapsed="false">
      <c r="A123" s="149" t="s">
        <v>300</v>
      </c>
      <c r="B123" s="150" t="str">
        <f aca="false">IFERROR(INDEX(Projects!$C$9:$C$16,MATCH($A123,Projects!$A$9:$A$16,0)),"")</f>
        <v>Mixed Use</v>
      </c>
      <c r="C123" s="94" t="n">
        <f aca="false">IF(Dashboard!$C$6="Corporate",1,IF(Dashboard!$C$6="Project",IF($A123=Dashboard!$M$6,1,0),IF($B123=Dashboard!$H$6,1,0)))</f>
        <v>1</v>
      </c>
      <c r="D123" s="199" t="n">
        <v>19</v>
      </c>
      <c r="E123" s="45" t="s">
        <v>1335</v>
      </c>
      <c r="F123" s="85" t="n">
        <v>46691</v>
      </c>
      <c r="G123" s="94" t="n">
        <f aca="false">IF($D123&lt;=Dashboard!$H$7,1,0)</f>
        <v>0</v>
      </c>
      <c r="H123" s="92" t="n">
        <v>8251885</v>
      </c>
      <c r="I123" s="92" t="n">
        <v>0</v>
      </c>
      <c r="J123" s="92" t="n">
        <v>0</v>
      </c>
      <c r="K123" s="92" t="n">
        <v>0</v>
      </c>
      <c r="L123" s="92" t="n">
        <v>25787</v>
      </c>
      <c r="M123" s="92" t="n">
        <v>0</v>
      </c>
      <c r="N123" s="92" t="n">
        <v>0</v>
      </c>
      <c r="O123" s="92" t="n">
        <v>0</v>
      </c>
      <c r="P123" s="152" t="n">
        <f aca="false">IF(OR($G123=0,$H123=0),0,$I123/$H123)</f>
        <v>0</v>
      </c>
      <c r="Q123" s="152" t="n">
        <f aca="false">IF(OR($G123=0,$J123=0),0,$I123/$J123)</f>
        <v>0</v>
      </c>
      <c r="R123" s="44" t="n">
        <f aca="false">IF(OR($G123=0,$M123=0),0,$I123/$M123)</f>
        <v>0</v>
      </c>
    </row>
    <row r="124" customFormat="false" ht="12.75" hidden="false" customHeight="true" outlineLevel="0" collapsed="false">
      <c r="A124" s="47" t="s">
        <v>300</v>
      </c>
      <c r="B124" s="154" t="str">
        <f aca="false">IFERROR(INDEX(Projects!$C$9:$C$16,MATCH($A124,Projects!$A$9:$A$16,0)),"")</f>
        <v>Mixed Use</v>
      </c>
      <c r="C124" s="155" t="n">
        <f aca="false">IF(Dashboard!$C$6="Corporate",1,IF(Dashboard!$C$6="Project",IF($A124=Dashboard!$M$6,1,0),IF($B124=Dashboard!$H$6,1,0)))</f>
        <v>1</v>
      </c>
      <c r="D124" s="200" t="n">
        <v>20</v>
      </c>
      <c r="E124" s="51" t="s">
        <v>1336</v>
      </c>
      <c r="F124" s="98" t="n">
        <v>46721</v>
      </c>
      <c r="G124" s="155" t="n">
        <f aca="false">IF($D124&lt;=Dashboard!$H$7,1,0)</f>
        <v>0</v>
      </c>
      <c r="H124" s="99" t="n">
        <v>4610768</v>
      </c>
      <c r="I124" s="99" t="n">
        <v>0</v>
      </c>
      <c r="J124" s="99" t="n">
        <v>0</v>
      </c>
      <c r="K124" s="99" t="n">
        <v>0</v>
      </c>
      <c r="L124" s="99" t="n">
        <v>14409</v>
      </c>
      <c r="M124" s="99" t="n">
        <v>0</v>
      </c>
      <c r="N124" s="99" t="n">
        <v>0</v>
      </c>
      <c r="O124" s="99" t="n">
        <v>0</v>
      </c>
      <c r="P124" s="157" t="n">
        <f aca="false">IF(OR($G124=0,$H124=0),0,$I124/$H124)</f>
        <v>0</v>
      </c>
      <c r="Q124" s="157" t="n">
        <f aca="false">IF(OR($G124=0,$J124=0),0,$I124/$J124)</f>
        <v>0</v>
      </c>
      <c r="R124" s="50" t="n">
        <f aca="false">IF(OR($G124=0,$M124=0),0,$I124/$M124)</f>
        <v>0</v>
      </c>
    </row>
    <row r="125" customFormat="false" ht="12.75" hidden="false" customHeight="true" outlineLevel="0" collapsed="false">
      <c r="A125" s="149" t="s">
        <v>300</v>
      </c>
      <c r="B125" s="150" t="str">
        <f aca="false">IFERROR(INDEX(Projects!$C$9:$C$16,MATCH($A125,Projects!$A$9:$A$16,0)),"")</f>
        <v>Mixed Use</v>
      </c>
      <c r="C125" s="94" t="n">
        <f aca="false">IF(Dashboard!$C$6="Corporate",1,IF(Dashboard!$C$6="Project",IF($A125=Dashboard!$M$6,1,0),IF($B125=Dashboard!$H$6,1,0)))</f>
        <v>1</v>
      </c>
      <c r="D125" s="199" t="n">
        <v>21</v>
      </c>
      <c r="E125" s="45" t="s">
        <v>1337</v>
      </c>
      <c r="F125" s="85" t="n">
        <v>46752</v>
      </c>
      <c r="G125" s="94" t="n">
        <f aca="false">IF($D125&lt;=Dashboard!$H$7,1,0)</f>
        <v>0</v>
      </c>
      <c r="H125" s="92" t="n">
        <v>0</v>
      </c>
      <c r="I125" s="92" t="n">
        <v>0</v>
      </c>
      <c r="J125" s="92" t="n">
        <v>0</v>
      </c>
      <c r="K125" s="92" t="n">
        <v>0</v>
      </c>
      <c r="L125" s="92" t="n">
        <v>0</v>
      </c>
      <c r="M125" s="92" t="n">
        <v>0</v>
      </c>
      <c r="N125" s="92" t="n">
        <v>0</v>
      </c>
      <c r="O125" s="92" t="n">
        <v>0</v>
      </c>
      <c r="P125" s="152" t="n">
        <f aca="false">IF(OR($G125=0,$H125=0),0,$I125/$H125)</f>
        <v>0</v>
      </c>
      <c r="Q125" s="152" t="n">
        <f aca="false">IF(OR($G125=0,$J125=0),0,$I125/$J125)</f>
        <v>0</v>
      </c>
      <c r="R125" s="44" t="n">
        <f aca="false">IF(OR($G125=0,$M125=0),0,$I125/$M125)</f>
        <v>0</v>
      </c>
    </row>
    <row r="126" customFormat="false" ht="12.75" hidden="false" customHeight="true" outlineLevel="0" collapsed="false">
      <c r="A126" s="47" t="s">
        <v>300</v>
      </c>
      <c r="B126" s="154" t="str">
        <f aca="false">IFERROR(INDEX(Projects!$C$9:$C$16,MATCH($A126,Projects!$A$9:$A$16,0)),"")</f>
        <v>Mixed Use</v>
      </c>
      <c r="C126" s="155" t="n">
        <f aca="false">IF(Dashboard!$C$6="Corporate",1,IF(Dashboard!$C$6="Project",IF($A126=Dashboard!$M$6,1,0),IF($B126=Dashboard!$H$6,1,0)))</f>
        <v>1</v>
      </c>
      <c r="D126" s="200" t="n">
        <v>22</v>
      </c>
      <c r="E126" s="51" t="s">
        <v>1338</v>
      </c>
      <c r="F126" s="98" t="n">
        <v>46783</v>
      </c>
      <c r="G126" s="155" t="n">
        <f aca="false">IF($D126&lt;=Dashboard!$H$7,1,0)</f>
        <v>0</v>
      </c>
      <c r="H126" s="99" t="n">
        <v>0</v>
      </c>
      <c r="I126" s="99" t="n">
        <v>0</v>
      </c>
      <c r="J126" s="99" t="n">
        <v>0</v>
      </c>
      <c r="K126" s="99" t="n">
        <v>0</v>
      </c>
      <c r="L126" s="99" t="n">
        <v>0</v>
      </c>
      <c r="M126" s="99" t="n">
        <v>0</v>
      </c>
      <c r="N126" s="99" t="n">
        <v>0</v>
      </c>
      <c r="O126" s="99" t="n">
        <v>0</v>
      </c>
      <c r="P126" s="157" t="n">
        <f aca="false">IF(OR($G126=0,$H126=0),0,$I126/$H126)</f>
        <v>0</v>
      </c>
      <c r="Q126" s="157" t="n">
        <f aca="false">IF(OR($G126=0,$J126=0),0,$I126/$J126)</f>
        <v>0</v>
      </c>
      <c r="R126" s="50" t="n">
        <f aca="false">IF(OR($G126=0,$M126=0),0,$I126/$M126)</f>
        <v>0</v>
      </c>
    </row>
    <row r="127" customFormat="false" ht="12.75" hidden="false" customHeight="true" outlineLevel="0" collapsed="false">
      <c r="A127" s="149" t="s">
        <v>300</v>
      </c>
      <c r="B127" s="150" t="str">
        <f aca="false">IFERROR(INDEX(Projects!$C$9:$C$16,MATCH($A127,Projects!$A$9:$A$16,0)),"")</f>
        <v>Mixed Use</v>
      </c>
      <c r="C127" s="94" t="n">
        <f aca="false">IF(Dashboard!$C$6="Corporate",1,IF(Dashboard!$C$6="Project",IF($A127=Dashboard!$M$6,1,0),IF($B127=Dashboard!$H$6,1,0)))</f>
        <v>1</v>
      </c>
      <c r="D127" s="199" t="n">
        <v>23</v>
      </c>
      <c r="E127" s="45" t="s">
        <v>1339</v>
      </c>
      <c r="F127" s="85" t="n">
        <v>46812</v>
      </c>
      <c r="G127" s="94" t="n">
        <f aca="false">IF($D127&lt;=Dashboard!$H$7,1,0)</f>
        <v>0</v>
      </c>
      <c r="H127" s="92" t="n">
        <v>0</v>
      </c>
      <c r="I127" s="92" t="n">
        <v>0</v>
      </c>
      <c r="J127" s="92" t="n">
        <v>0</v>
      </c>
      <c r="K127" s="92" t="n">
        <v>0</v>
      </c>
      <c r="L127" s="92" t="n">
        <v>0</v>
      </c>
      <c r="M127" s="92" t="n">
        <v>0</v>
      </c>
      <c r="N127" s="92" t="n">
        <v>0</v>
      </c>
      <c r="O127" s="92" t="n">
        <v>0</v>
      </c>
      <c r="P127" s="152" t="n">
        <f aca="false">IF(OR($G127=0,$H127=0),0,$I127/$H127)</f>
        <v>0</v>
      </c>
      <c r="Q127" s="152" t="n">
        <f aca="false">IF(OR($G127=0,$J127=0),0,$I127/$J127)</f>
        <v>0</v>
      </c>
      <c r="R127" s="44" t="n">
        <f aca="false">IF(OR($G127=0,$M127=0),0,$I127/$M127)</f>
        <v>0</v>
      </c>
    </row>
    <row r="128" customFormat="false" ht="12.75" hidden="false" customHeight="true" outlineLevel="0" collapsed="false">
      <c r="A128" s="47" t="s">
        <v>300</v>
      </c>
      <c r="B128" s="154" t="str">
        <f aca="false">IFERROR(INDEX(Projects!$C$9:$C$16,MATCH($A128,Projects!$A$9:$A$16,0)),"")</f>
        <v>Mixed Use</v>
      </c>
      <c r="C128" s="155" t="n">
        <f aca="false">IF(Dashboard!$C$6="Corporate",1,IF(Dashboard!$C$6="Project",IF($A128=Dashboard!$M$6,1,0),IF($B128=Dashboard!$H$6,1,0)))</f>
        <v>1</v>
      </c>
      <c r="D128" s="200" t="n">
        <v>24</v>
      </c>
      <c r="E128" s="51" t="s">
        <v>1340</v>
      </c>
      <c r="F128" s="98" t="n">
        <v>46843</v>
      </c>
      <c r="G128" s="155" t="n">
        <f aca="false">IF($D128&lt;=Dashboard!$H$7,1,0)</f>
        <v>0</v>
      </c>
      <c r="H128" s="99" t="n">
        <v>0</v>
      </c>
      <c r="I128" s="99" t="n">
        <v>0</v>
      </c>
      <c r="J128" s="99" t="n">
        <v>0</v>
      </c>
      <c r="K128" s="99" t="n">
        <v>0</v>
      </c>
      <c r="L128" s="99" t="n">
        <v>0</v>
      </c>
      <c r="M128" s="99" t="n">
        <v>0</v>
      </c>
      <c r="N128" s="99" t="n">
        <v>0</v>
      </c>
      <c r="O128" s="99" t="n">
        <v>0</v>
      </c>
      <c r="P128" s="157" t="n">
        <f aca="false">IF(OR($G128=0,$H128=0),0,$I128/$H128)</f>
        <v>0</v>
      </c>
      <c r="Q128" s="157" t="n">
        <f aca="false">IF(OR($G128=0,$J128=0),0,$I128/$J128)</f>
        <v>0</v>
      </c>
      <c r="R128" s="50" t="n">
        <f aca="false">IF(OR($G128=0,$M128=0),0,$I128/$M128)</f>
        <v>0</v>
      </c>
    </row>
    <row r="129" customFormat="false" ht="12.75" hidden="false" customHeight="true" outlineLevel="0" collapsed="false">
      <c r="A129" s="149" t="s">
        <v>301</v>
      </c>
      <c r="B129" s="150" t="str">
        <f aca="false">IFERROR(INDEX(Projects!$C$9:$C$16,MATCH($A129,Projects!$A$9:$A$16,0)),"")</f>
        <v>Mixed Use</v>
      </c>
      <c r="C129" s="94" t="n">
        <f aca="false">IF(Dashboard!$C$6="Corporate",1,IF(Dashboard!$C$6="Project",IF($A129=Dashboard!$M$6,1,0),IF($B129=Dashboard!$H$6,1,0)))</f>
        <v>1</v>
      </c>
      <c r="D129" s="199" t="n">
        <v>1</v>
      </c>
      <c r="E129" s="45" t="s">
        <v>1317</v>
      </c>
      <c r="F129" s="85" t="n">
        <v>46142</v>
      </c>
      <c r="G129" s="94" t="n">
        <f aca="false">IF($D129&lt;=Dashboard!$H$7,1,0)</f>
        <v>1</v>
      </c>
      <c r="H129" s="92" t="n">
        <v>0</v>
      </c>
      <c r="I129" s="92" t="n">
        <v>0</v>
      </c>
      <c r="J129" s="92" t="n">
        <v>0</v>
      </c>
      <c r="K129" s="92" t="n">
        <v>0</v>
      </c>
      <c r="L129" s="92" t="n">
        <v>0</v>
      </c>
      <c r="M129" s="92" t="n">
        <v>0</v>
      </c>
      <c r="N129" s="92" t="n">
        <v>0</v>
      </c>
      <c r="O129" s="92" t="n">
        <v>0</v>
      </c>
      <c r="P129" s="152" t="n">
        <f aca="false">IF(OR($G129=0,$H129=0),0,$I129/$H129)</f>
        <v>0</v>
      </c>
      <c r="Q129" s="152" t="n">
        <f aca="false">IF(OR($G129=0,$J129=0),0,$I129/$J129)</f>
        <v>0</v>
      </c>
      <c r="R129" s="44" t="n">
        <f aca="false">IF(OR($G129=0,$M129=0),0,$I129/$M129)</f>
        <v>0</v>
      </c>
    </row>
    <row r="130" customFormat="false" ht="12.75" hidden="false" customHeight="true" outlineLevel="0" collapsed="false">
      <c r="A130" s="47" t="s">
        <v>301</v>
      </c>
      <c r="B130" s="154" t="str">
        <f aca="false">IFERROR(INDEX(Projects!$C$9:$C$16,MATCH($A130,Projects!$A$9:$A$16,0)),"")</f>
        <v>Mixed Use</v>
      </c>
      <c r="C130" s="155" t="n">
        <f aca="false">IF(Dashboard!$C$6="Corporate",1,IF(Dashboard!$C$6="Project",IF($A130=Dashboard!$M$6,1,0),IF($B130=Dashboard!$H$6,1,0)))</f>
        <v>1</v>
      </c>
      <c r="D130" s="200" t="n">
        <v>2</v>
      </c>
      <c r="E130" s="51" t="s">
        <v>1318</v>
      </c>
      <c r="F130" s="98" t="n">
        <v>46173</v>
      </c>
      <c r="G130" s="155" t="n">
        <f aca="false">IF($D130&lt;=Dashboard!$H$7,1,0)</f>
        <v>1</v>
      </c>
      <c r="H130" s="99" t="n">
        <v>2636010</v>
      </c>
      <c r="I130" s="99" t="n">
        <v>2586616</v>
      </c>
      <c r="J130" s="99" t="n">
        <v>2652939</v>
      </c>
      <c r="K130" s="99" t="n">
        <v>2200122</v>
      </c>
      <c r="L130" s="99" t="n">
        <v>8238</v>
      </c>
      <c r="M130" s="99" t="n">
        <v>8388</v>
      </c>
      <c r="N130" s="99" t="n">
        <v>0</v>
      </c>
      <c r="O130" s="99" t="n">
        <v>0</v>
      </c>
      <c r="P130" s="157" t="n">
        <f aca="false">IF(OR($G130=0,$H130=0),0,$I130/$H130)</f>
        <v>0.981261831328409</v>
      </c>
      <c r="Q130" s="157" t="n">
        <f aca="false">IF(OR($G130=0,$J130=0),0,$I130/$J130)</f>
        <v>0.97500017904671</v>
      </c>
      <c r="R130" s="50" t="n">
        <f aca="false">IF(OR($G130=0,$M130=0),0,$I130/$M130)</f>
        <v>308.371006199332</v>
      </c>
    </row>
    <row r="131" customFormat="false" ht="12.75" hidden="false" customHeight="true" outlineLevel="0" collapsed="false">
      <c r="A131" s="149" t="s">
        <v>301</v>
      </c>
      <c r="B131" s="150" t="str">
        <f aca="false">IFERROR(INDEX(Projects!$C$9:$C$16,MATCH($A131,Projects!$A$9:$A$16,0)),"")</f>
        <v>Mixed Use</v>
      </c>
      <c r="C131" s="94" t="n">
        <f aca="false">IF(Dashboard!$C$6="Corporate",1,IF(Dashboard!$C$6="Project",IF($A131=Dashboard!$M$6,1,0),IF($B131=Dashboard!$H$6,1,0)))</f>
        <v>1</v>
      </c>
      <c r="D131" s="199" t="n">
        <v>3</v>
      </c>
      <c r="E131" s="45" t="s">
        <v>1319</v>
      </c>
      <c r="F131" s="85" t="n">
        <v>46203</v>
      </c>
      <c r="G131" s="94" t="n">
        <f aca="false">IF($D131&lt;=Dashboard!$H$7,1,0)</f>
        <v>1</v>
      </c>
      <c r="H131" s="92" t="n">
        <v>2897915</v>
      </c>
      <c r="I131" s="92" t="n">
        <v>2843613</v>
      </c>
      <c r="J131" s="92" t="n">
        <v>2951012</v>
      </c>
      <c r="K131" s="92" t="n">
        <v>2418720</v>
      </c>
      <c r="L131" s="92" t="n">
        <v>9056</v>
      </c>
      <c r="M131" s="92" t="n">
        <v>9222</v>
      </c>
      <c r="N131" s="92" t="n">
        <v>1</v>
      </c>
      <c r="O131" s="92" t="n">
        <v>1</v>
      </c>
      <c r="P131" s="152" t="n">
        <f aca="false">IF(OR($G131=0,$H131=0),0,$I131/$H131)</f>
        <v>0.981261700222401</v>
      </c>
      <c r="Q131" s="152" t="n">
        <f aca="false">IF(OR($G131=0,$J131=0),0,$I131/$J131)</f>
        <v>0.963606044299379</v>
      </c>
      <c r="R131" s="44" t="n">
        <f aca="false">IF(OR($G131=0,$M131=0),0,$I131/$M131)</f>
        <v>308.351008458035</v>
      </c>
    </row>
    <row r="132" customFormat="false" ht="12.75" hidden="false" customHeight="true" outlineLevel="0" collapsed="false">
      <c r="A132" s="47" t="s">
        <v>301</v>
      </c>
      <c r="B132" s="154" t="str">
        <f aca="false">IFERROR(INDEX(Projects!$C$9:$C$16,MATCH($A132,Projects!$A$9:$A$16,0)),"")</f>
        <v>Mixed Use</v>
      </c>
      <c r="C132" s="155" t="n">
        <f aca="false">IF(Dashboard!$C$6="Corporate",1,IF(Dashboard!$C$6="Project",IF($A132=Dashboard!$M$6,1,0),IF($B132=Dashboard!$H$6,1,0)))</f>
        <v>1</v>
      </c>
      <c r="D132" s="200" t="n">
        <v>4</v>
      </c>
      <c r="E132" s="51" t="s">
        <v>1320</v>
      </c>
      <c r="F132" s="98" t="n">
        <v>46234</v>
      </c>
      <c r="G132" s="155" t="n">
        <f aca="false">IF($D132&lt;=Dashboard!$H$7,1,0)</f>
        <v>1</v>
      </c>
      <c r="H132" s="99" t="n">
        <v>2401048</v>
      </c>
      <c r="I132" s="99" t="n">
        <v>2356056</v>
      </c>
      <c r="J132" s="99" t="n">
        <v>2481496</v>
      </c>
      <c r="K132" s="99" t="n">
        <v>2004013</v>
      </c>
      <c r="L132" s="99" t="n">
        <v>7503</v>
      </c>
      <c r="M132" s="99" t="n">
        <v>7641</v>
      </c>
      <c r="N132" s="99" t="n">
        <v>1</v>
      </c>
      <c r="O132" s="99" t="n">
        <v>1</v>
      </c>
      <c r="P132" s="157" t="n">
        <f aca="false">IF(OR($G132=0,$H132=0),0,$I132/$H132)</f>
        <v>0.981261515804765</v>
      </c>
      <c r="Q132" s="157" t="n">
        <f aca="false">IF(OR($G132=0,$J132=0),0,$I132/$J132)</f>
        <v>0.949449847994919</v>
      </c>
      <c r="R132" s="50" t="n">
        <f aca="false">IF(OR($G132=0,$M132=0),0,$I132/$M132)</f>
        <v>308.343934040047</v>
      </c>
    </row>
    <row r="133" customFormat="false" ht="12.75" hidden="false" customHeight="true" outlineLevel="0" collapsed="false">
      <c r="A133" s="149" t="s">
        <v>301</v>
      </c>
      <c r="B133" s="150" t="str">
        <f aca="false">IFERROR(INDEX(Projects!$C$9:$C$16,MATCH($A133,Projects!$A$9:$A$16,0)),"")</f>
        <v>Mixed Use</v>
      </c>
      <c r="C133" s="94" t="n">
        <f aca="false">IF(Dashboard!$C$6="Corporate",1,IF(Dashboard!$C$6="Project",IF($A133=Dashboard!$M$6,1,0),IF($B133=Dashboard!$H$6,1,0)))</f>
        <v>1</v>
      </c>
      <c r="D133" s="199" t="n">
        <v>5</v>
      </c>
      <c r="E133" s="45" t="s">
        <v>1321</v>
      </c>
      <c r="F133" s="85" t="n">
        <v>46265</v>
      </c>
      <c r="G133" s="94" t="n">
        <f aca="false">IF($D133&lt;=Dashboard!$H$7,1,0)</f>
        <v>1</v>
      </c>
      <c r="H133" s="92" t="n">
        <v>3838025</v>
      </c>
      <c r="I133" s="92" t="n">
        <v>3764636</v>
      </c>
      <c r="J133" s="92" t="n">
        <v>3985469</v>
      </c>
      <c r="K133" s="92" t="n">
        <v>3202123</v>
      </c>
      <c r="L133" s="92" t="n">
        <v>11992</v>
      </c>
      <c r="M133" s="92" t="n">
        <v>12208</v>
      </c>
      <c r="N133" s="92" t="n">
        <v>1</v>
      </c>
      <c r="O133" s="92" t="n">
        <v>0</v>
      </c>
      <c r="P133" s="152" t="n">
        <f aca="false">IF(OR($G133=0,$H133=0),0,$I133/$H133)</f>
        <v>0.980878446596883</v>
      </c>
      <c r="Q133" s="152" t="n">
        <f aca="false">IF(OR($G133=0,$J133=0),0,$I133/$J133)</f>
        <v>0.944590460997188</v>
      </c>
      <c r="R133" s="44" t="n">
        <f aca="false">IF(OR($G133=0,$M133=0),0,$I133/$M133)</f>
        <v>308.374508519004</v>
      </c>
    </row>
    <row r="134" customFormat="false" ht="12.75" hidden="false" customHeight="true" outlineLevel="0" collapsed="false">
      <c r="A134" s="47" t="s">
        <v>301</v>
      </c>
      <c r="B134" s="154" t="str">
        <f aca="false">IFERROR(INDEX(Projects!$C$9:$C$16,MATCH($A134,Projects!$A$9:$A$16,0)),"")</f>
        <v>Mixed Use</v>
      </c>
      <c r="C134" s="155" t="n">
        <f aca="false">IF(Dashboard!$C$6="Corporate",1,IF(Dashboard!$C$6="Project",IF($A134=Dashboard!$M$6,1,0),IF($B134=Dashboard!$H$6,1,0)))</f>
        <v>1</v>
      </c>
      <c r="D134" s="200" t="n">
        <v>6</v>
      </c>
      <c r="E134" s="51" t="s">
        <v>1322</v>
      </c>
      <c r="F134" s="98" t="n">
        <v>46295</v>
      </c>
      <c r="G134" s="155" t="n">
        <f aca="false">IF($D134&lt;=Dashboard!$H$7,1,0)</f>
        <v>0</v>
      </c>
      <c r="H134" s="99" t="n">
        <v>5444531</v>
      </c>
      <c r="I134" s="99" t="n">
        <v>0</v>
      </c>
      <c r="J134" s="99" t="n">
        <v>0</v>
      </c>
      <c r="K134" s="99" t="n">
        <v>0</v>
      </c>
      <c r="L134" s="99" t="n">
        <v>17016</v>
      </c>
      <c r="M134" s="99" t="n">
        <v>0</v>
      </c>
      <c r="N134" s="99" t="n">
        <v>0</v>
      </c>
      <c r="O134" s="99" t="n">
        <v>0</v>
      </c>
      <c r="P134" s="157" t="n">
        <f aca="false">IF(OR($G134=0,$H134=0),0,$I134/$H134)</f>
        <v>0</v>
      </c>
      <c r="Q134" s="157" t="n">
        <f aca="false">IF(OR($G134=0,$J134=0),0,$I134/$J134)</f>
        <v>0</v>
      </c>
      <c r="R134" s="50" t="n">
        <f aca="false">IF(OR($G134=0,$M134=0),0,$I134/$M134)</f>
        <v>0</v>
      </c>
    </row>
    <row r="135" customFormat="false" ht="12.75" hidden="false" customHeight="true" outlineLevel="0" collapsed="false">
      <c r="A135" s="149" t="s">
        <v>301</v>
      </c>
      <c r="B135" s="150" t="str">
        <f aca="false">IFERROR(INDEX(Projects!$C$9:$C$16,MATCH($A135,Projects!$A$9:$A$16,0)),"")</f>
        <v>Mixed Use</v>
      </c>
      <c r="C135" s="94" t="n">
        <f aca="false">IF(Dashboard!$C$6="Corporate",1,IF(Dashboard!$C$6="Project",IF($A135=Dashboard!$M$6,1,0),IF($B135=Dashboard!$H$6,1,0)))</f>
        <v>1</v>
      </c>
      <c r="D135" s="199" t="n">
        <v>7</v>
      </c>
      <c r="E135" s="45" t="s">
        <v>1323</v>
      </c>
      <c r="F135" s="85" t="n">
        <v>46326</v>
      </c>
      <c r="G135" s="94" t="n">
        <f aca="false">IF($D135&lt;=Dashboard!$H$7,1,0)</f>
        <v>0</v>
      </c>
      <c r="H135" s="92" t="n">
        <v>6383467</v>
      </c>
      <c r="I135" s="92" t="n">
        <v>0</v>
      </c>
      <c r="J135" s="92" t="n">
        <v>0</v>
      </c>
      <c r="K135" s="92" t="n">
        <v>0</v>
      </c>
      <c r="L135" s="92" t="n">
        <v>19948</v>
      </c>
      <c r="M135" s="92" t="n">
        <v>0</v>
      </c>
      <c r="N135" s="92" t="n">
        <v>0</v>
      </c>
      <c r="O135" s="92" t="n">
        <v>0</v>
      </c>
      <c r="P135" s="152" t="n">
        <f aca="false">IF(OR($G135=0,$H135=0),0,$I135/$H135)</f>
        <v>0</v>
      </c>
      <c r="Q135" s="152" t="n">
        <f aca="false">IF(OR($G135=0,$J135=0),0,$I135/$J135)</f>
        <v>0</v>
      </c>
      <c r="R135" s="44" t="n">
        <f aca="false">IF(OR($G135=0,$M135=0),0,$I135/$M135)</f>
        <v>0</v>
      </c>
    </row>
    <row r="136" customFormat="false" ht="12.75" hidden="false" customHeight="true" outlineLevel="0" collapsed="false">
      <c r="A136" s="47" t="s">
        <v>301</v>
      </c>
      <c r="B136" s="154" t="str">
        <f aca="false">IFERROR(INDEX(Projects!$C$9:$C$16,MATCH($A136,Projects!$A$9:$A$16,0)),"")</f>
        <v>Mixed Use</v>
      </c>
      <c r="C136" s="155" t="n">
        <f aca="false">IF(Dashboard!$C$6="Corporate",1,IF(Dashboard!$C$6="Project",IF($A136=Dashboard!$M$6,1,0),IF($B136=Dashboard!$H$6,1,0)))</f>
        <v>1</v>
      </c>
      <c r="D136" s="200" t="n">
        <v>8</v>
      </c>
      <c r="E136" s="51" t="s">
        <v>1324</v>
      </c>
      <c r="F136" s="98" t="n">
        <v>46356</v>
      </c>
      <c r="G136" s="155" t="n">
        <f aca="false">IF($D136&lt;=Dashboard!$H$7,1,0)</f>
        <v>0</v>
      </c>
      <c r="H136" s="99" t="n">
        <v>7304625</v>
      </c>
      <c r="I136" s="99" t="n">
        <v>0</v>
      </c>
      <c r="J136" s="99" t="n">
        <v>0</v>
      </c>
      <c r="K136" s="99" t="n">
        <v>0</v>
      </c>
      <c r="L136" s="99" t="n">
        <v>22827</v>
      </c>
      <c r="M136" s="99" t="n">
        <v>0</v>
      </c>
      <c r="N136" s="99" t="n">
        <v>0</v>
      </c>
      <c r="O136" s="99" t="n">
        <v>0</v>
      </c>
      <c r="P136" s="157" t="n">
        <f aca="false">IF(OR($G136=0,$H136=0),0,$I136/$H136)</f>
        <v>0</v>
      </c>
      <c r="Q136" s="157" t="n">
        <f aca="false">IF(OR($G136=0,$J136=0),0,$I136/$J136)</f>
        <v>0</v>
      </c>
      <c r="R136" s="50" t="n">
        <f aca="false">IF(OR($G136=0,$M136=0),0,$I136/$M136)</f>
        <v>0</v>
      </c>
    </row>
    <row r="137" customFormat="false" ht="12.75" hidden="false" customHeight="true" outlineLevel="0" collapsed="false">
      <c r="A137" s="149" t="s">
        <v>301</v>
      </c>
      <c r="B137" s="150" t="str">
        <f aca="false">IFERROR(INDEX(Projects!$C$9:$C$16,MATCH($A137,Projects!$A$9:$A$16,0)),"")</f>
        <v>Mixed Use</v>
      </c>
      <c r="C137" s="94" t="n">
        <f aca="false">IF(Dashboard!$C$6="Corporate",1,IF(Dashboard!$C$6="Project",IF($A137=Dashboard!$M$6,1,0),IF($B137=Dashboard!$H$6,1,0)))</f>
        <v>1</v>
      </c>
      <c r="D137" s="199" t="n">
        <v>9</v>
      </c>
      <c r="E137" s="45" t="s">
        <v>1325</v>
      </c>
      <c r="F137" s="85" t="n">
        <v>46387</v>
      </c>
      <c r="G137" s="94" t="n">
        <f aca="false">IF($D137&lt;=Dashboard!$H$7,1,0)</f>
        <v>0</v>
      </c>
      <c r="H137" s="92" t="n">
        <v>7889209</v>
      </c>
      <c r="I137" s="92" t="n">
        <v>0</v>
      </c>
      <c r="J137" s="92" t="n">
        <v>0</v>
      </c>
      <c r="K137" s="92" t="n">
        <v>0</v>
      </c>
      <c r="L137" s="92" t="n">
        <v>24654</v>
      </c>
      <c r="M137" s="92" t="n">
        <v>0</v>
      </c>
      <c r="N137" s="92" t="n">
        <v>0</v>
      </c>
      <c r="O137" s="92" t="n">
        <v>0</v>
      </c>
      <c r="P137" s="152" t="n">
        <f aca="false">IF(OR($G137=0,$H137=0),0,$I137/$H137)</f>
        <v>0</v>
      </c>
      <c r="Q137" s="152" t="n">
        <f aca="false">IF(OR($G137=0,$J137=0),0,$I137/$J137)</f>
        <v>0</v>
      </c>
      <c r="R137" s="44" t="n">
        <f aca="false">IF(OR($G137=0,$M137=0),0,$I137/$M137)</f>
        <v>0</v>
      </c>
    </row>
    <row r="138" customFormat="false" ht="12.75" hidden="false" customHeight="true" outlineLevel="0" collapsed="false">
      <c r="A138" s="47" t="s">
        <v>301</v>
      </c>
      <c r="B138" s="154" t="str">
        <f aca="false">IFERROR(INDEX(Projects!$C$9:$C$16,MATCH($A138,Projects!$A$9:$A$16,0)),"")</f>
        <v>Mixed Use</v>
      </c>
      <c r="C138" s="155" t="n">
        <f aca="false">IF(Dashboard!$C$6="Corporate",1,IF(Dashboard!$C$6="Project",IF($A138=Dashboard!$M$6,1,0),IF($B138=Dashboard!$H$6,1,0)))</f>
        <v>1</v>
      </c>
      <c r="D138" s="200" t="n">
        <v>10</v>
      </c>
      <c r="E138" s="51" t="s">
        <v>1326</v>
      </c>
      <c r="F138" s="98" t="n">
        <v>46418</v>
      </c>
      <c r="G138" s="155" t="n">
        <f aca="false">IF($D138&lt;=Dashboard!$H$7,1,0)</f>
        <v>0</v>
      </c>
      <c r="H138" s="99" t="n">
        <v>8379195</v>
      </c>
      <c r="I138" s="99" t="n">
        <v>0</v>
      </c>
      <c r="J138" s="99" t="n">
        <v>0</v>
      </c>
      <c r="K138" s="99" t="n">
        <v>0</v>
      </c>
      <c r="L138" s="99" t="n">
        <v>26185</v>
      </c>
      <c r="M138" s="99" t="n">
        <v>0</v>
      </c>
      <c r="N138" s="99" t="n">
        <v>0</v>
      </c>
      <c r="O138" s="99" t="n">
        <v>0</v>
      </c>
      <c r="P138" s="157" t="n">
        <f aca="false">IF(OR($G138=0,$H138=0),0,$I138/$H138)</f>
        <v>0</v>
      </c>
      <c r="Q138" s="157" t="n">
        <f aca="false">IF(OR($G138=0,$J138=0),0,$I138/$J138)</f>
        <v>0</v>
      </c>
      <c r="R138" s="50" t="n">
        <f aca="false">IF(OR($G138=0,$M138=0),0,$I138/$M138)</f>
        <v>0</v>
      </c>
    </row>
    <row r="139" customFormat="false" ht="12.75" hidden="false" customHeight="true" outlineLevel="0" collapsed="false">
      <c r="A139" s="149" t="s">
        <v>301</v>
      </c>
      <c r="B139" s="150" t="str">
        <f aca="false">IFERROR(INDEX(Projects!$C$9:$C$16,MATCH($A139,Projects!$A$9:$A$16,0)),"")</f>
        <v>Mixed Use</v>
      </c>
      <c r="C139" s="94" t="n">
        <f aca="false">IF(Dashboard!$C$6="Corporate",1,IF(Dashboard!$C$6="Project",IF($A139=Dashboard!$M$6,1,0),IF($B139=Dashboard!$H$6,1,0)))</f>
        <v>1</v>
      </c>
      <c r="D139" s="199" t="n">
        <v>11</v>
      </c>
      <c r="E139" s="45" t="s">
        <v>1327</v>
      </c>
      <c r="F139" s="85" t="n">
        <v>46446</v>
      </c>
      <c r="G139" s="94" t="n">
        <f aca="false">IF($D139&lt;=Dashboard!$H$7,1,0)</f>
        <v>0</v>
      </c>
      <c r="H139" s="92" t="n">
        <v>7842225</v>
      </c>
      <c r="I139" s="92" t="n">
        <v>0</v>
      </c>
      <c r="J139" s="92" t="n">
        <v>0</v>
      </c>
      <c r="K139" s="92" t="n">
        <v>0</v>
      </c>
      <c r="L139" s="92" t="n">
        <v>24507</v>
      </c>
      <c r="M139" s="92" t="n">
        <v>0</v>
      </c>
      <c r="N139" s="92" t="n">
        <v>0</v>
      </c>
      <c r="O139" s="92" t="n">
        <v>0</v>
      </c>
      <c r="P139" s="152" t="n">
        <f aca="false">IF(OR($G139=0,$H139=0),0,$I139/$H139)</f>
        <v>0</v>
      </c>
      <c r="Q139" s="152" t="n">
        <f aca="false">IF(OR($G139=0,$J139=0),0,$I139/$J139)</f>
        <v>0</v>
      </c>
      <c r="R139" s="44" t="n">
        <f aca="false">IF(OR($G139=0,$M139=0),0,$I139/$M139)</f>
        <v>0</v>
      </c>
    </row>
    <row r="140" customFormat="false" ht="12.75" hidden="false" customHeight="true" outlineLevel="0" collapsed="false">
      <c r="A140" s="47" t="s">
        <v>301</v>
      </c>
      <c r="B140" s="154" t="str">
        <f aca="false">IFERROR(INDEX(Projects!$C$9:$C$16,MATCH($A140,Projects!$A$9:$A$16,0)),"")</f>
        <v>Mixed Use</v>
      </c>
      <c r="C140" s="155" t="n">
        <f aca="false">IF(Dashboard!$C$6="Corporate",1,IF(Dashboard!$C$6="Project",IF($A140=Dashboard!$M$6,1,0),IF($B140=Dashboard!$H$6,1,0)))</f>
        <v>1</v>
      </c>
      <c r="D140" s="200" t="n">
        <v>12</v>
      </c>
      <c r="E140" s="51" t="s">
        <v>1328</v>
      </c>
      <c r="F140" s="98" t="n">
        <v>46477</v>
      </c>
      <c r="G140" s="155" t="n">
        <f aca="false">IF($D140&lt;=Dashboard!$H$7,1,0)</f>
        <v>0</v>
      </c>
      <c r="H140" s="99" t="n">
        <v>7355321</v>
      </c>
      <c r="I140" s="99" t="n">
        <v>0</v>
      </c>
      <c r="J140" s="99" t="n">
        <v>0</v>
      </c>
      <c r="K140" s="99" t="n">
        <v>0</v>
      </c>
      <c r="L140" s="99" t="n">
        <v>22985</v>
      </c>
      <c r="M140" s="99" t="n">
        <v>0</v>
      </c>
      <c r="N140" s="99" t="n">
        <v>0</v>
      </c>
      <c r="O140" s="99" t="n">
        <v>0</v>
      </c>
      <c r="P140" s="157" t="n">
        <f aca="false">IF(OR($G140=0,$H140=0),0,$I140/$H140)</f>
        <v>0</v>
      </c>
      <c r="Q140" s="157" t="n">
        <f aca="false">IF(OR($G140=0,$J140=0),0,$I140/$J140)</f>
        <v>0</v>
      </c>
      <c r="R140" s="50" t="n">
        <f aca="false">IF(OR($G140=0,$M140=0),0,$I140/$M140)</f>
        <v>0</v>
      </c>
    </row>
    <row r="141" customFormat="false" ht="12.75" hidden="false" customHeight="true" outlineLevel="0" collapsed="false">
      <c r="A141" s="149" t="s">
        <v>301</v>
      </c>
      <c r="B141" s="150" t="str">
        <f aca="false">IFERROR(INDEX(Projects!$C$9:$C$16,MATCH($A141,Projects!$A$9:$A$16,0)),"")</f>
        <v>Mixed Use</v>
      </c>
      <c r="C141" s="94" t="n">
        <f aca="false">IF(Dashboard!$C$6="Corporate",1,IF(Dashboard!$C$6="Project",IF($A141=Dashboard!$M$6,1,0),IF($B141=Dashboard!$H$6,1,0)))</f>
        <v>1</v>
      </c>
      <c r="D141" s="199" t="n">
        <v>13</v>
      </c>
      <c r="E141" s="45" t="s">
        <v>1329</v>
      </c>
      <c r="F141" s="85" t="n">
        <v>46507</v>
      </c>
      <c r="G141" s="94" t="n">
        <f aca="false">IF($D141&lt;=Dashboard!$H$7,1,0)</f>
        <v>0</v>
      </c>
      <c r="H141" s="92" t="n">
        <v>6300793</v>
      </c>
      <c r="I141" s="92" t="n">
        <v>0</v>
      </c>
      <c r="J141" s="92" t="n">
        <v>0</v>
      </c>
      <c r="K141" s="92" t="n">
        <v>0</v>
      </c>
      <c r="L141" s="92" t="n">
        <v>19690</v>
      </c>
      <c r="M141" s="92" t="n">
        <v>0</v>
      </c>
      <c r="N141" s="92" t="n">
        <v>0</v>
      </c>
      <c r="O141" s="92" t="n">
        <v>0</v>
      </c>
      <c r="P141" s="152" t="n">
        <f aca="false">IF(OR($G141=0,$H141=0),0,$I141/$H141)</f>
        <v>0</v>
      </c>
      <c r="Q141" s="152" t="n">
        <f aca="false">IF(OR($G141=0,$J141=0),0,$I141/$J141)</f>
        <v>0</v>
      </c>
      <c r="R141" s="44" t="n">
        <f aca="false">IF(OR($G141=0,$M141=0),0,$I141/$M141)</f>
        <v>0</v>
      </c>
    </row>
    <row r="142" customFormat="false" ht="12.75" hidden="false" customHeight="true" outlineLevel="0" collapsed="false">
      <c r="A142" s="47" t="s">
        <v>301</v>
      </c>
      <c r="B142" s="154" t="str">
        <f aca="false">IFERROR(INDEX(Projects!$C$9:$C$16,MATCH($A142,Projects!$A$9:$A$16,0)),"")</f>
        <v>Mixed Use</v>
      </c>
      <c r="C142" s="155" t="n">
        <f aca="false">IF(Dashboard!$C$6="Corporate",1,IF(Dashboard!$C$6="Project",IF($A142=Dashboard!$M$6,1,0),IF($B142=Dashboard!$H$6,1,0)))</f>
        <v>1</v>
      </c>
      <c r="D142" s="200" t="n">
        <v>14</v>
      </c>
      <c r="E142" s="51" t="s">
        <v>1330</v>
      </c>
      <c r="F142" s="98" t="n">
        <v>46538</v>
      </c>
      <c r="G142" s="155" t="n">
        <f aca="false">IF($D142&lt;=Dashboard!$H$7,1,0)</f>
        <v>0</v>
      </c>
      <c r="H142" s="99" t="n">
        <v>4457391</v>
      </c>
      <c r="I142" s="99" t="n">
        <v>0</v>
      </c>
      <c r="J142" s="99" t="n">
        <v>0</v>
      </c>
      <c r="K142" s="99" t="n">
        <v>0</v>
      </c>
      <c r="L142" s="99" t="n">
        <v>13929</v>
      </c>
      <c r="M142" s="99" t="n">
        <v>0</v>
      </c>
      <c r="N142" s="99" t="n">
        <v>0</v>
      </c>
      <c r="O142" s="99" t="n">
        <v>0</v>
      </c>
      <c r="P142" s="157" t="n">
        <f aca="false">IF(OR($G142=0,$H142=0),0,$I142/$H142)</f>
        <v>0</v>
      </c>
      <c r="Q142" s="157" t="n">
        <f aca="false">IF(OR($G142=0,$J142=0),0,$I142/$J142)</f>
        <v>0</v>
      </c>
      <c r="R142" s="50" t="n">
        <f aca="false">IF(OR($G142=0,$M142=0),0,$I142/$M142)</f>
        <v>0</v>
      </c>
    </row>
    <row r="143" customFormat="false" ht="12.75" hidden="false" customHeight="true" outlineLevel="0" collapsed="false">
      <c r="A143" s="149" t="s">
        <v>301</v>
      </c>
      <c r="B143" s="150" t="str">
        <f aca="false">IFERROR(INDEX(Projects!$C$9:$C$16,MATCH($A143,Projects!$A$9:$A$16,0)),"")</f>
        <v>Mixed Use</v>
      </c>
      <c r="C143" s="94" t="n">
        <f aca="false">IF(Dashboard!$C$6="Corporate",1,IF(Dashboard!$C$6="Project",IF($A143=Dashboard!$M$6,1,0),IF($B143=Dashboard!$H$6,1,0)))</f>
        <v>1</v>
      </c>
      <c r="D143" s="199" t="n">
        <v>15</v>
      </c>
      <c r="E143" s="45" t="s">
        <v>1331</v>
      </c>
      <c r="F143" s="85" t="n">
        <v>46568</v>
      </c>
      <c r="G143" s="94" t="n">
        <f aca="false">IF($D143&lt;=Dashboard!$H$7,1,0)</f>
        <v>0</v>
      </c>
      <c r="H143" s="92" t="n">
        <v>3223724</v>
      </c>
      <c r="I143" s="92" t="n">
        <v>0</v>
      </c>
      <c r="J143" s="92" t="n">
        <v>0</v>
      </c>
      <c r="K143" s="92" t="n">
        <v>0</v>
      </c>
      <c r="L143" s="92" t="n">
        <v>10074</v>
      </c>
      <c r="M143" s="92" t="n">
        <v>0</v>
      </c>
      <c r="N143" s="92" t="n">
        <v>0</v>
      </c>
      <c r="O143" s="92" t="n">
        <v>0</v>
      </c>
      <c r="P143" s="152" t="n">
        <f aca="false">IF(OR($G143=0,$H143=0),0,$I143/$H143)</f>
        <v>0</v>
      </c>
      <c r="Q143" s="152" t="n">
        <f aca="false">IF(OR($G143=0,$J143=0),0,$I143/$J143)</f>
        <v>0</v>
      </c>
      <c r="R143" s="44" t="n">
        <f aca="false">IF(OR($G143=0,$M143=0),0,$I143/$M143)</f>
        <v>0</v>
      </c>
    </row>
    <row r="144" customFormat="false" ht="12.75" hidden="false" customHeight="true" outlineLevel="0" collapsed="false">
      <c r="A144" s="47" t="s">
        <v>301</v>
      </c>
      <c r="B144" s="154" t="str">
        <f aca="false">IFERROR(INDEX(Projects!$C$9:$C$16,MATCH($A144,Projects!$A$9:$A$16,0)),"")</f>
        <v>Mixed Use</v>
      </c>
      <c r="C144" s="155" t="n">
        <f aca="false">IF(Dashboard!$C$6="Corporate",1,IF(Dashboard!$C$6="Project",IF($A144=Dashboard!$M$6,1,0),IF($B144=Dashboard!$H$6,1,0)))</f>
        <v>1</v>
      </c>
      <c r="D144" s="200" t="n">
        <v>16</v>
      </c>
      <c r="E144" s="51" t="s">
        <v>1332</v>
      </c>
      <c r="F144" s="98" t="n">
        <v>46599</v>
      </c>
      <c r="G144" s="155" t="n">
        <f aca="false">IF($D144&lt;=Dashboard!$H$7,1,0)</f>
        <v>0</v>
      </c>
      <c r="H144" s="99" t="n">
        <v>4604017</v>
      </c>
      <c r="I144" s="99" t="n">
        <v>0</v>
      </c>
      <c r="J144" s="99" t="n">
        <v>0</v>
      </c>
      <c r="K144" s="99" t="n">
        <v>0</v>
      </c>
      <c r="L144" s="99" t="n">
        <v>14388</v>
      </c>
      <c r="M144" s="99" t="n">
        <v>0</v>
      </c>
      <c r="N144" s="99" t="n">
        <v>0</v>
      </c>
      <c r="O144" s="99" t="n">
        <v>0</v>
      </c>
      <c r="P144" s="157" t="n">
        <f aca="false">IF(OR($G144=0,$H144=0),0,$I144/$H144)</f>
        <v>0</v>
      </c>
      <c r="Q144" s="157" t="n">
        <f aca="false">IF(OR($G144=0,$J144=0),0,$I144/$J144)</f>
        <v>0</v>
      </c>
      <c r="R144" s="50" t="n">
        <f aca="false">IF(OR($G144=0,$M144=0),0,$I144/$M144)</f>
        <v>0</v>
      </c>
    </row>
    <row r="145" customFormat="false" ht="12.75" hidden="false" customHeight="true" outlineLevel="0" collapsed="false">
      <c r="A145" s="149" t="s">
        <v>301</v>
      </c>
      <c r="B145" s="150" t="str">
        <f aca="false">IFERROR(INDEX(Projects!$C$9:$C$16,MATCH($A145,Projects!$A$9:$A$16,0)),"")</f>
        <v>Mixed Use</v>
      </c>
      <c r="C145" s="94" t="n">
        <f aca="false">IF(Dashboard!$C$6="Corporate",1,IF(Dashboard!$C$6="Project",IF($A145=Dashboard!$M$6,1,0),IF($B145=Dashboard!$H$6,1,0)))</f>
        <v>1</v>
      </c>
      <c r="D145" s="199" t="n">
        <v>17</v>
      </c>
      <c r="E145" s="45" t="s">
        <v>1333</v>
      </c>
      <c r="F145" s="85" t="n">
        <v>46630</v>
      </c>
      <c r="G145" s="94" t="n">
        <f aca="false">IF($D145&lt;=Dashboard!$H$7,1,0)</f>
        <v>0</v>
      </c>
      <c r="H145" s="92" t="n">
        <v>2775602</v>
      </c>
      <c r="I145" s="92" t="n">
        <v>0</v>
      </c>
      <c r="J145" s="92" t="n">
        <v>0</v>
      </c>
      <c r="K145" s="92" t="n">
        <v>0</v>
      </c>
      <c r="L145" s="92" t="n">
        <v>8674</v>
      </c>
      <c r="M145" s="92" t="n">
        <v>0</v>
      </c>
      <c r="N145" s="92" t="n">
        <v>0</v>
      </c>
      <c r="O145" s="92" t="n">
        <v>0</v>
      </c>
      <c r="P145" s="152" t="n">
        <f aca="false">IF(OR($G145=0,$H145=0),0,$I145/$H145)</f>
        <v>0</v>
      </c>
      <c r="Q145" s="152" t="n">
        <f aca="false">IF(OR($G145=0,$J145=0),0,$I145/$J145)</f>
        <v>0</v>
      </c>
      <c r="R145" s="44" t="n">
        <f aca="false">IF(OR($G145=0,$M145=0),0,$I145/$M145)</f>
        <v>0</v>
      </c>
    </row>
    <row r="146" customFormat="false" ht="12.75" hidden="false" customHeight="true" outlineLevel="0" collapsed="false">
      <c r="A146" s="47" t="s">
        <v>301</v>
      </c>
      <c r="B146" s="154" t="str">
        <f aca="false">IFERROR(INDEX(Projects!$C$9:$C$16,MATCH($A146,Projects!$A$9:$A$16,0)),"")</f>
        <v>Mixed Use</v>
      </c>
      <c r="C146" s="155" t="n">
        <f aca="false">IF(Dashboard!$C$6="Corporate",1,IF(Dashboard!$C$6="Project",IF($A146=Dashboard!$M$6,1,0),IF($B146=Dashboard!$H$6,1,0)))</f>
        <v>1</v>
      </c>
      <c r="D146" s="200" t="n">
        <v>18</v>
      </c>
      <c r="E146" s="51" t="s">
        <v>1334</v>
      </c>
      <c r="F146" s="98" t="n">
        <v>46660</v>
      </c>
      <c r="G146" s="155" t="n">
        <f aca="false">IF($D146&lt;=Dashboard!$H$7,1,0)</f>
        <v>0</v>
      </c>
      <c r="H146" s="99" t="n">
        <v>0</v>
      </c>
      <c r="I146" s="99" t="n">
        <v>0</v>
      </c>
      <c r="J146" s="99" t="n">
        <v>0</v>
      </c>
      <c r="K146" s="99" t="n">
        <v>0</v>
      </c>
      <c r="L146" s="99" t="n">
        <v>0</v>
      </c>
      <c r="M146" s="99" t="n">
        <v>0</v>
      </c>
      <c r="N146" s="99" t="n">
        <v>0</v>
      </c>
      <c r="O146" s="99" t="n">
        <v>0</v>
      </c>
      <c r="P146" s="157" t="n">
        <f aca="false">IF(OR($G146=0,$H146=0),0,$I146/$H146)</f>
        <v>0</v>
      </c>
      <c r="Q146" s="157" t="n">
        <f aca="false">IF(OR($G146=0,$J146=0),0,$I146/$J146)</f>
        <v>0</v>
      </c>
      <c r="R146" s="50" t="n">
        <f aca="false">IF(OR($G146=0,$M146=0),0,$I146/$M146)</f>
        <v>0</v>
      </c>
    </row>
    <row r="147" customFormat="false" ht="12.75" hidden="false" customHeight="true" outlineLevel="0" collapsed="false">
      <c r="A147" s="149" t="s">
        <v>301</v>
      </c>
      <c r="B147" s="150" t="str">
        <f aca="false">IFERROR(INDEX(Projects!$C$9:$C$16,MATCH($A147,Projects!$A$9:$A$16,0)),"")</f>
        <v>Mixed Use</v>
      </c>
      <c r="C147" s="94" t="n">
        <f aca="false">IF(Dashboard!$C$6="Corporate",1,IF(Dashboard!$C$6="Project",IF($A147=Dashboard!$M$6,1,0),IF($B147=Dashboard!$H$6,1,0)))</f>
        <v>1</v>
      </c>
      <c r="D147" s="199" t="n">
        <v>19</v>
      </c>
      <c r="E147" s="45" t="s">
        <v>1335</v>
      </c>
      <c r="F147" s="85" t="n">
        <v>46691</v>
      </c>
      <c r="G147" s="94" t="n">
        <f aca="false">IF($D147&lt;=Dashboard!$H$7,1,0)</f>
        <v>0</v>
      </c>
      <c r="H147" s="92" t="n">
        <v>0</v>
      </c>
      <c r="I147" s="92" t="n">
        <v>0</v>
      </c>
      <c r="J147" s="92" t="n">
        <v>0</v>
      </c>
      <c r="K147" s="92" t="n">
        <v>0</v>
      </c>
      <c r="L147" s="92" t="n">
        <v>0</v>
      </c>
      <c r="M147" s="92" t="n">
        <v>0</v>
      </c>
      <c r="N147" s="92" t="n">
        <v>0</v>
      </c>
      <c r="O147" s="92" t="n">
        <v>0</v>
      </c>
      <c r="P147" s="152" t="n">
        <f aca="false">IF(OR($G147=0,$H147=0),0,$I147/$H147)</f>
        <v>0</v>
      </c>
      <c r="Q147" s="152" t="n">
        <f aca="false">IF(OR($G147=0,$J147=0),0,$I147/$J147)</f>
        <v>0</v>
      </c>
      <c r="R147" s="44" t="n">
        <f aca="false">IF(OR($G147=0,$M147=0),0,$I147/$M147)</f>
        <v>0</v>
      </c>
    </row>
    <row r="148" customFormat="false" ht="12.75" hidden="false" customHeight="true" outlineLevel="0" collapsed="false">
      <c r="A148" s="47" t="s">
        <v>301</v>
      </c>
      <c r="B148" s="154" t="str">
        <f aca="false">IFERROR(INDEX(Projects!$C$9:$C$16,MATCH($A148,Projects!$A$9:$A$16,0)),"")</f>
        <v>Mixed Use</v>
      </c>
      <c r="C148" s="155" t="n">
        <f aca="false">IF(Dashboard!$C$6="Corporate",1,IF(Dashboard!$C$6="Project",IF($A148=Dashboard!$M$6,1,0),IF($B148=Dashboard!$H$6,1,0)))</f>
        <v>1</v>
      </c>
      <c r="D148" s="200" t="n">
        <v>20</v>
      </c>
      <c r="E148" s="51" t="s">
        <v>1336</v>
      </c>
      <c r="F148" s="98" t="n">
        <v>46721</v>
      </c>
      <c r="G148" s="155" t="n">
        <f aca="false">IF($D148&lt;=Dashboard!$H$7,1,0)</f>
        <v>0</v>
      </c>
      <c r="H148" s="99" t="n">
        <v>0</v>
      </c>
      <c r="I148" s="99" t="n">
        <v>0</v>
      </c>
      <c r="J148" s="99" t="n">
        <v>0</v>
      </c>
      <c r="K148" s="99" t="n">
        <v>0</v>
      </c>
      <c r="L148" s="99" t="n">
        <v>0</v>
      </c>
      <c r="M148" s="99" t="n">
        <v>0</v>
      </c>
      <c r="N148" s="99" t="n">
        <v>0</v>
      </c>
      <c r="O148" s="99" t="n">
        <v>0</v>
      </c>
      <c r="P148" s="157" t="n">
        <f aca="false">IF(OR($G148=0,$H148=0),0,$I148/$H148)</f>
        <v>0</v>
      </c>
      <c r="Q148" s="157" t="n">
        <f aca="false">IF(OR($G148=0,$J148=0),0,$I148/$J148)</f>
        <v>0</v>
      </c>
      <c r="R148" s="50" t="n">
        <f aca="false">IF(OR($G148=0,$M148=0),0,$I148/$M148)</f>
        <v>0</v>
      </c>
    </row>
    <row r="149" customFormat="false" ht="12.75" hidden="false" customHeight="true" outlineLevel="0" collapsed="false">
      <c r="A149" s="149" t="s">
        <v>301</v>
      </c>
      <c r="B149" s="150" t="str">
        <f aca="false">IFERROR(INDEX(Projects!$C$9:$C$16,MATCH($A149,Projects!$A$9:$A$16,0)),"")</f>
        <v>Mixed Use</v>
      </c>
      <c r="C149" s="94" t="n">
        <f aca="false">IF(Dashboard!$C$6="Corporate",1,IF(Dashboard!$C$6="Project",IF($A149=Dashboard!$M$6,1,0),IF($B149=Dashboard!$H$6,1,0)))</f>
        <v>1</v>
      </c>
      <c r="D149" s="199" t="n">
        <v>21</v>
      </c>
      <c r="E149" s="45" t="s">
        <v>1337</v>
      </c>
      <c r="F149" s="85" t="n">
        <v>46752</v>
      </c>
      <c r="G149" s="94" t="n">
        <f aca="false">IF($D149&lt;=Dashboard!$H$7,1,0)</f>
        <v>0</v>
      </c>
      <c r="H149" s="92" t="n">
        <v>0</v>
      </c>
      <c r="I149" s="92" t="n">
        <v>0</v>
      </c>
      <c r="J149" s="92" t="n">
        <v>0</v>
      </c>
      <c r="K149" s="92" t="n">
        <v>0</v>
      </c>
      <c r="L149" s="92" t="n">
        <v>0</v>
      </c>
      <c r="M149" s="92" t="n">
        <v>0</v>
      </c>
      <c r="N149" s="92" t="n">
        <v>0</v>
      </c>
      <c r="O149" s="92" t="n">
        <v>0</v>
      </c>
      <c r="P149" s="152" t="n">
        <f aca="false">IF(OR($G149=0,$H149=0),0,$I149/$H149)</f>
        <v>0</v>
      </c>
      <c r="Q149" s="152" t="n">
        <f aca="false">IF(OR($G149=0,$J149=0),0,$I149/$J149)</f>
        <v>0</v>
      </c>
      <c r="R149" s="44" t="n">
        <f aca="false">IF(OR($G149=0,$M149=0),0,$I149/$M149)</f>
        <v>0</v>
      </c>
    </row>
    <row r="150" customFormat="false" ht="12.75" hidden="false" customHeight="true" outlineLevel="0" collapsed="false">
      <c r="A150" s="47" t="s">
        <v>301</v>
      </c>
      <c r="B150" s="154" t="str">
        <f aca="false">IFERROR(INDEX(Projects!$C$9:$C$16,MATCH($A150,Projects!$A$9:$A$16,0)),"")</f>
        <v>Mixed Use</v>
      </c>
      <c r="C150" s="155" t="n">
        <f aca="false">IF(Dashboard!$C$6="Corporate",1,IF(Dashboard!$C$6="Project",IF($A150=Dashboard!$M$6,1,0),IF($B150=Dashboard!$H$6,1,0)))</f>
        <v>1</v>
      </c>
      <c r="D150" s="200" t="n">
        <v>22</v>
      </c>
      <c r="E150" s="51" t="s">
        <v>1338</v>
      </c>
      <c r="F150" s="98" t="n">
        <v>46783</v>
      </c>
      <c r="G150" s="155" t="n">
        <f aca="false">IF($D150&lt;=Dashboard!$H$7,1,0)</f>
        <v>0</v>
      </c>
      <c r="H150" s="99" t="n">
        <v>0</v>
      </c>
      <c r="I150" s="99" t="n">
        <v>0</v>
      </c>
      <c r="J150" s="99" t="n">
        <v>0</v>
      </c>
      <c r="K150" s="99" t="n">
        <v>0</v>
      </c>
      <c r="L150" s="99" t="n">
        <v>0</v>
      </c>
      <c r="M150" s="99" t="n">
        <v>0</v>
      </c>
      <c r="N150" s="99" t="n">
        <v>0</v>
      </c>
      <c r="O150" s="99" t="n">
        <v>0</v>
      </c>
      <c r="P150" s="157" t="n">
        <f aca="false">IF(OR($G150=0,$H150=0),0,$I150/$H150)</f>
        <v>0</v>
      </c>
      <c r="Q150" s="157" t="n">
        <f aca="false">IF(OR($G150=0,$J150=0),0,$I150/$J150)</f>
        <v>0</v>
      </c>
      <c r="R150" s="50" t="n">
        <f aca="false">IF(OR($G150=0,$M150=0),0,$I150/$M150)</f>
        <v>0</v>
      </c>
    </row>
    <row r="151" customFormat="false" ht="12.75" hidden="false" customHeight="true" outlineLevel="0" collapsed="false">
      <c r="A151" s="149" t="s">
        <v>301</v>
      </c>
      <c r="B151" s="150" t="str">
        <f aca="false">IFERROR(INDEX(Projects!$C$9:$C$16,MATCH($A151,Projects!$A$9:$A$16,0)),"")</f>
        <v>Mixed Use</v>
      </c>
      <c r="C151" s="94" t="n">
        <f aca="false">IF(Dashboard!$C$6="Corporate",1,IF(Dashboard!$C$6="Project",IF($A151=Dashboard!$M$6,1,0),IF($B151=Dashboard!$H$6,1,0)))</f>
        <v>1</v>
      </c>
      <c r="D151" s="199" t="n">
        <v>23</v>
      </c>
      <c r="E151" s="45" t="s">
        <v>1339</v>
      </c>
      <c r="F151" s="85" t="n">
        <v>46812</v>
      </c>
      <c r="G151" s="94" t="n">
        <f aca="false">IF($D151&lt;=Dashboard!$H$7,1,0)</f>
        <v>0</v>
      </c>
      <c r="H151" s="92" t="n">
        <v>0</v>
      </c>
      <c r="I151" s="92" t="n">
        <v>0</v>
      </c>
      <c r="J151" s="92" t="n">
        <v>0</v>
      </c>
      <c r="K151" s="92" t="n">
        <v>0</v>
      </c>
      <c r="L151" s="92" t="n">
        <v>0</v>
      </c>
      <c r="M151" s="92" t="n">
        <v>0</v>
      </c>
      <c r="N151" s="92" t="n">
        <v>0</v>
      </c>
      <c r="O151" s="92" t="n">
        <v>0</v>
      </c>
      <c r="P151" s="152" t="n">
        <f aca="false">IF(OR($G151=0,$H151=0),0,$I151/$H151)</f>
        <v>0</v>
      </c>
      <c r="Q151" s="152" t="n">
        <f aca="false">IF(OR($G151=0,$J151=0),0,$I151/$J151)</f>
        <v>0</v>
      </c>
      <c r="R151" s="44" t="n">
        <f aca="false">IF(OR($G151=0,$M151=0),0,$I151/$M151)</f>
        <v>0</v>
      </c>
    </row>
    <row r="152" customFormat="false" ht="12.75" hidden="false" customHeight="true" outlineLevel="0" collapsed="false">
      <c r="A152" s="47" t="s">
        <v>301</v>
      </c>
      <c r="B152" s="154" t="str">
        <f aca="false">IFERROR(INDEX(Projects!$C$9:$C$16,MATCH($A152,Projects!$A$9:$A$16,0)),"")</f>
        <v>Mixed Use</v>
      </c>
      <c r="C152" s="155" t="n">
        <f aca="false">IF(Dashboard!$C$6="Corporate",1,IF(Dashboard!$C$6="Project",IF($A152=Dashboard!$M$6,1,0),IF($B152=Dashboard!$H$6,1,0)))</f>
        <v>1</v>
      </c>
      <c r="D152" s="200" t="n">
        <v>24</v>
      </c>
      <c r="E152" s="51" t="s">
        <v>1340</v>
      </c>
      <c r="F152" s="98" t="n">
        <v>46843</v>
      </c>
      <c r="G152" s="155" t="n">
        <f aca="false">IF($D152&lt;=Dashboard!$H$7,1,0)</f>
        <v>0</v>
      </c>
      <c r="H152" s="99" t="n">
        <v>0</v>
      </c>
      <c r="I152" s="99" t="n">
        <v>0</v>
      </c>
      <c r="J152" s="99" t="n">
        <v>0</v>
      </c>
      <c r="K152" s="99" t="n">
        <v>0</v>
      </c>
      <c r="L152" s="99" t="n">
        <v>0</v>
      </c>
      <c r="M152" s="99" t="n">
        <v>0</v>
      </c>
      <c r="N152" s="99" t="n">
        <v>0</v>
      </c>
      <c r="O152" s="99" t="n">
        <v>0</v>
      </c>
      <c r="P152" s="157" t="n">
        <f aca="false">IF(OR($G152=0,$H152=0),0,$I152/$H152)</f>
        <v>0</v>
      </c>
      <c r="Q152" s="157" t="n">
        <f aca="false">IF(OR($G152=0,$J152=0),0,$I152/$J152)</f>
        <v>0</v>
      </c>
      <c r="R152" s="50" t="n">
        <f aca="false">IF(OR($G152=0,$M152=0),0,$I152/$M152)</f>
        <v>0</v>
      </c>
    </row>
    <row r="153" customFormat="false" ht="12.75" hidden="false" customHeight="true" outlineLevel="0" collapsed="false">
      <c r="A153" s="149" t="s">
        <v>303</v>
      </c>
      <c r="B153" s="150" t="str">
        <f aca="false">IFERROR(INDEX(Projects!$C$9:$C$16,MATCH($A153,Projects!$A$9:$A$16,0)),"")</f>
        <v>Land Development</v>
      </c>
      <c r="C153" s="94" t="n">
        <f aca="false">IF(Dashboard!$C$6="Corporate",1,IF(Dashboard!$C$6="Project",IF($A153=Dashboard!$M$6,1,0),IF($B153=Dashboard!$H$6,1,0)))</f>
        <v>1</v>
      </c>
      <c r="D153" s="199" t="n">
        <v>1</v>
      </c>
      <c r="E153" s="45" t="s">
        <v>1317</v>
      </c>
      <c r="F153" s="85" t="n">
        <v>46142</v>
      </c>
      <c r="G153" s="94" t="n">
        <f aca="false">IF($D153&lt;=Dashboard!$H$7,1,0)</f>
        <v>1</v>
      </c>
      <c r="H153" s="92" t="n">
        <v>3327682</v>
      </c>
      <c r="I153" s="92" t="n">
        <v>3355203</v>
      </c>
      <c r="J153" s="92" t="n">
        <v>3308878</v>
      </c>
      <c r="K153" s="92" t="n">
        <v>2869974</v>
      </c>
      <c r="L153" s="92" t="n">
        <v>10399</v>
      </c>
      <c r="M153" s="92" t="n">
        <v>10607</v>
      </c>
      <c r="N153" s="92" t="n">
        <v>0</v>
      </c>
      <c r="O153" s="92" t="n">
        <v>0</v>
      </c>
      <c r="P153" s="152" t="n">
        <f aca="false">IF(OR($G153=0,$H153=0),0,$I153/$H153)</f>
        <v>1.00827032150308</v>
      </c>
      <c r="Q153" s="152" t="n">
        <f aca="false">IF(OR($G153=0,$J153=0),0,$I153/$J153)</f>
        <v>1.01400021396981</v>
      </c>
      <c r="R153" s="44" t="n">
        <f aca="false">IF(OR($G153=0,$M153=0),0,$I153/$M153)</f>
        <v>316.319694541341</v>
      </c>
    </row>
    <row r="154" customFormat="false" ht="12.75" hidden="false" customHeight="true" outlineLevel="0" collapsed="false">
      <c r="A154" s="47" t="s">
        <v>303</v>
      </c>
      <c r="B154" s="154" t="str">
        <f aca="false">IFERROR(INDEX(Projects!$C$9:$C$16,MATCH($A154,Projects!$A$9:$A$16,0)),"")</f>
        <v>Land Development</v>
      </c>
      <c r="C154" s="155" t="n">
        <f aca="false">IF(Dashboard!$C$6="Corporate",1,IF(Dashboard!$C$6="Project",IF($A154=Dashboard!$M$6,1,0),IF($B154=Dashboard!$H$6,1,0)))</f>
        <v>1</v>
      </c>
      <c r="D154" s="200" t="n">
        <v>2</v>
      </c>
      <c r="E154" s="51" t="s">
        <v>1318</v>
      </c>
      <c r="F154" s="98" t="n">
        <v>46173</v>
      </c>
      <c r="G154" s="155" t="n">
        <f aca="false">IF($D154&lt;=Dashboard!$H$7,1,0)</f>
        <v>1</v>
      </c>
      <c r="H154" s="99" t="n">
        <v>4376355</v>
      </c>
      <c r="I154" s="99" t="n">
        <v>4412548</v>
      </c>
      <c r="J154" s="99" t="n">
        <v>4306563</v>
      </c>
      <c r="K154" s="99" t="n">
        <v>3774406</v>
      </c>
      <c r="L154" s="99" t="n">
        <v>13676</v>
      </c>
      <c r="M154" s="99" t="n">
        <v>13949</v>
      </c>
      <c r="N154" s="99" t="n">
        <v>1</v>
      </c>
      <c r="O154" s="99" t="n">
        <v>1</v>
      </c>
      <c r="P154" s="157" t="n">
        <f aca="false">IF(OR($G154=0,$H154=0),0,$I154/$H154)</f>
        <v>1.00827012433863</v>
      </c>
      <c r="Q154" s="157" t="n">
        <f aca="false">IF(OR($G154=0,$J154=0),0,$I154/$J154)</f>
        <v>1.02461011251896</v>
      </c>
      <c r="R154" s="50" t="n">
        <f aca="false">IF(OR($G154=0,$M154=0),0,$I154/$M154)</f>
        <v>316.334360886085</v>
      </c>
    </row>
    <row r="155" customFormat="false" ht="12.75" hidden="false" customHeight="true" outlineLevel="0" collapsed="false">
      <c r="A155" s="149" t="s">
        <v>303</v>
      </c>
      <c r="B155" s="150" t="str">
        <f aca="false">IFERROR(INDEX(Projects!$C$9:$C$16,MATCH($A155,Projects!$A$9:$A$16,0)),"")</f>
        <v>Land Development</v>
      </c>
      <c r="C155" s="94" t="n">
        <f aca="false">IF(Dashboard!$C$6="Corporate",1,IF(Dashboard!$C$6="Project",IF($A155=Dashboard!$M$6,1,0),IF($B155=Dashboard!$H$6,1,0)))</f>
        <v>1</v>
      </c>
      <c r="D155" s="199" t="n">
        <v>3</v>
      </c>
      <c r="E155" s="45" t="s">
        <v>1319</v>
      </c>
      <c r="F155" s="85" t="n">
        <v>46203</v>
      </c>
      <c r="G155" s="94" t="n">
        <f aca="false">IF($D155&lt;=Dashboard!$H$7,1,0)</f>
        <v>1</v>
      </c>
      <c r="H155" s="92" t="n">
        <v>2793944</v>
      </c>
      <c r="I155" s="92" t="n">
        <v>2817051</v>
      </c>
      <c r="J155" s="92" t="n">
        <v>2701129</v>
      </c>
      <c r="K155" s="92" t="n">
        <v>2409649</v>
      </c>
      <c r="L155" s="92" t="n">
        <v>8731</v>
      </c>
      <c r="M155" s="92" t="n">
        <v>8906</v>
      </c>
      <c r="N155" s="92" t="n">
        <v>1</v>
      </c>
      <c r="O155" s="92" t="n">
        <v>1</v>
      </c>
      <c r="P155" s="152" t="n">
        <f aca="false">IF(OR($G155=0,$H155=0),0,$I155/$H155)</f>
        <v>1.00827038766704</v>
      </c>
      <c r="Q155" s="152" t="n">
        <f aca="false">IF(OR($G155=0,$J155=0),0,$I155/$J155)</f>
        <v>1.0429161287743</v>
      </c>
      <c r="R155" s="44" t="n">
        <f aca="false">IF(OR($G155=0,$M155=0),0,$I155/$M155)</f>
        <v>316.309342016618</v>
      </c>
    </row>
    <row r="156" customFormat="false" ht="12.75" hidden="false" customHeight="true" outlineLevel="0" collapsed="false">
      <c r="A156" s="47" t="s">
        <v>303</v>
      </c>
      <c r="B156" s="154" t="str">
        <f aca="false">IFERROR(INDEX(Projects!$C$9:$C$16,MATCH($A156,Projects!$A$9:$A$16,0)),"")</f>
        <v>Land Development</v>
      </c>
      <c r="C156" s="155" t="n">
        <f aca="false">IF(Dashboard!$C$6="Corporate",1,IF(Dashboard!$C$6="Project",IF($A156=Dashboard!$M$6,1,0),IF($B156=Dashboard!$H$6,1,0)))</f>
        <v>1</v>
      </c>
      <c r="D156" s="200" t="n">
        <v>4</v>
      </c>
      <c r="E156" s="51" t="s">
        <v>1320</v>
      </c>
      <c r="F156" s="98" t="n">
        <v>46234</v>
      </c>
      <c r="G156" s="155" t="n">
        <f aca="false">IF($D156&lt;=Dashboard!$H$7,1,0)</f>
        <v>1</v>
      </c>
      <c r="H156" s="99" t="n">
        <v>4255831</v>
      </c>
      <c r="I156" s="99" t="n">
        <v>4291027</v>
      </c>
      <c r="J156" s="99" t="n">
        <v>4097992</v>
      </c>
      <c r="K156" s="99" t="n">
        <v>3670460</v>
      </c>
      <c r="L156" s="99" t="n">
        <v>13299</v>
      </c>
      <c r="M156" s="99" t="n">
        <v>13565</v>
      </c>
      <c r="N156" s="99" t="n">
        <v>1</v>
      </c>
      <c r="O156" s="99" t="n">
        <v>0</v>
      </c>
      <c r="P156" s="157" t="n">
        <f aca="false">IF(OR($G156=0,$H156=0),0,$I156/$H156)</f>
        <v>1.0082700652352</v>
      </c>
      <c r="Q156" s="157" t="n">
        <f aca="false">IF(OR($G156=0,$J156=0),0,$I156/$J156)</f>
        <v>1.04710477716892</v>
      </c>
      <c r="R156" s="50" t="n">
        <f aca="false">IF(OR($G156=0,$M156=0),0,$I156/$M156)</f>
        <v>316.330777736823</v>
      </c>
    </row>
    <row r="157" customFormat="false" ht="12.75" hidden="false" customHeight="true" outlineLevel="0" collapsed="false">
      <c r="A157" s="149" t="s">
        <v>303</v>
      </c>
      <c r="B157" s="150" t="str">
        <f aca="false">IFERROR(INDEX(Projects!$C$9:$C$16,MATCH($A157,Projects!$A$9:$A$16,0)),"")</f>
        <v>Land Development</v>
      </c>
      <c r="C157" s="94" t="n">
        <f aca="false">IF(Dashboard!$C$6="Corporate",1,IF(Dashboard!$C$6="Project",IF($A157=Dashboard!$M$6,1,0),IF($B157=Dashboard!$H$6,1,0)))</f>
        <v>1</v>
      </c>
      <c r="D157" s="199" t="n">
        <v>5</v>
      </c>
      <c r="E157" s="45" t="s">
        <v>1321</v>
      </c>
      <c r="F157" s="85" t="n">
        <v>46265</v>
      </c>
      <c r="G157" s="94" t="n">
        <f aca="false">IF($D157&lt;=Dashboard!$H$7,1,0)</f>
        <v>1</v>
      </c>
      <c r="H157" s="92" t="n">
        <v>6317072</v>
      </c>
      <c r="I157" s="92" t="n">
        <v>6367295</v>
      </c>
      <c r="J157" s="92" t="n">
        <v>6050532</v>
      </c>
      <c r="K157" s="92" t="n">
        <v>5446458</v>
      </c>
      <c r="L157" s="92" t="n">
        <v>19733</v>
      </c>
      <c r="M157" s="92" t="n">
        <v>20129</v>
      </c>
      <c r="N157" s="92" t="n">
        <v>0</v>
      </c>
      <c r="O157" s="92" t="n">
        <v>0</v>
      </c>
      <c r="P157" s="152" t="n">
        <f aca="false">IF(OR($G157=0,$H157=0),0,$I157/$H157)</f>
        <v>1.00795036054679</v>
      </c>
      <c r="Q157" s="152" t="n">
        <f aca="false">IF(OR($G157=0,$J157=0),0,$I157/$J157)</f>
        <v>1.05235291706581</v>
      </c>
      <c r="R157" s="44" t="n">
        <f aca="false">IF(OR($G157=0,$M157=0),0,$I157/$M157)</f>
        <v>316.324457250733</v>
      </c>
    </row>
    <row r="158" customFormat="false" ht="12.75" hidden="false" customHeight="true" outlineLevel="0" collapsed="false">
      <c r="A158" s="47" t="s">
        <v>303</v>
      </c>
      <c r="B158" s="154" t="str">
        <f aca="false">IFERROR(INDEX(Projects!$C$9:$C$16,MATCH($A158,Projects!$A$9:$A$16,0)),"")</f>
        <v>Land Development</v>
      </c>
      <c r="C158" s="155" t="n">
        <f aca="false">IF(Dashboard!$C$6="Corporate",1,IF(Dashboard!$C$6="Project",IF($A158=Dashboard!$M$6,1,0),IF($B158=Dashboard!$H$6,1,0)))</f>
        <v>1</v>
      </c>
      <c r="D158" s="200" t="n">
        <v>6</v>
      </c>
      <c r="E158" s="51" t="s">
        <v>1322</v>
      </c>
      <c r="F158" s="98" t="n">
        <v>46295</v>
      </c>
      <c r="G158" s="155" t="n">
        <f aca="false">IF($D158&lt;=Dashboard!$H$7,1,0)</f>
        <v>0</v>
      </c>
      <c r="H158" s="99" t="n">
        <v>7834811</v>
      </c>
      <c r="I158" s="99" t="n">
        <v>0</v>
      </c>
      <c r="J158" s="99" t="n">
        <v>0</v>
      </c>
      <c r="K158" s="99" t="n">
        <v>0</v>
      </c>
      <c r="L158" s="99" t="n">
        <v>24491</v>
      </c>
      <c r="M158" s="99" t="n">
        <v>0</v>
      </c>
      <c r="N158" s="99" t="n">
        <v>0</v>
      </c>
      <c r="O158" s="99" t="n">
        <v>0</v>
      </c>
      <c r="P158" s="157" t="n">
        <f aca="false">IF(OR($G158=0,$H158=0),0,$I158/$H158)</f>
        <v>0</v>
      </c>
      <c r="Q158" s="157" t="n">
        <f aca="false">IF(OR($G158=0,$J158=0),0,$I158/$J158)</f>
        <v>0</v>
      </c>
      <c r="R158" s="50" t="n">
        <f aca="false">IF(OR($G158=0,$M158=0),0,$I158/$M158)</f>
        <v>0</v>
      </c>
    </row>
    <row r="159" customFormat="false" ht="12.75" hidden="false" customHeight="true" outlineLevel="0" collapsed="false">
      <c r="A159" s="149" t="s">
        <v>303</v>
      </c>
      <c r="B159" s="150" t="str">
        <f aca="false">IFERROR(INDEX(Projects!$C$9:$C$16,MATCH($A159,Projects!$A$9:$A$16,0)),"")</f>
        <v>Land Development</v>
      </c>
      <c r="C159" s="94" t="n">
        <f aca="false">IF(Dashboard!$C$6="Corporate",1,IF(Dashboard!$C$6="Project",IF($A159=Dashboard!$M$6,1,0),IF($B159=Dashboard!$H$6,1,0)))</f>
        <v>1</v>
      </c>
      <c r="D159" s="199" t="n">
        <v>7</v>
      </c>
      <c r="E159" s="45" t="s">
        <v>1323</v>
      </c>
      <c r="F159" s="85" t="n">
        <v>46326</v>
      </c>
      <c r="G159" s="94" t="n">
        <f aca="false">IF($D159&lt;=Dashboard!$H$7,1,0)</f>
        <v>0</v>
      </c>
      <c r="H159" s="92" t="n">
        <v>8859810</v>
      </c>
      <c r="I159" s="92" t="n">
        <v>0</v>
      </c>
      <c r="J159" s="92" t="n">
        <v>0</v>
      </c>
      <c r="K159" s="92" t="n">
        <v>0</v>
      </c>
      <c r="L159" s="92" t="n">
        <v>27687</v>
      </c>
      <c r="M159" s="92" t="n">
        <v>0</v>
      </c>
      <c r="N159" s="92" t="n">
        <v>0</v>
      </c>
      <c r="O159" s="92" t="n">
        <v>0</v>
      </c>
      <c r="P159" s="152" t="n">
        <f aca="false">IF(OR($G159=0,$H159=0),0,$I159/$H159)</f>
        <v>0</v>
      </c>
      <c r="Q159" s="152" t="n">
        <f aca="false">IF(OR($G159=0,$J159=0),0,$I159/$J159)</f>
        <v>0</v>
      </c>
      <c r="R159" s="44" t="n">
        <f aca="false">IF(OR($G159=0,$M159=0),0,$I159/$M159)</f>
        <v>0</v>
      </c>
    </row>
    <row r="160" customFormat="false" ht="12.75" hidden="false" customHeight="true" outlineLevel="0" collapsed="false">
      <c r="A160" s="47" t="s">
        <v>303</v>
      </c>
      <c r="B160" s="154" t="str">
        <f aca="false">IFERROR(INDEX(Projects!$C$9:$C$16,MATCH($A160,Projects!$A$9:$A$16,0)),"")</f>
        <v>Land Development</v>
      </c>
      <c r="C160" s="155" t="n">
        <f aca="false">IF(Dashboard!$C$6="Corporate",1,IF(Dashboard!$C$6="Project",IF($A160=Dashboard!$M$6,1,0),IF($B160=Dashboard!$H$6,1,0)))</f>
        <v>1</v>
      </c>
      <c r="D160" s="200" t="n">
        <v>8</v>
      </c>
      <c r="E160" s="51" t="s">
        <v>1324</v>
      </c>
      <c r="F160" s="98" t="n">
        <v>46356</v>
      </c>
      <c r="G160" s="155" t="n">
        <f aca="false">IF($D160&lt;=Dashboard!$H$7,1,0)</f>
        <v>0</v>
      </c>
      <c r="H160" s="99" t="n">
        <v>9874773</v>
      </c>
      <c r="I160" s="99" t="n">
        <v>0</v>
      </c>
      <c r="J160" s="99" t="n">
        <v>0</v>
      </c>
      <c r="K160" s="99" t="n">
        <v>0</v>
      </c>
      <c r="L160" s="99" t="n">
        <v>30859</v>
      </c>
      <c r="M160" s="99" t="n">
        <v>0</v>
      </c>
      <c r="N160" s="99" t="n">
        <v>0</v>
      </c>
      <c r="O160" s="99" t="n">
        <v>0</v>
      </c>
      <c r="P160" s="157" t="n">
        <f aca="false">IF(OR($G160=0,$H160=0),0,$I160/$H160)</f>
        <v>0</v>
      </c>
      <c r="Q160" s="157" t="n">
        <f aca="false">IF(OR($G160=0,$J160=0),0,$I160/$J160)</f>
        <v>0</v>
      </c>
      <c r="R160" s="50" t="n">
        <f aca="false">IF(OR($G160=0,$M160=0),0,$I160/$M160)</f>
        <v>0</v>
      </c>
    </row>
    <row r="161" customFormat="false" ht="12.75" hidden="false" customHeight="true" outlineLevel="0" collapsed="false">
      <c r="A161" s="149" t="s">
        <v>303</v>
      </c>
      <c r="B161" s="150" t="str">
        <f aca="false">IFERROR(INDEX(Projects!$C$9:$C$16,MATCH($A161,Projects!$A$9:$A$16,0)),"")</f>
        <v>Land Development</v>
      </c>
      <c r="C161" s="94" t="n">
        <f aca="false">IF(Dashboard!$C$6="Corporate",1,IF(Dashboard!$C$6="Project",IF($A161=Dashboard!$M$6,1,0),IF($B161=Dashboard!$H$6,1,0)))</f>
        <v>1</v>
      </c>
      <c r="D161" s="199" t="n">
        <v>9</v>
      </c>
      <c r="E161" s="45" t="s">
        <v>1325</v>
      </c>
      <c r="F161" s="85" t="n">
        <v>46387</v>
      </c>
      <c r="G161" s="94" t="n">
        <f aca="false">IF($D161&lt;=Dashboard!$H$7,1,0)</f>
        <v>0</v>
      </c>
      <c r="H161" s="92" t="n">
        <v>10585468</v>
      </c>
      <c r="I161" s="92" t="n">
        <v>0</v>
      </c>
      <c r="J161" s="92" t="n">
        <v>0</v>
      </c>
      <c r="K161" s="92" t="n">
        <v>0</v>
      </c>
      <c r="L161" s="92" t="n">
        <v>33080</v>
      </c>
      <c r="M161" s="92" t="n">
        <v>0</v>
      </c>
      <c r="N161" s="92" t="n">
        <v>0</v>
      </c>
      <c r="O161" s="92" t="n">
        <v>0</v>
      </c>
      <c r="P161" s="152" t="n">
        <f aca="false">IF(OR($G161=0,$H161=0),0,$I161/$H161)</f>
        <v>0</v>
      </c>
      <c r="Q161" s="152" t="n">
        <f aca="false">IF(OR($G161=0,$J161=0),0,$I161/$J161)</f>
        <v>0</v>
      </c>
      <c r="R161" s="44" t="n">
        <f aca="false">IF(OR($G161=0,$M161=0),0,$I161/$M161)</f>
        <v>0</v>
      </c>
    </row>
    <row r="162" customFormat="false" ht="12.75" hidden="false" customHeight="true" outlineLevel="0" collapsed="false">
      <c r="A162" s="47" t="s">
        <v>303</v>
      </c>
      <c r="B162" s="154" t="str">
        <f aca="false">IFERROR(INDEX(Projects!$C$9:$C$16,MATCH($A162,Projects!$A$9:$A$16,0)),"")</f>
        <v>Land Development</v>
      </c>
      <c r="C162" s="155" t="n">
        <f aca="false">IF(Dashboard!$C$6="Corporate",1,IF(Dashboard!$C$6="Project",IF($A162=Dashboard!$M$6,1,0),IF($B162=Dashboard!$H$6,1,0)))</f>
        <v>1</v>
      </c>
      <c r="D162" s="200" t="n">
        <v>10</v>
      </c>
      <c r="E162" s="51" t="s">
        <v>1326</v>
      </c>
      <c r="F162" s="98" t="n">
        <v>46418</v>
      </c>
      <c r="G162" s="155" t="n">
        <f aca="false">IF($D162&lt;=Dashboard!$H$7,1,0)</f>
        <v>0</v>
      </c>
      <c r="H162" s="99" t="n">
        <v>11195023</v>
      </c>
      <c r="I162" s="99" t="n">
        <v>0</v>
      </c>
      <c r="J162" s="99" t="n">
        <v>0</v>
      </c>
      <c r="K162" s="99" t="n">
        <v>0</v>
      </c>
      <c r="L162" s="99" t="n">
        <v>34984</v>
      </c>
      <c r="M162" s="99" t="n">
        <v>0</v>
      </c>
      <c r="N162" s="99" t="n">
        <v>0</v>
      </c>
      <c r="O162" s="99" t="n">
        <v>0</v>
      </c>
      <c r="P162" s="157" t="n">
        <f aca="false">IF(OR($G162=0,$H162=0),0,$I162/$H162)</f>
        <v>0</v>
      </c>
      <c r="Q162" s="157" t="n">
        <f aca="false">IF(OR($G162=0,$J162=0),0,$I162/$J162)</f>
        <v>0</v>
      </c>
      <c r="R162" s="50" t="n">
        <f aca="false">IF(OR($G162=0,$M162=0),0,$I162/$M162)</f>
        <v>0</v>
      </c>
    </row>
    <row r="163" customFormat="false" ht="12.75" hidden="false" customHeight="true" outlineLevel="0" collapsed="false">
      <c r="A163" s="149" t="s">
        <v>303</v>
      </c>
      <c r="B163" s="150" t="str">
        <f aca="false">IFERROR(INDEX(Projects!$C$9:$C$16,MATCH($A163,Projects!$A$9:$A$16,0)),"")</f>
        <v>Land Development</v>
      </c>
      <c r="C163" s="94" t="n">
        <f aca="false">IF(Dashboard!$C$6="Corporate",1,IF(Dashboard!$C$6="Project",IF($A163=Dashboard!$M$6,1,0),IF($B163=Dashboard!$H$6,1,0)))</f>
        <v>1</v>
      </c>
      <c r="D163" s="199" t="n">
        <v>11</v>
      </c>
      <c r="E163" s="45" t="s">
        <v>1327</v>
      </c>
      <c r="F163" s="85" t="n">
        <v>46446</v>
      </c>
      <c r="G163" s="94" t="n">
        <f aca="false">IF($D163&lt;=Dashboard!$H$7,1,0)</f>
        <v>0</v>
      </c>
      <c r="H163" s="92" t="n">
        <v>10606187</v>
      </c>
      <c r="I163" s="92" t="n">
        <v>0</v>
      </c>
      <c r="J163" s="92" t="n">
        <v>0</v>
      </c>
      <c r="K163" s="92" t="n">
        <v>0</v>
      </c>
      <c r="L163" s="92" t="n">
        <v>33144</v>
      </c>
      <c r="M163" s="92" t="n">
        <v>0</v>
      </c>
      <c r="N163" s="92" t="n">
        <v>0</v>
      </c>
      <c r="O163" s="92" t="n">
        <v>0</v>
      </c>
      <c r="P163" s="152" t="n">
        <f aca="false">IF(OR($G163=0,$H163=0),0,$I163/$H163)</f>
        <v>0</v>
      </c>
      <c r="Q163" s="152" t="n">
        <f aca="false">IF(OR($G163=0,$J163=0),0,$I163/$J163)</f>
        <v>0</v>
      </c>
      <c r="R163" s="44" t="n">
        <f aca="false">IF(OR($G163=0,$M163=0),0,$I163/$M163)</f>
        <v>0</v>
      </c>
    </row>
    <row r="164" customFormat="false" ht="12.75" hidden="false" customHeight="true" outlineLevel="0" collapsed="false">
      <c r="A164" s="47" t="s">
        <v>303</v>
      </c>
      <c r="B164" s="154" t="str">
        <f aca="false">IFERROR(INDEX(Projects!$C$9:$C$16,MATCH($A164,Projects!$A$9:$A$16,0)),"")</f>
        <v>Land Development</v>
      </c>
      <c r="C164" s="155" t="n">
        <f aca="false">IF(Dashboard!$C$6="Corporate",1,IF(Dashboard!$C$6="Project",IF($A164=Dashboard!$M$6,1,0),IF($B164=Dashboard!$H$6,1,0)))</f>
        <v>1</v>
      </c>
      <c r="D164" s="200" t="n">
        <v>12</v>
      </c>
      <c r="E164" s="51" t="s">
        <v>1328</v>
      </c>
      <c r="F164" s="98" t="n">
        <v>46477</v>
      </c>
      <c r="G164" s="155" t="n">
        <f aca="false">IF($D164&lt;=Dashboard!$H$7,1,0)</f>
        <v>0</v>
      </c>
      <c r="H164" s="99" t="n">
        <v>10019863</v>
      </c>
      <c r="I164" s="99" t="n">
        <v>0</v>
      </c>
      <c r="J164" s="99" t="n">
        <v>0</v>
      </c>
      <c r="K164" s="99" t="n">
        <v>0</v>
      </c>
      <c r="L164" s="99" t="n">
        <v>31312</v>
      </c>
      <c r="M164" s="99" t="n">
        <v>0</v>
      </c>
      <c r="N164" s="99" t="n">
        <v>0</v>
      </c>
      <c r="O164" s="99" t="n">
        <v>0</v>
      </c>
      <c r="P164" s="157" t="n">
        <f aca="false">IF(OR($G164=0,$H164=0),0,$I164/$H164)</f>
        <v>0</v>
      </c>
      <c r="Q164" s="157" t="n">
        <f aca="false">IF(OR($G164=0,$J164=0),0,$I164/$J164)</f>
        <v>0</v>
      </c>
      <c r="R164" s="50" t="n">
        <f aca="false">IF(OR($G164=0,$M164=0),0,$I164/$M164)</f>
        <v>0</v>
      </c>
    </row>
    <row r="165" customFormat="false" ht="12.75" hidden="false" customHeight="true" outlineLevel="0" collapsed="false">
      <c r="A165" s="149" t="s">
        <v>303</v>
      </c>
      <c r="B165" s="150" t="str">
        <f aca="false">IFERROR(INDEX(Projects!$C$9:$C$16,MATCH($A165,Projects!$A$9:$A$16,0)),"")</f>
        <v>Land Development</v>
      </c>
      <c r="C165" s="94" t="n">
        <f aca="false">IF(Dashboard!$C$6="Corporate",1,IF(Dashboard!$C$6="Project",IF($A165=Dashboard!$M$6,1,0),IF($B165=Dashboard!$H$6,1,0)))</f>
        <v>1</v>
      </c>
      <c r="D165" s="199" t="n">
        <v>13</v>
      </c>
      <c r="E165" s="45" t="s">
        <v>1329</v>
      </c>
      <c r="F165" s="85" t="n">
        <v>46507</v>
      </c>
      <c r="G165" s="94" t="n">
        <f aca="false">IF($D165&lt;=Dashboard!$H$7,1,0)</f>
        <v>0</v>
      </c>
      <c r="H165" s="92" t="n">
        <v>9091872</v>
      </c>
      <c r="I165" s="92" t="n">
        <v>0</v>
      </c>
      <c r="J165" s="92" t="n">
        <v>0</v>
      </c>
      <c r="K165" s="92" t="n">
        <v>0</v>
      </c>
      <c r="L165" s="92" t="n">
        <v>28412</v>
      </c>
      <c r="M165" s="92" t="n">
        <v>0</v>
      </c>
      <c r="N165" s="92" t="n">
        <v>0</v>
      </c>
      <c r="O165" s="92" t="n">
        <v>0</v>
      </c>
      <c r="P165" s="152" t="n">
        <f aca="false">IF(OR($G165=0,$H165=0),0,$I165/$H165)</f>
        <v>0</v>
      </c>
      <c r="Q165" s="152" t="n">
        <f aca="false">IF(OR($G165=0,$J165=0),0,$I165/$J165)</f>
        <v>0</v>
      </c>
      <c r="R165" s="44" t="n">
        <f aca="false">IF(OR($G165=0,$M165=0),0,$I165/$M165)</f>
        <v>0</v>
      </c>
    </row>
    <row r="166" customFormat="false" ht="12.75" hidden="false" customHeight="true" outlineLevel="0" collapsed="false">
      <c r="A166" s="47" t="s">
        <v>303</v>
      </c>
      <c r="B166" s="154" t="str">
        <f aca="false">IFERROR(INDEX(Projects!$C$9:$C$16,MATCH($A166,Projects!$A$9:$A$16,0)),"")</f>
        <v>Land Development</v>
      </c>
      <c r="C166" s="155" t="n">
        <f aca="false">IF(Dashboard!$C$6="Corporate",1,IF(Dashboard!$C$6="Project",IF($A166=Dashboard!$M$6,1,0),IF($B166=Dashboard!$H$6,1,0)))</f>
        <v>1</v>
      </c>
      <c r="D166" s="200" t="n">
        <v>14</v>
      </c>
      <c r="E166" s="51" t="s">
        <v>1330</v>
      </c>
      <c r="F166" s="98" t="n">
        <v>46538</v>
      </c>
      <c r="G166" s="155" t="n">
        <f aca="false">IF($D166&lt;=Dashboard!$H$7,1,0)</f>
        <v>0</v>
      </c>
      <c r="H166" s="99" t="n">
        <v>7303777</v>
      </c>
      <c r="I166" s="99" t="n">
        <v>0</v>
      </c>
      <c r="J166" s="99" t="n">
        <v>0</v>
      </c>
      <c r="K166" s="99" t="n">
        <v>0</v>
      </c>
      <c r="L166" s="99" t="n">
        <v>22824</v>
      </c>
      <c r="M166" s="99" t="n">
        <v>0</v>
      </c>
      <c r="N166" s="99" t="n">
        <v>0</v>
      </c>
      <c r="O166" s="99" t="n">
        <v>0</v>
      </c>
      <c r="P166" s="157" t="n">
        <f aca="false">IF(OR($G166=0,$H166=0),0,$I166/$H166)</f>
        <v>0</v>
      </c>
      <c r="Q166" s="157" t="n">
        <f aca="false">IF(OR($G166=0,$J166=0),0,$I166/$J166)</f>
        <v>0</v>
      </c>
      <c r="R166" s="50" t="n">
        <f aca="false">IF(OR($G166=0,$M166=0),0,$I166/$M166)</f>
        <v>0</v>
      </c>
    </row>
    <row r="167" customFormat="false" ht="12.75" hidden="false" customHeight="true" outlineLevel="0" collapsed="false">
      <c r="A167" s="149" t="s">
        <v>303</v>
      </c>
      <c r="B167" s="150" t="str">
        <f aca="false">IFERROR(INDEX(Projects!$C$9:$C$16,MATCH($A167,Projects!$A$9:$A$16,0)),"")</f>
        <v>Land Development</v>
      </c>
      <c r="C167" s="94" t="n">
        <f aca="false">IF(Dashboard!$C$6="Corporate",1,IF(Dashboard!$C$6="Project",IF($A167=Dashboard!$M$6,1,0),IF($B167=Dashboard!$H$6,1,0)))</f>
        <v>1</v>
      </c>
      <c r="D167" s="199" t="n">
        <v>15</v>
      </c>
      <c r="E167" s="45" t="s">
        <v>1331</v>
      </c>
      <c r="F167" s="85" t="n">
        <v>46568</v>
      </c>
      <c r="G167" s="94" t="n">
        <f aca="false">IF($D167&lt;=Dashboard!$H$7,1,0)</f>
        <v>0</v>
      </c>
      <c r="H167" s="92" t="n">
        <v>4951225</v>
      </c>
      <c r="I167" s="92" t="n">
        <v>0</v>
      </c>
      <c r="J167" s="92" t="n">
        <v>0</v>
      </c>
      <c r="K167" s="92" t="n">
        <v>0</v>
      </c>
      <c r="L167" s="92" t="n">
        <v>15473</v>
      </c>
      <c r="M167" s="92" t="n">
        <v>0</v>
      </c>
      <c r="N167" s="92" t="n">
        <v>0</v>
      </c>
      <c r="O167" s="92" t="n">
        <v>0</v>
      </c>
      <c r="P167" s="152" t="n">
        <f aca="false">IF(OR($G167=0,$H167=0),0,$I167/$H167)</f>
        <v>0</v>
      </c>
      <c r="Q167" s="152" t="n">
        <f aca="false">IF(OR($G167=0,$J167=0),0,$I167/$J167)</f>
        <v>0</v>
      </c>
      <c r="R167" s="44" t="n">
        <f aca="false">IF(OR($G167=0,$M167=0),0,$I167/$M167)</f>
        <v>0</v>
      </c>
    </row>
    <row r="168" customFormat="false" ht="12.75" hidden="false" customHeight="true" outlineLevel="0" collapsed="false">
      <c r="A168" s="47" t="s">
        <v>303</v>
      </c>
      <c r="B168" s="154" t="str">
        <f aca="false">IFERROR(INDEX(Projects!$C$9:$C$16,MATCH($A168,Projects!$A$9:$A$16,0)),"")</f>
        <v>Land Development</v>
      </c>
      <c r="C168" s="155" t="n">
        <f aca="false">IF(Dashboard!$C$6="Corporate",1,IF(Dashboard!$C$6="Project",IF($A168=Dashboard!$M$6,1,0),IF($B168=Dashboard!$H$6,1,0)))</f>
        <v>1</v>
      </c>
      <c r="D168" s="200" t="n">
        <v>16</v>
      </c>
      <c r="E168" s="51" t="s">
        <v>1332</v>
      </c>
      <c r="F168" s="98" t="n">
        <v>46599</v>
      </c>
      <c r="G168" s="155" t="n">
        <f aca="false">IF($D168&lt;=Dashboard!$H$7,1,0)</f>
        <v>0</v>
      </c>
      <c r="H168" s="99" t="n">
        <v>4651249</v>
      </c>
      <c r="I168" s="99" t="n">
        <v>0</v>
      </c>
      <c r="J168" s="99" t="n">
        <v>0</v>
      </c>
      <c r="K168" s="99" t="n">
        <v>0</v>
      </c>
      <c r="L168" s="99" t="n">
        <v>14535</v>
      </c>
      <c r="M168" s="99" t="n">
        <v>0</v>
      </c>
      <c r="N168" s="99" t="n">
        <v>0</v>
      </c>
      <c r="O168" s="99" t="n">
        <v>0</v>
      </c>
      <c r="P168" s="157" t="n">
        <f aca="false">IF(OR($G168=0,$H168=0),0,$I168/$H168)</f>
        <v>0</v>
      </c>
      <c r="Q168" s="157" t="n">
        <f aca="false">IF(OR($G168=0,$J168=0),0,$I168/$J168)</f>
        <v>0</v>
      </c>
      <c r="R168" s="50" t="n">
        <f aca="false">IF(OR($G168=0,$M168=0),0,$I168/$M168)</f>
        <v>0</v>
      </c>
    </row>
    <row r="169" customFormat="false" ht="12.75" hidden="false" customHeight="true" outlineLevel="0" collapsed="false">
      <c r="A169" s="149" t="s">
        <v>303</v>
      </c>
      <c r="B169" s="150" t="str">
        <f aca="false">IFERROR(INDEX(Projects!$C$9:$C$16,MATCH($A169,Projects!$A$9:$A$16,0)),"")</f>
        <v>Land Development</v>
      </c>
      <c r="C169" s="94" t="n">
        <f aca="false">IF(Dashboard!$C$6="Corporate",1,IF(Dashboard!$C$6="Project",IF($A169=Dashboard!$M$6,1,0),IF($B169=Dashboard!$H$6,1,0)))</f>
        <v>1</v>
      </c>
      <c r="D169" s="199" t="n">
        <v>17</v>
      </c>
      <c r="E169" s="45" t="s">
        <v>1333</v>
      </c>
      <c r="F169" s="85" t="n">
        <v>46630</v>
      </c>
      <c r="G169" s="94" t="n">
        <f aca="false">IF($D169&lt;=Dashboard!$H$7,1,0)</f>
        <v>0</v>
      </c>
      <c r="H169" s="92" t="n">
        <v>6176098</v>
      </c>
      <c r="I169" s="92" t="n">
        <v>0</v>
      </c>
      <c r="J169" s="92" t="n">
        <v>0</v>
      </c>
      <c r="K169" s="92" t="n">
        <v>0</v>
      </c>
      <c r="L169" s="92" t="n">
        <v>19300</v>
      </c>
      <c r="M169" s="92" t="n">
        <v>0</v>
      </c>
      <c r="N169" s="92" t="n">
        <v>0</v>
      </c>
      <c r="O169" s="92" t="n">
        <v>0</v>
      </c>
      <c r="P169" s="152" t="n">
        <f aca="false">IF(OR($G169=0,$H169=0),0,$I169/$H169)</f>
        <v>0</v>
      </c>
      <c r="Q169" s="152" t="n">
        <f aca="false">IF(OR($G169=0,$J169=0),0,$I169/$J169)</f>
        <v>0</v>
      </c>
      <c r="R169" s="44" t="n">
        <f aca="false">IF(OR($G169=0,$M169=0),0,$I169/$M169)</f>
        <v>0</v>
      </c>
    </row>
    <row r="170" customFormat="false" ht="12.75" hidden="false" customHeight="true" outlineLevel="0" collapsed="false">
      <c r="A170" s="47" t="s">
        <v>303</v>
      </c>
      <c r="B170" s="154" t="str">
        <f aca="false">IFERROR(INDEX(Projects!$C$9:$C$16,MATCH($A170,Projects!$A$9:$A$16,0)),"")</f>
        <v>Land Development</v>
      </c>
      <c r="C170" s="155" t="n">
        <f aca="false">IF(Dashboard!$C$6="Corporate",1,IF(Dashboard!$C$6="Project",IF($A170=Dashboard!$M$6,1,0),IF($B170=Dashboard!$H$6,1,0)))</f>
        <v>1</v>
      </c>
      <c r="D170" s="200" t="n">
        <v>18</v>
      </c>
      <c r="E170" s="51" t="s">
        <v>1334</v>
      </c>
      <c r="F170" s="98" t="n">
        <v>46660</v>
      </c>
      <c r="G170" s="155" t="n">
        <f aca="false">IF($D170&lt;=Dashboard!$H$7,1,0)</f>
        <v>0</v>
      </c>
      <c r="H170" s="99" t="n">
        <v>3450915</v>
      </c>
      <c r="I170" s="99" t="n">
        <v>0</v>
      </c>
      <c r="J170" s="99" t="n">
        <v>0</v>
      </c>
      <c r="K170" s="99" t="n">
        <v>0</v>
      </c>
      <c r="L170" s="99" t="n">
        <v>10784</v>
      </c>
      <c r="M170" s="99" t="n">
        <v>0</v>
      </c>
      <c r="N170" s="99" t="n">
        <v>0</v>
      </c>
      <c r="O170" s="99" t="n">
        <v>0</v>
      </c>
      <c r="P170" s="157" t="n">
        <f aca="false">IF(OR($G170=0,$H170=0),0,$I170/$H170)</f>
        <v>0</v>
      </c>
      <c r="Q170" s="157" t="n">
        <f aca="false">IF(OR($G170=0,$J170=0),0,$I170/$J170)</f>
        <v>0</v>
      </c>
      <c r="R170" s="50" t="n">
        <f aca="false">IF(OR($G170=0,$M170=0),0,$I170/$M170)</f>
        <v>0</v>
      </c>
    </row>
    <row r="171" customFormat="false" ht="12.75" hidden="false" customHeight="true" outlineLevel="0" collapsed="false">
      <c r="A171" s="149" t="s">
        <v>303</v>
      </c>
      <c r="B171" s="150" t="str">
        <f aca="false">IFERROR(INDEX(Projects!$C$9:$C$16,MATCH($A171,Projects!$A$9:$A$16,0)),"")</f>
        <v>Land Development</v>
      </c>
      <c r="C171" s="94" t="n">
        <f aca="false">IF(Dashboard!$C$6="Corporate",1,IF(Dashboard!$C$6="Project",IF($A171=Dashboard!$M$6,1,0),IF($B171=Dashboard!$H$6,1,0)))</f>
        <v>1</v>
      </c>
      <c r="D171" s="199" t="n">
        <v>19</v>
      </c>
      <c r="E171" s="45" t="s">
        <v>1335</v>
      </c>
      <c r="F171" s="85" t="n">
        <v>46691</v>
      </c>
      <c r="G171" s="94" t="n">
        <f aca="false">IF($D171&lt;=Dashboard!$H$7,1,0)</f>
        <v>0</v>
      </c>
      <c r="H171" s="92" t="n">
        <v>0</v>
      </c>
      <c r="I171" s="92" t="n">
        <v>0</v>
      </c>
      <c r="J171" s="92" t="n">
        <v>0</v>
      </c>
      <c r="K171" s="92" t="n">
        <v>0</v>
      </c>
      <c r="L171" s="92" t="n">
        <v>0</v>
      </c>
      <c r="M171" s="92" t="n">
        <v>0</v>
      </c>
      <c r="N171" s="92" t="n">
        <v>0</v>
      </c>
      <c r="O171" s="92" t="n">
        <v>0</v>
      </c>
      <c r="P171" s="152" t="n">
        <f aca="false">IF(OR($G171=0,$H171=0),0,$I171/$H171)</f>
        <v>0</v>
      </c>
      <c r="Q171" s="152" t="n">
        <f aca="false">IF(OR($G171=0,$J171=0),0,$I171/$J171)</f>
        <v>0</v>
      </c>
      <c r="R171" s="44" t="n">
        <f aca="false">IF(OR($G171=0,$M171=0),0,$I171/$M171)</f>
        <v>0</v>
      </c>
    </row>
    <row r="172" customFormat="false" ht="12.75" hidden="false" customHeight="true" outlineLevel="0" collapsed="false">
      <c r="A172" s="47" t="s">
        <v>303</v>
      </c>
      <c r="B172" s="154" t="str">
        <f aca="false">IFERROR(INDEX(Projects!$C$9:$C$16,MATCH($A172,Projects!$A$9:$A$16,0)),"")</f>
        <v>Land Development</v>
      </c>
      <c r="C172" s="155" t="n">
        <f aca="false">IF(Dashboard!$C$6="Corporate",1,IF(Dashboard!$C$6="Project",IF($A172=Dashboard!$M$6,1,0),IF($B172=Dashboard!$H$6,1,0)))</f>
        <v>1</v>
      </c>
      <c r="D172" s="200" t="n">
        <v>20</v>
      </c>
      <c r="E172" s="51" t="s">
        <v>1336</v>
      </c>
      <c r="F172" s="98" t="n">
        <v>46721</v>
      </c>
      <c r="G172" s="155" t="n">
        <f aca="false">IF($D172&lt;=Dashboard!$H$7,1,0)</f>
        <v>0</v>
      </c>
      <c r="H172" s="99" t="n">
        <v>0</v>
      </c>
      <c r="I172" s="99" t="n">
        <v>0</v>
      </c>
      <c r="J172" s="99" t="n">
        <v>0</v>
      </c>
      <c r="K172" s="99" t="n">
        <v>0</v>
      </c>
      <c r="L172" s="99" t="n">
        <v>0</v>
      </c>
      <c r="M172" s="99" t="n">
        <v>0</v>
      </c>
      <c r="N172" s="99" t="n">
        <v>0</v>
      </c>
      <c r="O172" s="99" t="n">
        <v>0</v>
      </c>
      <c r="P172" s="157" t="n">
        <f aca="false">IF(OR($G172=0,$H172=0),0,$I172/$H172)</f>
        <v>0</v>
      </c>
      <c r="Q172" s="157" t="n">
        <f aca="false">IF(OR($G172=0,$J172=0),0,$I172/$J172)</f>
        <v>0</v>
      </c>
      <c r="R172" s="50" t="n">
        <f aca="false">IF(OR($G172=0,$M172=0),0,$I172/$M172)</f>
        <v>0</v>
      </c>
    </row>
    <row r="173" customFormat="false" ht="12.75" hidden="false" customHeight="true" outlineLevel="0" collapsed="false">
      <c r="A173" s="149" t="s">
        <v>303</v>
      </c>
      <c r="B173" s="150" t="str">
        <f aca="false">IFERROR(INDEX(Projects!$C$9:$C$16,MATCH($A173,Projects!$A$9:$A$16,0)),"")</f>
        <v>Land Development</v>
      </c>
      <c r="C173" s="94" t="n">
        <f aca="false">IF(Dashboard!$C$6="Corporate",1,IF(Dashboard!$C$6="Project",IF($A173=Dashboard!$M$6,1,0),IF($B173=Dashboard!$H$6,1,0)))</f>
        <v>1</v>
      </c>
      <c r="D173" s="199" t="n">
        <v>21</v>
      </c>
      <c r="E173" s="45" t="s">
        <v>1337</v>
      </c>
      <c r="F173" s="85" t="n">
        <v>46752</v>
      </c>
      <c r="G173" s="94" t="n">
        <f aca="false">IF($D173&lt;=Dashboard!$H$7,1,0)</f>
        <v>0</v>
      </c>
      <c r="H173" s="92" t="n">
        <v>0</v>
      </c>
      <c r="I173" s="92" t="n">
        <v>0</v>
      </c>
      <c r="J173" s="92" t="n">
        <v>0</v>
      </c>
      <c r="K173" s="92" t="n">
        <v>0</v>
      </c>
      <c r="L173" s="92" t="n">
        <v>0</v>
      </c>
      <c r="M173" s="92" t="n">
        <v>0</v>
      </c>
      <c r="N173" s="92" t="n">
        <v>0</v>
      </c>
      <c r="O173" s="92" t="n">
        <v>0</v>
      </c>
      <c r="P173" s="152" t="n">
        <f aca="false">IF(OR($G173=0,$H173=0),0,$I173/$H173)</f>
        <v>0</v>
      </c>
      <c r="Q173" s="152" t="n">
        <f aca="false">IF(OR($G173=0,$J173=0),0,$I173/$J173)</f>
        <v>0</v>
      </c>
      <c r="R173" s="44" t="n">
        <f aca="false">IF(OR($G173=0,$M173=0),0,$I173/$M173)</f>
        <v>0</v>
      </c>
    </row>
    <row r="174" customFormat="false" ht="12.75" hidden="false" customHeight="true" outlineLevel="0" collapsed="false">
      <c r="A174" s="47" t="s">
        <v>303</v>
      </c>
      <c r="B174" s="154" t="str">
        <f aca="false">IFERROR(INDEX(Projects!$C$9:$C$16,MATCH($A174,Projects!$A$9:$A$16,0)),"")</f>
        <v>Land Development</v>
      </c>
      <c r="C174" s="155" t="n">
        <f aca="false">IF(Dashboard!$C$6="Corporate",1,IF(Dashboard!$C$6="Project",IF($A174=Dashboard!$M$6,1,0),IF($B174=Dashboard!$H$6,1,0)))</f>
        <v>1</v>
      </c>
      <c r="D174" s="200" t="n">
        <v>22</v>
      </c>
      <c r="E174" s="51" t="s">
        <v>1338</v>
      </c>
      <c r="F174" s="98" t="n">
        <v>46783</v>
      </c>
      <c r="G174" s="155" t="n">
        <f aca="false">IF($D174&lt;=Dashboard!$H$7,1,0)</f>
        <v>0</v>
      </c>
      <c r="H174" s="99" t="n">
        <v>0</v>
      </c>
      <c r="I174" s="99" t="n">
        <v>0</v>
      </c>
      <c r="J174" s="99" t="n">
        <v>0</v>
      </c>
      <c r="K174" s="99" t="n">
        <v>0</v>
      </c>
      <c r="L174" s="99" t="n">
        <v>0</v>
      </c>
      <c r="M174" s="99" t="n">
        <v>0</v>
      </c>
      <c r="N174" s="99" t="n">
        <v>0</v>
      </c>
      <c r="O174" s="99" t="n">
        <v>0</v>
      </c>
      <c r="P174" s="157" t="n">
        <f aca="false">IF(OR($G174=0,$H174=0),0,$I174/$H174)</f>
        <v>0</v>
      </c>
      <c r="Q174" s="157" t="n">
        <f aca="false">IF(OR($G174=0,$J174=0),0,$I174/$J174)</f>
        <v>0</v>
      </c>
      <c r="R174" s="50" t="n">
        <f aca="false">IF(OR($G174=0,$M174=0),0,$I174/$M174)</f>
        <v>0</v>
      </c>
    </row>
    <row r="175" customFormat="false" ht="12.75" hidden="false" customHeight="true" outlineLevel="0" collapsed="false">
      <c r="A175" s="149" t="s">
        <v>303</v>
      </c>
      <c r="B175" s="150" t="str">
        <f aca="false">IFERROR(INDEX(Projects!$C$9:$C$16,MATCH($A175,Projects!$A$9:$A$16,0)),"")</f>
        <v>Land Development</v>
      </c>
      <c r="C175" s="94" t="n">
        <f aca="false">IF(Dashboard!$C$6="Corporate",1,IF(Dashboard!$C$6="Project",IF($A175=Dashboard!$M$6,1,0),IF($B175=Dashboard!$H$6,1,0)))</f>
        <v>1</v>
      </c>
      <c r="D175" s="199" t="n">
        <v>23</v>
      </c>
      <c r="E175" s="45" t="s">
        <v>1339</v>
      </c>
      <c r="F175" s="85" t="n">
        <v>46812</v>
      </c>
      <c r="G175" s="94" t="n">
        <f aca="false">IF($D175&lt;=Dashboard!$H$7,1,0)</f>
        <v>0</v>
      </c>
      <c r="H175" s="92" t="n">
        <v>0</v>
      </c>
      <c r="I175" s="92" t="n">
        <v>0</v>
      </c>
      <c r="J175" s="92" t="n">
        <v>0</v>
      </c>
      <c r="K175" s="92" t="n">
        <v>0</v>
      </c>
      <c r="L175" s="92" t="n">
        <v>0</v>
      </c>
      <c r="M175" s="92" t="n">
        <v>0</v>
      </c>
      <c r="N175" s="92" t="n">
        <v>0</v>
      </c>
      <c r="O175" s="92" t="n">
        <v>0</v>
      </c>
      <c r="P175" s="152" t="n">
        <f aca="false">IF(OR($G175=0,$H175=0),0,$I175/$H175)</f>
        <v>0</v>
      </c>
      <c r="Q175" s="152" t="n">
        <f aca="false">IF(OR($G175=0,$J175=0),0,$I175/$J175)</f>
        <v>0</v>
      </c>
      <c r="R175" s="44" t="n">
        <f aca="false">IF(OR($G175=0,$M175=0),0,$I175/$M175)</f>
        <v>0</v>
      </c>
    </row>
    <row r="176" customFormat="false" ht="12.75" hidden="false" customHeight="true" outlineLevel="0" collapsed="false">
      <c r="A176" s="47" t="s">
        <v>303</v>
      </c>
      <c r="B176" s="154" t="str">
        <f aca="false">IFERROR(INDEX(Projects!$C$9:$C$16,MATCH($A176,Projects!$A$9:$A$16,0)),"")</f>
        <v>Land Development</v>
      </c>
      <c r="C176" s="155" t="n">
        <f aca="false">IF(Dashboard!$C$6="Corporate",1,IF(Dashboard!$C$6="Project",IF($A176=Dashboard!$M$6,1,0),IF($B176=Dashboard!$H$6,1,0)))</f>
        <v>1</v>
      </c>
      <c r="D176" s="200" t="n">
        <v>24</v>
      </c>
      <c r="E176" s="51" t="s">
        <v>1340</v>
      </c>
      <c r="F176" s="98" t="n">
        <v>46843</v>
      </c>
      <c r="G176" s="155" t="n">
        <f aca="false">IF($D176&lt;=Dashboard!$H$7,1,0)</f>
        <v>0</v>
      </c>
      <c r="H176" s="99" t="n">
        <v>-1</v>
      </c>
      <c r="I176" s="99" t="n">
        <v>0</v>
      </c>
      <c r="J176" s="99" t="n">
        <v>0</v>
      </c>
      <c r="K176" s="99" t="n">
        <v>0</v>
      </c>
      <c r="L176" s="99" t="n">
        <v>0</v>
      </c>
      <c r="M176" s="99" t="n">
        <v>0</v>
      </c>
      <c r="N176" s="99" t="n">
        <v>0</v>
      </c>
      <c r="O176" s="99" t="n">
        <v>0</v>
      </c>
      <c r="P176" s="157" t="n">
        <f aca="false">IF(OR($G176=0,$H176=0),0,$I176/$H176)</f>
        <v>0</v>
      </c>
      <c r="Q176" s="157" t="n">
        <f aca="false">IF(OR($G176=0,$J176=0),0,$I176/$J176)</f>
        <v>0</v>
      </c>
      <c r="R176" s="50" t="n">
        <f aca="false">IF(OR($G176=0,$M176=0),0,$I176/$M176)</f>
        <v>0</v>
      </c>
    </row>
    <row r="177" customFormat="false" ht="12.75" hidden="false" customHeight="true" outlineLevel="0" collapsed="false">
      <c r="A177" s="149" t="s">
        <v>304</v>
      </c>
      <c r="B177" s="150" t="str">
        <f aca="false">IFERROR(INDEX(Projects!$C$9:$C$16,MATCH($A177,Projects!$A$9:$A$16,0)),"")</f>
        <v>Land Development</v>
      </c>
      <c r="C177" s="94" t="n">
        <f aca="false">IF(Dashboard!$C$6="Corporate",1,IF(Dashboard!$C$6="Project",IF($A177=Dashboard!$M$6,1,0),IF($B177=Dashboard!$H$6,1,0)))</f>
        <v>1</v>
      </c>
      <c r="D177" s="199" t="n">
        <v>1</v>
      </c>
      <c r="E177" s="45" t="s">
        <v>1317</v>
      </c>
      <c r="F177" s="85" t="n">
        <v>46142</v>
      </c>
      <c r="G177" s="94" t="n">
        <f aca="false">IF($D177&lt;=Dashboard!$H$7,1,0)</f>
        <v>1</v>
      </c>
      <c r="H177" s="92" t="n">
        <v>0</v>
      </c>
      <c r="I177" s="92" t="n">
        <v>0</v>
      </c>
      <c r="J177" s="92" t="n">
        <v>0</v>
      </c>
      <c r="K177" s="92" t="n">
        <v>0</v>
      </c>
      <c r="L177" s="92" t="n">
        <v>0</v>
      </c>
      <c r="M177" s="92" t="n">
        <v>0</v>
      </c>
      <c r="N177" s="92" t="n">
        <v>0</v>
      </c>
      <c r="O177" s="92" t="n">
        <v>0</v>
      </c>
      <c r="P177" s="152" t="n">
        <f aca="false">IF(OR($G177=0,$H177=0),0,$I177/$H177)</f>
        <v>0</v>
      </c>
      <c r="Q177" s="152" t="n">
        <f aca="false">IF(OR($G177=0,$J177=0),0,$I177/$J177)</f>
        <v>0</v>
      </c>
      <c r="R177" s="44" t="n">
        <f aca="false">IF(OR($G177=0,$M177=0),0,$I177/$M177)</f>
        <v>0</v>
      </c>
    </row>
    <row r="178" customFormat="false" ht="12.75" hidden="false" customHeight="true" outlineLevel="0" collapsed="false">
      <c r="A178" s="47" t="s">
        <v>304</v>
      </c>
      <c r="B178" s="154" t="str">
        <f aca="false">IFERROR(INDEX(Projects!$C$9:$C$16,MATCH($A178,Projects!$A$9:$A$16,0)),"")</f>
        <v>Land Development</v>
      </c>
      <c r="C178" s="155" t="n">
        <f aca="false">IF(Dashboard!$C$6="Corporate",1,IF(Dashboard!$C$6="Project",IF($A178=Dashboard!$M$6,1,0),IF($B178=Dashboard!$H$6,1,0)))</f>
        <v>1</v>
      </c>
      <c r="D178" s="200" t="n">
        <v>2</v>
      </c>
      <c r="E178" s="51" t="s">
        <v>1318</v>
      </c>
      <c r="F178" s="98" t="n">
        <v>46173</v>
      </c>
      <c r="G178" s="155" t="n">
        <f aca="false">IF($D178&lt;=Dashboard!$H$7,1,0)</f>
        <v>1</v>
      </c>
      <c r="H178" s="99" t="n">
        <v>2030703</v>
      </c>
      <c r="I178" s="99" t="n">
        <v>1900168</v>
      </c>
      <c r="J178" s="99" t="n">
        <v>1927148</v>
      </c>
      <c r="K178" s="99" t="n">
        <v>1644436</v>
      </c>
      <c r="L178" s="99" t="n">
        <v>6346</v>
      </c>
      <c r="M178" s="99" t="n">
        <v>6363</v>
      </c>
      <c r="N178" s="99" t="n">
        <v>0</v>
      </c>
      <c r="O178" s="99" t="n">
        <v>0</v>
      </c>
      <c r="P178" s="157" t="n">
        <f aca="false">IF(OR($G178=0,$H178=0),0,$I178/$H178)</f>
        <v>0.935719305087942</v>
      </c>
      <c r="Q178" s="157" t="n">
        <f aca="false">IF(OR($G178=0,$J178=0),0,$I178/$J178)</f>
        <v>0.986000037360909</v>
      </c>
      <c r="R178" s="50" t="n">
        <f aca="false">IF(OR($G178=0,$M178=0),0,$I178/$M178)</f>
        <v>298.627691340563</v>
      </c>
    </row>
    <row r="179" customFormat="false" ht="12.75" hidden="false" customHeight="true" outlineLevel="0" collapsed="false">
      <c r="A179" s="149" t="s">
        <v>304</v>
      </c>
      <c r="B179" s="150" t="str">
        <f aca="false">IFERROR(INDEX(Projects!$C$9:$C$16,MATCH($A179,Projects!$A$9:$A$16,0)),"")</f>
        <v>Land Development</v>
      </c>
      <c r="C179" s="94" t="n">
        <f aca="false">IF(Dashboard!$C$6="Corporate",1,IF(Dashboard!$C$6="Project",IF($A179=Dashboard!$M$6,1,0),IF($B179=Dashboard!$H$6,1,0)))</f>
        <v>1</v>
      </c>
      <c r="D179" s="199" t="n">
        <v>3</v>
      </c>
      <c r="E179" s="45" t="s">
        <v>1319</v>
      </c>
      <c r="F179" s="85" t="n">
        <v>46203</v>
      </c>
      <c r="G179" s="94" t="n">
        <f aca="false">IF($D179&lt;=Dashboard!$H$7,1,0)</f>
        <v>1</v>
      </c>
      <c r="H179" s="92" t="n">
        <v>2029801</v>
      </c>
      <c r="I179" s="92" t="n">
        <v>1899325</v>
      </c>
      <c r="J179" s="92" t="n">
        <v>1949885</v>
      </c>
      <c r="K179" s="92" t="n">
        <v>1643706</v>
      </c>
      <c r="L179" s="92" t="n">
        <v>6343</v>
      </c>
      <c r="M179" s="92" t="n">
        <v>6360</v>
      </c>
      <c r="N179" s="92" t="n">
        <v>1</v>
      </c>
      <c r="O179" s="92" t="n">
        <v>1</v>
      </c>
      <c r="P179" s="152" t="n">
        <f aca="false">IF(OR($G179=0,$H179=0),0,$I179/$H179)</f>
        <v>0.935719807015565</v>
      </c>
      <c r="Q179" s="152" t="n">
        <f aca="false">IF(OR($G179=0,$J179=0),0,$I179/$J179)</f>
        <v>0.974070265682335</v>
      </c>
      <c r="R179" s="44" t="n">
        <f aca="false">IF(OR($G179=0,$M179=0),0,$I179/$M179)</f>
        <v>298.636006289308</v>
      </c>
    </row>
    <row r="180" customFormat="false" ht="12.75" hidden="false" customHeight="true" outlineLevel="0" collapsed="false">
      <c r="A180" s="47" t="s">
        <v>304</v>
      </c>
      <c r="B180" s="154" t="str">
        <f aca="false">IFERROR(INDEX(Projects!$C$9:$C$16,MATCH($A180,Projects!$A$9:$A$16,0)),"")</f>
        <v>Land Development</v>
      </c>
      <c r="C180" s="155" t="n">
        <f aca="false">IF(Dashboard!$C$6="Corporate",1,IF(Dashboard!$C$6="Project",IF($A180=Dashboard!$M$6,1,0),IF($B180=Dashboard!$H$6,1,0)))</f>
        <v>1</v>
      </c>
      <c r="D180" s="200" t="n">
        <v>4</v>
      </c>
      <c r="E180" s="51" t="s">
        <v>1320</v>
      </c>
      <c r="F180" s="98" t="n">
        <v>46234</v>
      </c>
      <c r="G180" s="155" t="n">
        <f aca="false">IF($D180&lt;=Dashboard!$H$7,1,0)</f>
        <v>1</v>
      </c>
      <c r="H180" s="99" t="n">
        <v>1953941</v>
      </c>
      <c r="I180" s="99" t="n">
        <v>1828341</v>
      </c>
      <c r="J180" s="99" t="n">
        <v>1901030</v>
      </c>
      <c r="K180" s="99" t="n">
        <v>1582275</v>
      </c>
      <c r="L180" s="99" t="n">
        <v>6106</v>
      </c>
      <c r="M180" s="99" t="n">
        <v>6122</v>
      </c>
      <c r="N180" s="99" t="n">
        <v>1</v>
      </c>
      <c r="O180" s="99" t="n">
        <v>1</v>
      </c>
      <c r="P180" s="157" t="n">
        <f aca="false">IF(OR($G180=0,$H180=0),0,$I180/$H180)</f>
        <v>0.935719655813558</v>
      </c>
      <c r="Q180" s="157" t="n">
        <f aca="false">IF(OR($G180=0,$J180=0),0,$I180/$J180)</f>
        <v>0.961763359862811</v>
      </c>
      <c r="R180" s="50" t="n">
        <f aca="false">IF(OR($G180=0,$M180=0),0,$I180/$M180)</f>
        <v>298.650931068278</v>
      </c>
    </row>
    <row r="181" customFormat="false" ht="12.75" hidden="false" customHeight="true" outlineLevel="0" collapsed="false">
      <c r="A181" s="149" t="s">
        <v>304</v>
      </c>
      <c r="B181" s="150" t="str">
        <f aca="false">IFERROR(INDEX(Projects!$C$9:$C$16,MATCH($A181,Projects!$A$9:$A$16,0)),"")</f>
        <v>Land Development</v>
      </c>
      <c r="C181" s="94" t="n">
        <f aca="false">IF(Dashboard!$C$6="Corporate",1,IF(Dashboard!$C$6="Project",IF($A181=Dashboard!$M$6,1,0),IF($B181=Dashboard!$H$6,1,0)))</f>
        <v>1</v>
      </c>
      <c r="D181" s="199" t="n">
        <v>5</v>
      </c>
      <c r="E181" s="45" t="s">
        <v>1321</v>
      </c>
      <c r="F181" s="85" t="n">
        <v>46265</v>
      </c>
      <c r="G181" s="94" t="n">
        <f aca="false">IF($D181&lt;=Dashboard!$H$7,1,0)</f>
        <v>1</v>
      </c>
      <c r="H181" s="92" t="n">
        <v>3193500</v>
      </c>
      <c r="I181" s="92" t="n">
        <v>2987639</v>
      </c>
      <c r="J181" s="92" t="n">
        <v>3122171</v>
      </c>
      <c r="K181" s="92" t="n">
        <v>2585552</v>
      </c>
      <c r="L181" s="92" t="n">
        <v>9978</v>
      </c>
      <c r="M181" s="92" t="n">
        <v>10003</v>
      </c>
      <c r="N181" s="92" t="n">
        <v>1</v>
      </c>
      <c r="O181" s="92" t="n">
        <v>0</v>
      </c>
      <c r="P181" s="152" t="n">
        <f aca="false">IF(OR($G181=0,$H181=0),0,$I181/$H181)</f>
        <v>0.9355374980429</v>
      </c>
      <c r="Q181" s="152" t="n">
        <f aca="false">IF(OR($G181=0,$J181=0),0,$I181/$J181)</f>
        <v>0.956910752165721</v>
      </c>
      <c r="R181" s="44" t="n">
        <f aca="false">IF(OR($G181=0,$M181=0),0,$I181/$M181)</f>
        <v>298.674297710687</v>
      </c>
    </row>
    <row r="182" customFormat="false" ht="12.75" hidden="false" customHeight="true" outlineLevel="0" collapsed="false">
      <c r="A182" s="47" t="s">
        <v>304</v>
      </c>
      <c r="B182" s="154" t="str">
        <f aca="false">IFERROR(INDEX(Projects!$C$9:$C$16,MATCH($A182,Projects!$A$9:$A$16,0)),"")</f>
        <v>Land Development</v>
      </c>
      <c r="C182" s="155" t="n">
        <f aca="false">IF(Dashboard!$C$6="Corporate",1,IF(Dashboard!$C$6="Project",IF($A182=Dashboard!$M$6,1,0),IF($B182=Dashboard!$H$6,1,0)))</f>
        <v>1</v>
      </c>
      <c r="D182" s="200" t="n">
        <v>6</v>
      </c>
      <c r="E182" s="51" t="s">
        <v>1322</v>
      </c>
      <c r="F182" s="98" t="n">
        <v>46295</v>
      </c>
      <c r="G182" s="155" t="n">
        <f aca="false">IF($D182&lt;=Dashboard!$H$7,1,0)</f>
        <v>0</v>
      </c>
      <c r="H182" s="99" t="n">
        <v>4331277</v>
      </c>
      <c r="I182" s="99" t="n">
        <v>0</v>
      </c>
      <c r="J182" s="99" t="n">
        <v>0</v>
      </c>
      <c r="K182" s="99" t="n">
        <v>0</v>
      </c>
      <c r="L182" s="99" t="n">
        <v>13537</v>
      </c>
      <c r="M182" s="99" t="n">
        <v>0</v>
      </c>
      <c r="N182" s="99" t="n">
        <v>0</v>
      </c>
      <c r="O182" s="99" t="n">
        <v>0</v>
      </c>
      <c r="P182" s="157" t="n">
        <f aca="false">IF(OR($G182=0,$H182=0),0,$I182/$H182)</f>
        <v>0</v>
      </c>
      <c r="Q182" s="157" t="n">
        <f aca="false">IF(OR($G182=0,$J182=0),0,$I182/$J182)</f>
        <v>0</v>
      </c>
      <c r="R182" s="50" t="n">
        <f aca="false">IF(OR($G182=0,$M182=0),0,$I182/$M182)</f>
        <v>0</v>
      </c>
    </row>
    <row r="183" customFormat="false" ht="12.75" hidden="false" customHeight="true" outlineLevel="0" collapsed="false">
      <c r="A183" s="149" t="s">
        <v>304</v>
      </c>
      <c r="B183" s="150" t="str">
        <f aca="false">IFERROR(INDEX(Projects!$C$9:$C$16,MATCH($A183,Projects!$A$9:$A$16,0)),"")</f>
        <v>Land Development</v>
      </c>
      <c r="C183" s="94" t="n">
        <f aca="false">IF(Dashboard!$C$6="Corporate",1,IF(Dashboard!$C$6="Project",IF($A183=Dashboard!$M$6,1,0),IF($B183=Dashboard!$H$6,1,0)))</f>
        <v>1</v>
      </c>
      <c r="D183" s="199" t="n">
        <v>7</v>
      </c>
      <c r="E183" s="45" t="s">
        <v>1323</v>
      </c>
      <c r="F183" s="85" t="n">
        <v>46326</v>
      </c>
      <c r="G183" s="94" t="n">
        <f aca="false">IF($D183&lt;=Dashboard!$H$7,1,0)</f>
        <v>0</v>
      </c>
      <c r="H183" s="92" t="n">
        <v>5051227</v>
      </c>
      <c r="I183" s="92" t="n">
        <v>0</v>
      </c>
      <c r="J183" s="92" t="n">
        <v>0</v>
      </c>
      <c r="K183" s="92" t="n">
        <v>0</v>
      </c>
      <c r="L183" s="92" t="n">
        <v>15785</v>
      </c>
      <c r="M183" s="92" t="n">
        <v>0</v>
      </c>
      <c r="N183" s="92" t="n">
        <v>0</v>
      </c>
      <c r="O183" s="92" t="n">
        <v>0</v>
      </c>
      <c r="P183" s="152" t="n">
        <f aca="false">IF(OR($G183=0,$H183=0),0,$I183/$H183)</f>
        <v>0</v>
      </c>
      <c r="Q183" s="152" t="n">
        <f aca="false">IF(OR($G183=0,$J183=0),0,$I183/$J183)</f>
        <v>0</v>
      </c>
      <c r="R183" s="44" t="n">
        <f aca="false">IF(OR($G183=0,$M183=0),0,$I183/$M183)</f>
        <v>0</v>
      </c>
    </row>
    <row r="184" customFormat="false" ht="12.75" hidden="false" customHeight="true" outlineLevel="0" collapsed="false">
      <c r="A184" s="47" t="s">
        <v>304</v>
      </c>
      <c r="B184" s="154" t="str">
        <f aca="false">IFERROR(INDEX(Projects!$C$9:$C$16,MATCH($A184,Projects!$A$9:$A$16,0)),"")</f>
        <v>Land Development</v>
      </c>
      <c r="C184" s="155" t="n">
        <f aca="false">IF(Dashboard!$C$6="Corporate",1,IF(Dashboard!$C$6="Project",IF($A184=Dashboard!$M$6,1,0),IF($B184=Dashboard!$H$6,1,0)))</f>
        <v>1</v>
      </c>
      <c r="D184" s="200" t="n">
        <v>8</v>
      </c>
      <c r="E184" s="51" t="s">
        <v>1324</v>
      </c>
      <c r="F184" s="98" t="n">
        <v>46356</v>
      </c>
      <c r="G184" s="155" t="n">
        <f aca="false">IF($D184&lt;=Dashboard!$H$7,1,0)</f>
        <v>0</v>
      </c>
      <c r="H184" s="99" t="n">
        <v>5637792</v>
      </c>
      <c r="I184" s="99" t="n">
        <v>0</v>
      </c>
      <c r="J184" s="99" t="n">
        <v>0</v>
      </c>
      <c r="K184" s="99" t="n">
        <v>0</v>
      </c>
      <c r="L184" s="99" t="n">
        <v>17618</v>
      </c>
      <c r="M184" s="99" t="n">
        <v>0</v>
      </c>
      <c r="N184" s="99" t="n">
        <v>0</v>
      </c>
      <c r="O184" s="99" t="n">
        <v>0</v>
      </c>
      <c r="P184" s="157" t="n">
        <f aca="false">IF(OR($G184=0,$H184=0),0,$I184/$H184)</f>
        <v>0</v>
      </c>
      <c r="Q184" s="157" t="n">
        <f aca="false">IF(OR($G184=0,$J184=0),0,$I184/$J184)</f>
        <v>0</v>
      </c>
      <c r="R184" s="50" t="n">
        <f aca="false">IF(OR($G184=0,$M184=0),0,$I184/$M184)</f>
        <v>0</v>
      </c>
    </row>
    <row r="185" customFormat="false" ht="12.75" hidden="false" customHeight="true" outlineLevel="0" collapsed="false">
      <c r="A185" s="149" t="s">
        <v>304</v>
      </c>
      <c r="B185" s="150" t="str">
        <f aca="false">IFERROR(INDEX(Projects!$C$9:$C$16,MATCH($A185,Projects!$A$9:$A$16,0)),"")</f>
        <v>Land Development</v>
      </c>
      <c r="C185" s="94" t="n">
        <f aca="false">IF(Dashboard!$C$6="Corporate",1,IF(Dashboard!$C$6="Project",IF($A185=Dashboard!$M$6,1,0),IF($B185=Dashboard!$H$6,1,0)))</f>
        <v>1</v>
      </c>
      <c r="D185" s="199" t="n">
        <v>9</v>
      </c>
      <c r="E185" s="45" t="s">
        <v>1325</v>
      </c>
      <c r="F185" s="85" t="n">
        <v>46387</v>
      </c>
      <c r="G185" s="94" t="n">
        <f aca="false">IF($D185&lt;=Dashboard!$H$7,1,0)</f>
        <v>0</v>
      </c>
      <c r="H185" s="92" t="n">
        <v>6192948</v>
      </c>
      <c r="I185" s="92" t="n">
        <v>0</v>
      </c>
      <c r="J185" s="92" t="n">
        <v>0</v>
      </c>
      <c r="K185" s="92" t="n">
        <v>0</v>
      </c>
      <c r="L185" s="92" t="n">
        <v>19353</v>
      </c>
      <c r="M185" s="92" t="n">
        <v>0</v>
      </c>
      <c r="N185" s="92" t="n">
        <v>0</v>
      </c>
      <c r="O185" s="92" t="n">
        <v>0</v>
      </c>
      <c r="P185" s="152" t="n">
        <f aca="false">IF(OR($G185=0,$H185=0),0,$I185/$H185)</f>
        <v>0</v>
      </c>
      <c r="Q185" s="152" t="n">
        <f aca="false">IF(OR($G185=0,$J185=0),0,$I185/$J185)</f>
        <v>0</v>
      </c>
      <c r="R185" s="44" t="n">
        <f aca="false">IF(OR($G185=0,$M185=0),0,$I185/$M185)</f>
        <v>0</v>
      </c>
    </row>
    <row r="186" customFormat="false" ht="12.75" hidden="false" customHeight="true" outlineLevel="0" collapsed="false">
      <c r="A186" s="47" t="s">
        <v>304</v>
      </c>
      <c r="B186" s="154" t="str">
        <f aca="false">IFERROR(INDEX(Projects!$C$9:$C$16,MATCH($A186,Projects!$A$9:$A$16,0)),"")</f>
        <v>Land Development</v>
      </c>
      <c r="C186" s="155" t="n">
        <f aca="false">IF(Dashboard!$C$6="Corporate",1,IF(Dashboard!$C$6="Project",IF($A186=Dashboard!$M$6,1,0),IF($B186=Dashboard!$H$6,1,0)))</f>
        <v>1</v>
      </c>
      <c r="D186" s="200" t="n">
        <v>10</v>
      </c>
      <c r="E186" s="51" t="s">
        <v>1326</v>
      </c>
      <c r="F186" s="98" t="n">
        <v>46418</v>
      </c>
      <c r="G186" s="155" t="n">
        <f aca="false">IF($D186&lt;=Dashboard!$H$7,1,0)</f>
        <v>0</v>
      </c>
      <c r="H186" s="99" t="n">
        <v>6107514</v>
      </c>
      <c r="I186" s="99" t="n">
        <v>0</v>
      </c>
      <c r="J186" s="99" t="n">
        <v>0</v>
      </c>
      <c r="K186" s="99" t="n">
        <v>0</v>
      </c>
      <c r="L186" s="99" t="n">
        <v>19086</v>
      </c>
      <c r="M186" s="99" t="n">
        <v>0</v>
      </c>
      <c r="N186" s="99" t="n">
        <v>0</v>
      </c>
      <c r="O186" s="99" t="n">
        <v>0</v>
      </c>
      <c r="P186" s="157" t="n">
        <f aca="false">IF(OR($G186=0,$H186=0),0,$I186/$H186)</f>
        <v>0</v>
      </c>
      <c r="Q186" s="157" t="n">
        <f aca="false">IF(OR($G186=0,$J186=0),0,$I186/$J186)</f>
        <v>0</v>
      </c>
      <c r="R186" s="50" t="n">
        <f aca="false">IF(OR($G186=0,$M186=0),0,$I186/$M186)</f>
        <v>0</v>
      </c>
    </row>
    <row r="187" customFormat="false" ht="12.75" hidden="false" customHeight="true" outlineLevel="0" collapsed="false">
      <c r="A187" s="149" t="s">
        <v>304</v>
      </c>
      <c r="B187" s="150" t="str">
        <f aca="false">IFERROR(INDEX(Projects!$C$9:$C$16,MATCH($A187,Projects!$A$9:$A$16,0)),"")</f>
        <v>Land Development</v>
      </c>
      <c r="C187" s="94" t="n">
        <f aca="false">IF(Dashboard!$C$6="Corporate",1,IF(Dashboard!$C$6="Project",IF($A187=Dashboard!$M$6,1,0),IF($B187=Dashboard!$H$6,1,0)))</f>
        <v>1</v>
      </c>
      <c r="D187" s="199" t="n">
        <v>11</v>
      </c>
      <c r="E187" s="45" t="s">
        <v>1327</v>
      </c>
      <c r="F187" s="85" t="n">
        <v>46446</v>
      </c>
      <c r="G187" s="94" t="n">
        <f aca="false">IF($D187&lt;=Dashboard!$H$7,1,0)</f>
        <v>0</v>
      </c>
      <c r="H187" s="92" t="n">
        <v>5648587</v>
      </c>
      <c r="I187" s="92" t="n">
        <v>0</v>
      </c>
      <c r="J187" s="92" t="n">
        <v>0</v>
      </c>
      <c r="K187" s="92" t="n">
        <v>0</v>
      </c>
      <c r="L187" s="92" t="n">
        <v>17652</v>
      </c>
      <c r="M187" s="92" t="n">
        <v>0</v>
      </c>
      <c r="N187" s="92" t="n">
        <v>0</v>
      </c>
      <c r="O187" s="92" t="n">
        <v>0</v>
      </c>
      <c r="P187" s="152" t="n">
        <f aca="false">IF(OR($G187=0,$H187=0),0,$I187/$H187)</f>
        <v>0</v>
      </c>
      <c r="Q187" s="152" t="n">
        <f aca="false">IF(OR($G187=0,$J187=0),0,$I187/$J187)</f>
        <v>0</v>
      </c>
      <c r="R187" s="44" t="n">
        <f aca="false">IF(OR($G187=0,$M187=0),0,$I187/$M187)</f>
        <v>0</v>
      </c>
    </row>
    <row r="188" customFormat="false" ht="12.75" hidden="false" customHeight="true" outlineLevel="0" collapsed="false">
      <c r="A188" s="47" t="s">
        <v>304</v>
      </c>
      <c r="B188" s="154" t="str">
        <f aca="false">IFERROR(INDEX(Projects!$C$9:$C$16,MATCH($A188,Projects!$A$9:$A$16,0)),"")</f>
        <v>Land Development</v>
      </c>
      <c r="C188" s="155" t="n">
        <f aca="false">IF(Dashboard!$C$6="Corporate",1,IF(Dashboard!$C$6="Project",IF($A188=Dashboard!$M$6,1,0),IF($B188=Dashboard!$H$6,1,0)))</f>
        <v>1</v>
      </c>
      <c r="D188" s="200" t="n">
        <v>12</v>
      </c>
      <c r="E188" s="51" t="s">
        <v>1328</v>
      </c>
      <c r="F188" s="98" t="n">
        <v>46477</v>
      </c>
      <c r="G188" s="155" t="n">
        <f aca="false">IF($D188&lt;=Dashboard!$H$7,1,0)</f>
        <v>0</v>
      </c>
      <c r="H188" s="99" t="n">
        <v>5022670</v>
      </c>
      <c r="I188" s="99" t="n">
        <v>0</v>
      </c>
      <c r="J188" s="99" t="n">
        <v>0</v>
      </c>
      <c r="K188" s="99" t="n">
        <v>0</v>
      </c>
      <c r="L188" s="99" t="n">
        <v>15696</v>
      </c>
      <c r="M188" s="99" t="n">
        <v>0</v>
      </c>
      <c r="N188" s="99" t="n">
        <v>0</v>
      </c>
      <c r="O188" s="99" t="n">
        <v>0</v>
      </c>
      <c r="P188" s="157" t="n">
        <f aca="false">IF(OR($G188=0,$H188=0),0,$I188/$H188)</f>
        <v>0</v>
      </c>
      <c r="Q188" s="157" t="n">
        <f aca="false">IF(OR($G188=0,$J188=0),0,$I188/$J188)</f>
        <v>0</v>
      </c>
      <c r="R188" s="50" t="n">
        <f aca="false">IF(OR($G188=0,$M188=0),0,$I188/$M188)</f>
        <v>0</v>
      </c>
    </row>
    <row r="189" customFormat="false" ht="12.75" hidden="false" customHeight="true" outlineLevel="0" collapsed="false">
      <c r="A189" s="149" t="s">
        <v>304</v>
      </c>
      <c r="B189" s="150" t="str">
        <f aca="false">IFERROR(INDEX(Projects!$C$9:$C$16,MATCH($A189,Projects!$A$9:$A$16,0)),"")</f>
        <v>Land Development</v>
      </c>
      <c r="C189" s="94" t="n">
        <f aca="false">IF(Dashboard!$C$6="Corporate",1,IF(Dashboard!$C$6="Project",IF($A189=Dashboard!$M$6,1,0),IF($B189=Dashboard!$H$6,1,0)))</f>
        <v>1</v>
      </c>
      <c r="D189" s="199" t="n">
        <v>13</v>
      </c>
      <c r="E189" s="45" t="s">
        <v>1329</v>
      </c>
      <c r="F189" s="85" t="n">
        <v>46507</v>
      </c>
      <c r="G189" s="94" t="n">
        <f aca="false">IF($D189&lt;=Dashboard!$H$7,1,0)</f>
        <v>0</v>
      </c>
      <c r="H189" s="92" t="n">
        <v>3700599</v>
      </c>
      <c r="I189" s="92" t="n">
        <v>0</v>
      </c>
      <c r="J189" s="92" t="n">
        <v>0</v>
      </c>
      <c r="K189" s="92" t="n">
        <v>0</v>
      </c>
      <c r="L189" s="92" t="n">
        <v>11564</v>
      </c>
      <c r="M189" s="92" t="n">
        <v>0</v>
      </c>
      <c r="N189" s="92" t="n">
        <v>0</v>
      </c>
      <c r="O189" s="92" t="n">
        <v>0</v>
      </c>
      <c r="P189" s="152" t="n">
        <f aca="false">IF(OR($G189=0,$H189=0),0,$I189/$H189)</f>
        <v>0</v>
      </c>
      <c r="Q189" s="152" t="n">
        <f aca="false">IF(OR($G189=0,$J189=0),0,$I189/$J189)</f>
        <v>0</v>
      </c>
      <c r="R189" s="44" t="n">
        <f aca="false">IF(OR($G189=0,$M189=0),0,$I189/$M189)</f>
        <v>0</v>
      </c>
    </row>
    <row r="190" customFormat="false" ht="12.75" hidden="false" customHeight="true" outlineLevel="0" collapsed="false">
      <c r="A190" s="47" t="s">
        <v>304</v>
      </c>
      <c r="B190" s="154" t="str">
        <f aca="false">IFERROR(INDEX(Projects!$C$9:$C$16,MATCH($A190,Projects!$A$9:$A$16,0)),"")</f>
        <v>Land Development</v>
      </c>
      <c r="C190" s="155" t="n">
        <f aca="false">IF(Dashboard!$C$6="Corporate",1,IF(Dashboard!$C$6="Project",IF($A190=Dashboard!$M$6,1,0),IF($B190=Dashboard!$H$6,1,0)))</f>
        <v>1</v>
      </c>
      <c r="D190" s="200" t="n">
        <v>14</v>
      </c>
      <c r="E190" s="51" t="s">
        <v>1330</v>
      </c>
      <c r="F190" s="98" t="n">
        <v>46538</v>
      </c>
      <c r="G190" s="155" t="n">
        <f aca="false">IF($D190&lt;=Dashboard!$H$7,1,0)</f>
        <v>0</v>
      </c>
      <c r="H190" s="99" t="n">
        <v>2407474</v>
      </c>
      <c r="I190" s="99" t="n">
        <v>0</v>
      </c>
      <c r="J190" s="99" t="n">
        <v>0</v>
      </c>
      <c r="K190" s="99" t="n">
        <v>0</v>
      </c>
      <c r="L190" s="99" t="n">
        <v>7523</v>
      </c>
      <c r="M190" s="99" t="n">
        <v>0</v>
      </c>
      <c r="N190" s="99" t="n">
        <v>0</v>
      </c>
      <c r="O190" s="99" t="n">
        <v>0</v>
      </c>
      <c r="P190" s="157" t="n">
        <f aca="false">IF(OR($G190=0,$H190=0),0,$I190/$H190)</f>
        <v>0</v>
      </c>
      <c r="Q190" s="157" t="n">
        <f aca="false">IF(OR($G190=0,$J190=0),0,$I190/$J190)</f>
        <v>0</v>
      </c>
      <c r="R190" s="50" t="n">
        <f aca="false">IF(OR($G190=0,$M190=0),0,$I190/$M190)</f>
        <v>0</v>
      </c>
    </row>
    <row r="191" customFormat="false" ht="12.75" hidden="false" customHeight="true" outlineLevel="0" collapsed="false">
      <c r="A191" s="149" t="s">
        <v>304</v>
      </c>
      <c r="B191" s="150" t="str">
        <f aca="false">IFERROR(INDEX(Projects!$C$9:$C$16,MATCH($A191,Projects!$A$9:$A$16,0)),"")</f>
        <v>Land Development</v>
      </c>
      <c r="C191" s="94" t="n">
        <f aca="false">IF(Dashboard!$C$6="Corporate",1,IF(Dashboard!$C$6="Project",IF($A191=Dashboard!$M$6,1,0),IF($B191=Dashboard!$H$6,1,0)))</f>
        <v>1</v>
      </c>
      <c r="D191" s="199" t="n">
        <v>15</v>
      </c>
      <c r="E191" s="45" t="s">
        <v>1331</v>
      </c>
      <c r="F191" s="85" t="n">
        <v>46568</v>
      </c>
      <c r="G191" s="94" t="n">
        <f aca="false">IF($D191&lt;=Dashboard!$H$7,1,0)</f>
        <v>0</v>
      </c>
      <c r="H191" s="92" t="n">
        <v>3394588</v>
      </c>
      <c r="I191" s="92" t="n">
        <v>0</v>
      </c>
      <c r="J191" s="92" t="n">
        <v>0</v>
      </c>
      <c r="K191" s="92" t="n">
        <v>0</v>
      </c>
      <c r="L191" s="92" t="n">
        <v>10608</v>
      </c>
      <c r="M191" s="92" t="n">
        <v>0</v>
      </c>
      <c r="N191" s="92" t="n">
        <v>0</v>
      </c>
      <c r="O191" s="92" t="n">
        <v>0</v>
      </c>
      <c r="P191" s="152" t="n">
        <f aca="false">IF(OR($G191=0,$H191=0),0,$I191/$H191)</f>
        <v>0</v>
      </c>
      <c r="Q191" s="152" t="n">
        <f aca="false">IF(OR($G191=0,$J191=0),0,$I191/$J191)</f>
        <v>0</v>
      </c>
      <c r="R191" s="44" t="n">
        <f aca="false">IF(OR($G191=0,$M191=0),0,$I191/$M191)</f>
        <v>0</v>
      </c>
    </row>
    <row r="192" customFormat="false" ht="12.75" hidden="false" customHeight="true" outlineLevel="0" collapsed="false">
      <c r="A192" s="47" t="s">
        <v>304</v>
      </c>
      <c r="B192" s="154" t="str">
        <f aca="false">IFERROR(INDEX(Projects!$C$9:$C$16,MATCH($A192,Projects!$A$9:$A$16,0)),"")</f>
        <v>Land Development</v>
      </c>
      <c r="C192" s="155" t="n">
        <f aca="false">IF(Dashboard!$C$6="Corporate",1,IF(Dashboard!$C$6="Project",IF($A192=Dashboard!$M$6,1,0),IF($B192=Dashboard!$H$6,1,0)))</f>
        <v>1</v>
      </c>
      <c r="D192" s="200" t="n">
        <v>16</v>
      </c>
      <c r="E192" s="51" t="s">
        <v>1332</v>
      </c>
      <c r="F192" s="98" t="n">
        <v>46599</v>
      </c>
      <c r="G192" s="155" t="n">
        <f aca="false">IF($D192&lt;=Dashboard!$H$7,1,0)</f>
        <v>0</v>
      </c>
      <c r="H192" s="99" t="n">
        <v>2161229</v>
      </c>
      <c r="I192" s="99" t="n">
        <v>0</v>
      </c>
      <c r="J192" s="99" t="n">
        <v>0</v>
      </c>
      <c r="K192" s="99" t="n">
        <v>0</v>
      </c>
      <c r="L192" s="99" t="n">
        <v>6754</v>
      </c>
      <c r="M192" s="99" t="n">
        <v>0</v>
      </c>
      <c r="N192" s="99" t="n">
        <v>0</v>
      </c>
      <c r="O192" s="99" t="n">
        <v>0</v>
      </c>
      <c r="P192" s="157" t="n">
        <f aca="false">IF(OR($G192=0,$H192=0),0,$I192/$H192)</f>
        <v>0</v>
      </c>
      <c r="Q192" s="157" t="n">
        <f aca="false">IF(OR($G192=0,$J192=0),0,$I192/$J192)</f>
        <v>0</v>
      </c>
      <c r="R192" s="50" t="n">
        <f aca="false">IF(OR($G192=0,$M192=0),0,$I192/$M192)</f>
        <v>0</v>
      </c>
    </row>
    <row r="193" customFormat="false" ht="12.75" hidden="false" customHeight="true" outlineLevel="0" collapsed="false">
      <c r="A193" s="149" t="s">
        <v>304</v>
      </c>
      <c r="B193" s="150" t="str">
        <f aca="false">IFERROR(INDEX(Projects!$C$9:$C$16,MATCH($A193,Projects!$A$9:$A$16,0)),"")</f>
        <v>Land Development</v>
      </c>
      <c r="C193" s="94" t="n">
        <f aca="false">IF(Dashboard!$C$6="Corporate",1,IF(Dashboard!$C$6="Project",IF($A193=Dashboard!$M$6,1,0),IF($B193=Dashboard!$H$6,1,0)))</f>
        <v>1</v>
      </c>
      <c r="D193" s="199" t="n">
        <v>17</v>
      </c>
      <c r="E193" s="45" t="s">
        <v>1333</v>
      </c>
      <c r="F193" s="85" t="n">
        <v>46630</v>
      </c>
      <c r="G193" s="94" t="n">
        <f aca="false">IF($D193&lt;=Dashboard!$H$7,1,0)</f>
        <v>0</v>
      </c>
      <c r="H193" s="92" t="n">
        <v>0</v>
      </c>
      <c r="I193" s="92" t="n">
        <v>0</v>
      </c>
      <c r="J193" s="92" t="n">
        <v>0</v>
      </c>
      <c r="K193" s="92" t="n">
        <v>0</v>
      </c>
      <c r="L193" s="92" t="n">
        <v>0</v>
      </c>
      <c r="M193" s="92" t="n">
        <v>0</v>
      </c>
      <c r="N193" s="92" t="n">
        <v>0</v>
      </c>
      <c r="O193" s="92" t="n">
        <v>0</v>
      </c>
      <c r="P193" s="152" t="n">
        <f aca="false">IF(OR($G193=0,$H193=0),0,$I193/$H193)</f>
        <v>0</v>
      </c>
      <c r="Q193" s="152" t="n">
        <f aca="false">IF(OR($G193=0,$J193=0),0,$I193/$J193)</f>
        <v>0</v>
      </c>
      <c r="R193" s="44" t="n">
        <f aca="false">IF(OR($G193=0,$M193=0),0,$I193/$M193)</f>
        <v>0</v>
      </c>
    </row>
    <row r="194" customFormat="false" ht="12.75" hidden="false" customHeight="true" outlineLevel="0" collapsed="false">
      <c r="A194" s="47" t="s">
        <v>304</v>
      </c>
      <c r="B194" s="154" t="str">
        <f aca="false">IFERROR(INDEX(Projects!$C$9:$C$16,MATCH($A194,Projects!$A$9:$A$16,0)),"")</f>
        <v>Land Development</v>
      </c>
      <c r="C194" s="155" t="n">
        <f aca="false">IF(Dashboard!$C$6="Corporate",1,IF(Dashboard!$C$6="Project",IF($A194=Dashboard!$M$6,1,0),IF($B194=Dashboard!$H$6,1,0)))</f>
        <v>1</v>
      </c>
      <c r="D194" s="200" t="n">
        <v>18</v>
      </c>
      <c r="E194" s="51" t="s">
        <v>1334</v>
      </c>
      <c r="F194" s="98" t="n">
        <v>46660</v>
      </c>
      <c r="G194" s="155" t="n">
        <f aca="false">IF($D194&lt;=Dashboard!$H$7,1,0)</f>
        <v>0</v>
      </c>
      <c r="H194" s="99" t="n">
        <v>0</v>
      </c>
      <c r="I194" s="99" t="n">
        <v>0</v>
      </c>
      <c r="J194" s="99" t="n">
        <v>0</v>
      </c>
      <c r="K194" s="99" t="n">
        <v>0</v>
      </c>
      <c r="L194" s="99" t="n">
        <v>0</v>
      </c>
      <c r="M194" s="99" t="n">
        <v>0</v>
      </c>
      <c r="N194" s="99" t="n">
        <v>0</v>
      </c>
      <c r="O194" s="99" t="n">
        <v>0</v>
      </c>
      <c r="P194" s="157" t="n">
        <f aca="false">IF(OR($G194=0,$H194=0),0,$I194/$H194)</f>
        <v>0</v>
      </c>
      <c r="Q194" s="157" t="n">
        <f aca="false">IF(OR($G194=0,$J194=0),0,$I194/$J194)</f>
        <v>0</v>
      </c>
      <c r="R194" s="50" t="n">
        <f aca="false">IF(OR($G194=0,$M194=0),0,$I194/$M194)</f>
        <v>0</v>
      </c>
    </row>
    <row r="195" customFormat="false" ht="12.75" hidden="false" customHeight="true" outlineLevel="0" collapsed="false">
      <c r="A195" s="149" t="s">
        <v>304</v>
      </c>
      <c r="B195" s="150" t="str">
        <f aca="false">IFERROR(INDEX(Projects!$C$9:$C$16,MATCH($A195,Projects!$A$9:$A$16,0)),"")</f>
        <v>Land Development</v>
      </c>
      <c r="C195" s="94" t="n">
        <f aca="false">IF(Dashboard!$C$6="Corporate",1,IF(Dashboard!$C$6="Project",IF($A195=Dashboard!$M$6,1,0),IF($B195=Dashboard!$H$6,1,0)))</f>
        <v>1</v>
      </c>
      <c r="D195" s="199" t="n">
        <v>19</v>
      </c>
      <c r="E195" s="45" t="s">
        <v>1335</v>
      </c>
      <c r="F195" s="85" t="n">
        <v>46691</v>
      </c>
      <c r="G195" s="94" t="n">
        <f aca="false">IF($D195&lt;=Dashboard!$H$7,1,0)</f>
        <v>0</v>
      </c>
      <c r="H195" s="92" t="n">
        <v>0</v>
      </c>
      <c r="I195" s="92" t="n">
        <v>0</v>
      </c>
      <c r="J195" s="92" t="n">
        <v>0</v>
      </c>
      <c r="K195" s="92" t="n">
        <v>0</v>
      </c>
      <c r="L195" s="92" t="n">
        <v>0</v>
      </c>
      <c r="M195" s="92" t="n">
        <v>0</v>
      </c>
      <c r="N195" s="92" t="n">
        <v>0</v>
      </c>
      <c r="O195" s="92" t="n">
        <v>0</v>
      </c>
      <c r="P195" s="152" t="n">
        <f aca="false">IF(OR($G195=0,$H195=0),0,$I195/$H195)</f>
        <v>0</v>
      </c>
      <c r="Q195" s="152" t="n">
        <f aca="false">IF(OR($G195=0,$J195=0),0,$I195/$J195)</f>
        <v>0</v>
      </c>
      <c r="R195" s="44" t="n">
        <f aca="false">IF(OR($G195=0,$M195=0),0,$I195/$M195)</f>
        <v>0</v>
      </c>
    </row>
    <row r="196" customFormat="false" ht="12.75" hidden="false" customHeight="true" outlineLevel="0" collapsed="false">
      <c r="A196" s="47" t="s">
        <v>304</v>
      </c>
      <c r="B196" s="154" t="str">
        <f aca="false">IFERROR(INDEX(Projects!$C$9:$C$16,MATCH($A196,Projects!$A$9:$A$16,0)),"")</f>
        <v>Land Development</v>
      </c>
      <c r="C196" s="155" t="n">
        <f aca="false">IF(Dashboard!$C$6="Corporate",1,IF(Dashboard!$C$6="Project",IF($A196=Dashboard!$M$6,1,0),IF($B196=Dashboard!$H$6,1,0)))</f>
        <v>1</v>
      </c>
      <c r="D196" s="200" t="n">
        <v>20</v>
      </c>
      <c r="E196" s="51" t="s">
        <v>1336</v>
      </c>
      <c r="F196" s="98" t="n">
        <v>46721</v>
      </c>
      <c r="G196" s="155" t="n">
        <f aca="false">IF($D196&lt;=Dashboard!$H$7,1,0)</f>
        <v>0</v>
      </c>
      <c r="H196" s="99" t="n">
        <v>0</v>
      </c>
      <c r="I196" s="99" t="n">
        <v>0</v>
      </c>
      <c r="J196" s="99" t="n">
        <v>0</v>
      </c>
      <c r="K196" s="99" t="n">
        <v>0</v>
      </c>
      <c r="L196" s="99" t="n">
        <v>0</v>
      </c>
      <c r="M196" s="99" t="n">
        <v>0</v>
      </c>
      <c r="N196" s="99" t="n">
        <v>0</v>
      </c>
      <c r="O196" s="99" t="n">
        <v>0</v>
      </c>
      <c r="P196" s="157" t="n">
        <f aca="false">IF(OR($G196=0,$H196=0),0,$I196/$H196)</f>
        <v>0</v>
      </c>
      <c r="Q196" s="157" t="n">
        <f aca="false">IF(OR($G196=0,$J196=0),0,$I196/$J196)</f>
        <v>0</v>
      </c>
      <c r="R196" s="50" t="n">
        <f aca="false">IF(OR($G196=0,$M196=0),0,$I196/$M196)</f>
        <v>0</v>
      </c>
    </row>
    <row r="197" customFormat="false" ht="12.75" hidden="false" customHeight="true" outlineLevel="0" collapsed="false">
      <c r="A197" s="149" t="s">
        <v>304</v>
      </c>
      <c r="B197" s="150" t="str">
        <f aca="false">IFERROR(INDEX(Projects!$C$9:$C$16,MATCH($A197,Projects!$A$9:$A$16,0)),"")</f>
        <v>Land Development</v>
      </c>
      <c r="C197" s="94" t="n">
        <f aca="false">IF(Dashboard!$C$6="Corporate",1,IF(Dashboard!$C$6="Project",IF($A197=Dashboard!$M$6,1,0),IF($B197=Dashboard!$H$6,1,0)))</f>
        <v>1</v>
      </c>
      <c r="D197" s="199" t="n">
        <v>21</v>
      </c>
      <c r="E197" s="45" t="s">
        <v>1337</v>
      </c>
      <c r="F197" s="85" t="n">
        <v>46752</v>
      </c>
      <c r="G197" s="94" t="n">
        <f aca="false">IF($D197&lt;=Dashboard!$H$7,1,0)</f>
        <v>0</v>
      </c>
      <c r="H197" s="92" t="n">
        <v>0</v>
      </c>
      <c r="I197" s="92" t="n">
        <v>0</v>
      </c>
      <c r="J197" s="92" t="n">
        <v>0</v>
      </c>
      <c r="K197" s="92" t="n">
        <v>0</v>
      </c>
      <c r="L197" s="92" t="n">
        <v>0</v>
      </c>
      <c r="M197" s="92" t="n">
        <v>0</v>
      </c>
      <c r="N197" s="92" t="n">
        <v>0</v>
      </c>
      <c r="O197" s="92" t="n">
        <v>0</v>
      </c>
      <c r="P197" s="152" t="n">
        <f aca="false">IF(OR($G197=0,$H197=0),0,$I197/$H197)</f>
        <v>0</v>
      </c>
      <c r="Q197" s="152" t="n">
        <f aca="false">IF(OR($G197=0,$J197=0),0,$I197/$J197)</f>
        <v>0</v>
      </c>
      <c r="R197" s="44" t="n">
        <f aca="false">IF(OR($G197=0,$M197=0),0,$I197/$M197)</f>
        <v>0</v>
      </c>
    </row>
    <row r="198" customFormat="false" ht="12.75" hidden="false" customHeight="true" outlineLevel="0" collapsed="false">
      <c r="A198" s="47" t="s">
        <v>304</v>
      </c>
      <c r="B198" s="154" t="str">
        <f aca="false">IFERROR(INDEX(Projects!$C$9:$C$16,MATCH($A198,Projects!$A$9:$A$16,0)),"")</f>
        <v>Land Development</v>
      </c>
      <c r="C198" s="155" t="n">
        <f aca="false">IF(Dashboard!$C$6="Corporate",1,IF(Dashboard!$C$6="Project",IF($A198=Dashboard!$M$6,1,0),IF($B198=Dashboard!$H$6,1,0)))</f>
        <v>1</v>
      </c>
      <c r="D198" s="200" t="n">
        <v>22</v>
      </c>
      <c r="E198" s="51" t="s">
        <v>1338</v>
      </c>
      <c r="F198" s="98" t="n">
        <v>46783</v>
      </c>
      <c r="G198" s="155" t="n">
        <f aca="false">IF($D198&lt;=Dashboard!$H$7,1,0)</f>
        <v>0</v>
      </c>
      <c r="H198" s="99" t="n">
        <v>0</v>
      </c>
      <c r="I198" s="99" t="n">
        <v>0</v>
      </c>
      <c r="J198" s="99" t="n">
        <v>0</v>
      </c>
      <c r="K198" s="99" t="n">
        <v>0</v>
      </c>
      <c r="L198" s="99" t="n">
        <v>0</v>
      </c>
      <c r="M198" s="99" t="n">
        <v>0</v>
      </c>
      <c r="N198" s="99" t="n">
        <v>0</v>
      </c>
      <c r="O198" s="99" t="n">
        <v>0</v>
      </c>
      <c r="P198" s="157" t="n">
        <f aca="false">IF(OR($G198=0,$H198=0),0,$I198/$H198)</f>
        <v>0</v>
      </c>
      <c r="Q198" s="157" t="n">
        <f aca="false">IF(OR($G198=0,$J198=0),0,$I198/$J198)</f>
        <v>0</v>
      </c>
      <c r="R198" s="50" t="n">
        <f aca="false">IF(OR($G198=0,$M198=0),0,$I198/$M198)</f>
        <v>0</v>
      </c>
    </row>
    <row r="199" customFormat="false" ht="12.75" hidden="false" customHeight="true" outlineLevel="0" collapsed="false">
      <c r="A199" s="149" t="s">
        <v>304</v>
      </c>
      <c r="B199" s="150" t="str">
        <f aca="false">IFERROR(INDEX(Projects!$C$9:$C$16,MATCH($A199,Projects!$A$9:$A$16,0)),"")</f>
        <v>Land Development</v>
      </c>
      <c r="C199" s="94" t="n">
        <f aca="false">IF(Dashboard!$C$6="Corporate",1,IF(Dashboard!$C$6="Project",IF($A199=Dashboard!$M$6,1,0),IF($B199=Dashboard!$H$6,1,0)))</f>
        <v>1</v>
      </c>
      <c r="D199" s="199" t="n">
        <v>23</v>
      </c>
      <c r="E199" s="45" t="s">
        <v>1339</v>
      </c>
      <c r="F199" s="85" t="n">
        <v>46812</v>
      </c>
      <c r="G199" s="94" t="n">
        <f aca="false">IF($D199&lt;=Dashboard!$H$7,1,0)</f>
        <v>0</v>
      </c>
      <c r="H199" s="92" t="n">
        <v>0</v>
      </c>
      <c r="I199" s="92" t="n">
        <v>0</v>
      </c>
      <c r="J199" s="92" t="n">
        <v>0</v>
      </c>
      <c r="K199" s="92" t="n">
        <v>0</v>
      </c>
      <c r="L199" s="92" t="n">
        <v>0</v>
      </c>
      <c r="M199" s="92" t="n">
        <v>0</v>
      </c>
      <c r="N199" s="92" t="n">
        <v>0</v>
      </c>
      <c r="O199" s="92" t="n">
        <v>0</v>
      </c>
      <c r="P199" s="152" t="n">
        <f aca="false">IF(OR($G199=0,$H199=0),0,$I199/$H199)</f>
        <v>0</v>
      </c>
      <c r="Q199" s="152" t="n">
        <f aca="false">IF(OR($G199=0,$J199=0),0,$I199/$J199)</f>
        <v>0</v>
      </c>
      <c r="R199" s="44" t="n">
        <f aca="false">IF(OR($G199=0,$M199=0),0,$I199/$M199)</f>
        <v>0</v>
      </c>
    </row>
    <row r="200" customFormat="false" ht="12.75" hidden="false" customHeight="true" outlineLevel="0" collapsed="false">
      <c r="A200" s="47" t="s">
        <v>304</v>
      </c>
      <c r="B200" s="154" t="str">
        <f aca="false">IFERROR(INDEX(Projects!$C$9:$C$16,MATCH($A200,Projects!$A$9:$A$16,0)),"")</f>
        <v>Land Development</v>
      </c>
      <c r="C200" s="155" t="n">
        <f aca="false">IF(Dashboard!$C$6="Corporate",1,IF(Dashboard!$C$6="Project",IF($A200=Dashboard!$M$6,1,0),IF($B200=Dashboard!$H$6,1,0)))</f>
        <v>1</v>
      </c>
      <c r="D200" s="200" t="n">
        <v>24</v>
      </c>
      <c r="E200" s="51" t="s">
        <v>1340</v>
      </c>
      <c r="F200" s="98" t="n">
        <v>46843</v>
      </c>
      <c r="G200" s="155" t="n">
        <f aca="false">IF($D200&lt;=Dashboard!$H$7,1,0)</f>
        <v>0</v>
      </c>
      <c r="H200" s="99" t="n">
        <v>1</v>
      </c>
      <c r="I200" s="99" t="n">
        <v>0</v>
      </c>
      <c r="J200" s="99" t="n">
        <v>0</v>
      </c>
      <c r="K200" s="99" t="n">
        <v>0</v>
      </c>
      <c r="L200" s="99" t="n">
        <v>0</v>
      </c>
      <c r="M200" s="99" t="n">
        <v>0</v>
      </c>
      <c r="N200" s="99" t="n">
        <v>0</v>
      </c>
      <c r="O200" s="99" t="n">
        <v>0</v>
      </c>
      <c r="P200" s="157" t="n">
        <f aca="false">IF(OR($G200=0,$H200=0),0,$I200/$H200)</f>
        <v>0</v>
      </c>
      <c r="Q200" s="157" t="n">
        <f aca="false">IF(OR($G200=0,$J200=0),0,$I200/$J200)</f>
        <v>0</v>
      </c>
      <c r="R200" s="50" t="n">
        <f aca="false">IF(OR($G200=0,$M200=0),0,$I200/$M200)</f>
        <v>0</v>
      </c>
    </row>
    <row r="201" customFormat="false" ht="18" hidden="false" customHeight="true" outlineLevel="0" collapsed="false">
      <c r="A201" s="27" t="s">
        <v>1341</v>
      </c>
      <c r="B201" s="27"/>
      <c r="C201" s="27"/>
      <c r="D201" s="27"/>
      <c r="E201" s="27"/>
      <c r="F201" s="27"/>
      <c r="G201" s="27"/>
      <c r="H201" s="28" t="n">
        <f aca="false">SUM($H$9:$H$200)</f>
        <v>867966335</v>
      </c>
      <c r="I201" s="28" t="n">
        <f aca="false">SUM($I$9:$I$200)</f>
        <v>120378483</v>
      </c>
      <c r="J201" s="28" t="n">
        <f aca="false">SUM($J$9:$J$200)</f>
        <v>122819465</v>
      </c>
      <c r="K201" s="28" t="n">
        <f aca="false">SUM($K$9:$K$200)</f>
        <v>101734277</v>
      </c>
      <c r="L201" s="28" t="n">
        <f aca="false">SUM($L$9:$L$200)</f>
        <v>2712392</v>
      </c>
      <c r="M201" s="28" t="n">
        <f aca="false">SUM($M$9:$M$200)</f>
        <v>396484</v>
      </c>
      <c r="N201" s="28" t="n">
        <f aca="false">SUM($N$9:$N$200)</f>
        <v>22</v>
      </c>
      <c r="O201" s="28" t="n">
        <f aca="false">SUM($O$9:$O$200)</f>
        <v>16</v>
      </c>
      <c r="P201" s="105"/>
      <c r="Q201" s="105"/>
      <c r="R201" s="105"/>
    </row>
    <row r="202" customFormat="false" ht="15" hidden="false" customHeight="true" outlineLevel="0" collapsed="false">
      <c r="A202" s="5"/>
      <c r="B202" s="5"/>
      <c r="C202" s="5"/>
      <c r="D202" s="5"/>
      <c r="E202" s="5"/>
      <c r="F202" s="5"/>
      <c r="G202" s="5"/>
      <c r="H202" s="5"/>
      <c r="I202" s="5"/>
      <c r="J202" s="5"/>
      <c r="K202" s="5"/>
      <c r="L202" s="5"/>
      <c r="M202" s="5"/>
      <c r="N202" s="5"/>
      <c r="O202" s="5"/>
      <c r="P202" s="5"/>
      <c r="Q202" s="5"/>
      <c r="R202" s="5"/>
    </row>
    <row r="203" customFormat="false" ht="25.5" hidden="false" customHeight="true" outlineLevel="0" collapsed="false">
      <c r="A203" s="58" t="s">
        <v>1342</v>
      </c>
      <c r="B203" s="58"/>
      <c r="C203" s="58"/>
      <c r="D203" s="58"/>
      <c r="E203" s="58"/>
      <c r="F203" s="58"/>
      <c r="G203" s="58"/>
      <c r="H203" s="58"/>
      <c r="I203" s="58"/>
      <c r="J203" s="58"/>
      <c r="K203" s="58"/>
      <c r="L203" s="58"/>
      <c r="M203" s="58"/>
      <c r="N203" s="58"/>
      <c r="O203" s="58"/>
      <c r="P203" s="58"/>
      <c r="Q203" s="58"/>
      <c r="R203" s="58"/>
    </row>
  </sheetData>
  <autoFilter ref="A8:R200"/>
  <mergeCells count="8">
    <mergeCell ref="A1:R1"/>
    <mergeCell ref="A2:R2"/>
    <mergeCell ref="A3:R3"/>
    <mergeCell ref="A4:R4"/>
    <mergeCell ref="A6:R6"/>
    <mergeCell ref="A7:R7"/>
    <mergeCell ref="A201:G201"/>
    <mergeCell ref="A203:R203"/>
  </mergeCells>
  <conditionalFormatting sqref="C9:C200">
    <cfRule type="cellIs" priority="2" operator="equal" aboveAverage="0" equalAverage="0" bottom="0" percent="0" rank="0" text="" dxfId="0">
      <formula>"1"</formula>
    </cfRule>
  </conditionalFormatting>
  <dataValidations count="1">
    <dataValidation allowBlank="true" errorStyle="stop" operator="between" showDropDown="false" showErrorMessage="false" showInputMessage="false" sqref="A9:A200" type="list">
      <formula1>"RES-01,RES-02,COM-01,COM-02,MXU-01,MXU-02,LND-01,LND-02"</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V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8" topLeftCell="D9" activePane="bottomRight" state="frozen"/>
      <selection pane="topLeft" activeCell="A1" activeCellId="0" sqref="A1"/>
      <selection pane="topRight" activeCell="D1" activeCellId="0" sqref="D1"/>
      <selection pane="bottomLeft" activeCell="A9" activeCellId="0" sqref="A9"/>
      <selection pane="bottomRight" activeCell="A1" activeCellId="0" sqref="A1"/>
    </sheetView>
  </sheetViews>
  <sheetFormatPr defaultColWidth="8.6796875" defaultRowHeight="15" zeroHeight="false" outlineLevelRow="0" outlineLevelCol="0"/>
  <cols>
    <col collapsed="false" customWidth="true" hidden="false" outlineLevel="0" max="1" min="1" style="1" width="7"/>
    <col collapsed="false" customWidth="true" hidden="false" outlineLevel="0" max="2" min="2" style="1" width="9"/>
    <col collapsed="false" customWidth="true" hidden="false" outlineLevel="0" max="3" min="3" style="1" width="11"/>
    <col collapsed="false" customWidth="true" hidden="false" outlineLevel="0" max="6" min="4" style="1" width="15"/>
    <col collapsed="false" customWidth="true" hidden="false" outlineLevel="0" max="9" min="7" style="1" width="9"/>
    <col collapsed="false" customWidth="true" hidden="false" outlineLevel="0" max="10" min="10" style="1" width="10"/>
    <col collapsed="false" customWidth="true" hidden="false" outlineLevel="0" max="11" min="11" style="1" width="8"/>
    <col collapsed="false" customWidth="true" hidden="false" outlineLevel="0" max="12" min="12" style="1" width="6"/>
    <col collapsed="false" customWidth="true" hidden="false" outlineLevel="0" max="13" min="13" style="1" width="10"/>
    <col collapsed="false" customWidth="true" hidden="false" outlineLevel="0" max="14" min="14" style="1" width="8"/>
    <col collapsed="false" customWidth="true" hidden="false" outlineLevel="0" max="18" min="15" style="1" width="14"/>
    <col collapsed="false" customWidth="true" hidden="false" outlineLevel="0" max="19" min="19" style="1" width="13"/>
    <col collapsed="false" customWidth="true" hidden="false" outlineLevel="0" max="20" min="20" style="1" width="14"/>
    <col collapsed="false" customWidth="true" hidden="false" outlineLevel="0" max="21" min="21" style="1" width="8"/>
    <col collapsed="false" customWidth="true" hidden="false" outlineLevel="0" max="22" min="22" style="1" width="14"/>
  </cols>
  <sheetData>
    <row r="1" customFormat="false" ht="7.5" hidden="false" customHeight="true" outlineLevel="0" collapsed="false">
      <c r="A1" s="2"/>
      <c r="B1" s="2"/>
      <c r="C1" s="2"/>
      <c r="D1" s="2"/>
      <c r="E1" s="2"/>
      <c r="F1" s="2"/>
      <c r="G1" s="2"/>
      <c r="H1" s="2"/>
      <c r="I1" s="2"/>
      <c r="J1" s="2"/>
      <c r="K1" s="2"/>
      <c r="L1" s="2"/>
      <c r="M1" s="2"/>
      <c r="N1" s="2"/>
      <c r="O1" s="2"/>
      <c r="P1" s="2"/>
      <c r="Q1" s="2"/>
      <c r="R1" s="2"/>
      <c r="S1" s="2"/>
      <c r="T1" s="2"/>
      <c r="U1" s="2"/>
      <c r="V1" s="2"/>
    </row>
    <row r="2" customFormat="false" ht="30" hidden="false" customHeight="true" outlineLevel="0" collapsed="false">
      <c r="A2" s="59" t="s">
        <v>1343</v>
      </c>
      <c r="B2" s="59"/>
      <c r="C2" s="59"/>
      <c r="D2" s="59"/>
      <c r="E2" s="59"/>
      <c r="F2" s="59"/>
      <c r="G2" s="59"/>
      <c r="H2" s="59"/>
      <c r="I2" s="59"/>
      <c r="J2" s="59"/>
      <c r="K2" s="59"/>
      <c r="L2" s="59"/>
      <c r="M2" s="59"/>
      <c r="N2" s="59"/>
      <c r="O2" s="59"/>
      <c r="P2" s="59"/>
      <c r="Q2" s="59"/>
      <c r="R2" s="59"/>
      <c r="S2" s="59"/>
      <c r="T2" s="59"/>
      <c r="U2" s="59"/>
      <c r="V2" s="59"/>
    </row>
    <row r="3" customFormat="false" ht="16.5" hidden="false" customHeight="true" outlineLevel="0" collapsed="false">
      <c r="A3" s="60" t="s">
        <v>1344</v>
      </c>
      <c r="B3" s="60"/>
      <c r="C3" s="60"/>
      <c r="D3" s="60"/>
      <c r="E3" s="60"/>
      <c r="F3" s="60"/>
      <c r="G3" s="60"/>
      <c r="H3" s="60"/>
      <c r="I3" s="60"/>
      <c r="J3" s="60"/>
      <c r="K3" s="60"/>
      <c r="L3" s="60"/>
      <c r="M3" s="60"/>
      <c r="N3" s="60"/>
      <c r="O3" s="60"/>
      <c r="P3" s="60"/>
      <c r="Q3" s="60"/>
      <c r="R3" s="60"/>
      <c r="S3" s="60"/>
      <c r="T3" s="60"/>
      <c r="U3" s="60"/>
      <c r="V3" s="60"/>
    </row>
    <row r="4" customFormat="false" ht="15" hidden="false" customHeight="true" outlineLevel="0" collapsed="false">
      <c r="A4" s="61" t="s">
        <v>1345</v>
      </c>
      <c r="B4" s="61"/>
      <c r="C4" s="61"/>
      <c r="D4" s="61"/>
      <c r="E4" s="61"/>
      <c r="F4" s="61"/>
      <c r="G4" s="61"/>
      <c r="H4" s="61"/>
      <c r="I4" s="61"/>
      <c r="J4" s="61"/>
      <c r="K4" s="61"/>
      <c r="L4" s="61"/>
      <c r="M4" s="61"/>
      <c r="N4" s="61"/>
      <c r="O4" s="61"/>
      <c r="P4" s="61"/>
      <c r="Q4" s="61"/>
      <c r="R4" s="61"/>
      <c r="S4" s="61"/>
      <c r="T4" s="61"/>
      <c r="U4" s="61"/>
      <c r="V4" s="61"/>
    </row>
    <row r="5" customFormat="false" ht="15" hidden="false" customHeight="true" outlineLevel="0" collapsed="false">
      <c r="A5" s="5"/>
      <c r="B5" s="5"/>
      <c r="C5" s="5"/>
      <c r="D5" s="5"/>
      <c r="E5" s="5"/>
      <c r="F5" s="5"/>
      <c r="G5" s="5"/>
      <c r="H5" s="5"/>
      <c r="I5" s="5"/>
      <c r="J5" s="5"/>
      <c r="K5" s="5"/>
      <c r="L5" s="5"/>
      <c r="M5" s="5"/>
      <c r="N5" s="5"/>
      <c r="O5" s="5"/>
      <c r="P5" s="5"/>
      <c r="Q5" s="5"/>
      <c r="R5" s="5"/>
      <c r="S5" s="5"/>
      <c r="T5" s="5"/>
      <c r="U5" s="5"/>
      <c r="V5" s="5"/>
    </row>
    <row r="6" customFormat="false" ht="19.5" hidden="false" customHeight="true" outlineLevel="0" collapsed="false">
      <c r="A6" s="13" t="s">
        <v>1346</v>
      </c>
      <c r="B6" s="13"/>
      <c r="C6" s="13"/>
      <c r="D6" s="13"/>
      <c r="E6" s="13"/>
      <c r="F6" s="13"/>
      <c r="G6" s="13"/>
      <c r="H6" s="13"/>
      <c r="I6" s="13"/>
      <c r="J6" s="13"/>
      <c r="K6" s="13"/>
      <c r="L6" s="13"/>
      <c r="M6" s="13"/>
      <c r="N6" s="13"/>
      <c r="O6" s="13"/>
      <c r="P6" s="13"/>
      <c r="Q6" s="13"/>
      <c r="R6" s="13"/>
      <c r="S6" s="13"/>
      <c r="T6" s="13"/>
      <c r="U6" s="13"/>
      <c r="V6" s="13"/>
    </row>
    <row r="7" customFormat="false" ht="15" hidden="false" customHeight="true" outlineLevel="0" collapsed="false">
      <c r="A7" s="5"/>
      <c r="B7" s="5"/>
      <c r="C7" s="5"/>
      <c r="D7" s="5"/>
      <c r="E7" s="5"/>
      <c r="F7" s="5"/>
      <c r="G7" s="5"/>
      <c r="H7" s="5"/>
      <c r="I7" s="5"/>
      <c r="J7" s="5"/>
      <c r="K7" s="5"/>
      <c r="L7" s="5"/>
      <c r="M7" s="5"/>
      <c r="N7" s="5"/>
      <c r="O7" s="5"/>
      <c r="P7" s="5"/>
      <c r="Q7" s="5"/>
      <c r="R7" s="5"/>
      <c r="S7" s="5"/>
      <c r="T7" s="5"/>
      <c r="U7" s="5"/>
      <c r="V7" s="5"/>
    </row>
    <row r="8" customFormat="false" ht="42" hidden="false" customHeight="true" outlineLevel="0" collapsed="false">
      <c r="A8" s="23" t="s">
        <v>1303</v>
      </c>
      <c r="B8" s="23" t="s">
        <v>1304</v>
      </c>
      <c r="C8" s="23" t="s">
        <v>1305</v>
      </c>
      <c r="D8" s="23" t="s">
        <v>1347</v>
      </c>
      <c r="E8" s="23" t="s">
        <v>1348</v>
      </c>
      <c r="F8" s="23" t="s">
        <v>1349</v>
      </c>
      <c r="G8" s="23" t="s">
        <v>277</v>
      </c>
      <c r="H8" s="23" t="s">
        <v>1350</v>
      </c>
      <c r="I8" s="23" t="s">
        <v>1351</v>
      </c>
      <c r="J8" s="23" t="s">
        <v>1352</v>
      </c>
      <c r="K8" s="23" t="s">
        <v>1353</v>
      </c>
      <c r="L8" s="23" t="s">
        <v>1354</v>
      </c>
      <c r="M8" s="23" t="s">
        <v>600</v>
      </c>
      <c r="N8" s="23" t="s">
        <v>1355</v>
      </c>
      <c r="O8" s="23" t="s">
        <v>1307</v>
      </c>
      <c r="P8" s="23" t="s">
        <v>1308</v>
      </c>
      <c r="Q8" s="23" t="s">
        <v>1309</v>
      </c>
      <c r="R8" s="23" t="s">
        <v>1356</v>
      </c>
      <c r="S8" s="23" t="s">
        <v>1357</v>
      </c>
      <c r="T8" s="23" t="s">
        <v>1358</v>
      </c>
      <c r="U8" s="23" t="s">
        <v>1359</v>
      </c>
      <c r="V8" s="23" t="s">
        <v>1360</v>
      </c>
    </row>
    <row r="9" customFormat="false" ht="15" hidden="false" customHeight="true" outlineLevel="0" collapsed="false">
      <c r="A9" s="199" t="n">
        <v>1</v>
      </c>
      <c r="B9" s="45" t="s">
        <v>1317</v>
      </c>
      <c r="C9" s="85" t="n">
        <v>46142</v>
      </c>
      <c r="D9" s="31" t="n">
        <f aca="false">SUMPRODUCT(Monthly_Trend!$C$9:$C$200,(Monthly_Trend!$D$9:$D$200&lt;=$A9)*1,Monthly_Trend!$H$9:$H$200)</f>
        <v>10700823</v>
      </c>
      <c r="E9" s="31" t="n">
        <f aca="false">IF($L9=1,SUMPRODUCT(Monthly_Trend!$C$9:$C$200,(Monthly_Trend!$D$9:$D$200&lt;=$A9)*1,Monthly_Trend!$I$9:$I$200),MIN(Master_Tracker!$C$13,Master_Tracker!$M$13+($D9-Master_Tracker!$H$13)*Cost_Financials!$J$21))</f>
        <v>10233150</v>
      </c>
      <c r="F9" s="31" t="n">
        <f aca="false">IF($L9=1,SUMPRODUCT(Monthly_Trend!$C$9:$C$200,(Monthly_Trend!$D$9:$D$200&lt;=$A9)*1,Monthly_Trend!$J$9:$J$200),Master_Tracker!$C$14+MAX(0,$E9-Master_Tracker!$M$13)/Cost_Financials!$C$21)</f>
        <v>10552288</v>
      </c>
      <c r="G9" s="87" t="n">
        <f aca="false">IF(Master_Tracker!$C$13=0,0,$D9/Master_Tracker!$C$13)</f>
        <v>0.0123286152567196</v>
      </c>
      <c r="H9" s="87" t="n">
        <f aca="false">IF(Master_Tracker!$C$13=0,0,$E9/Master_Tracker!$C$13)</f>
        <v>0.0117898005802264</v>
      </c>
      <c r="I9" s="87" t="n">
        <f aca="false">IF(Master_Tracker!$C$13=0,0,$F9/Master_Tracker!$C$13)</f>
        <v>0.0121574853476316</v>
      </c>
      <c r="J9" s="87" t="n">
        <f aca="false">$H9-$G9</f>
        <v>-0.000538814676493185</v>
      </c>
      <c r="K9" s="152" t="n">
        <f aca="false">IF($D9&lt;=0,1,$E9/$D9)</f>
        <v>0.956295604553033</v>
      </c>
      <c r="L9" s="94" t="n">
        <f aca="false">IF(AND($A9&lt;=Dashboard!$H$7,$D9&gt;0),1,0)</f>
        <v>1</v>
      </c>
      <c r="M9" s="46" t="str">
        <f aca="false">IF($L9=1,"Actual","Forecast")</f>
        <v>Actual</v>
      </c>
      <c r="N9" s="152" t="n">
        <f aca="false">IF($F9&lt;=0,1,$E9/$F9)</f>
        <v>0.969756511573604</v>
      </c>
      <c r="O9" s="31" t="n">
        <f aca="false">SUMPRODUCT(Monthly_Trend!$C$9:$C$200,(Monthly_Trend!$D$9:$D$200=$A9)*1,Monthly_Trend!$H$9:$H$200)</f>
        <v>10700823</v>
      </c>
      <c r="P9" s="31" t="n">
        <f aca="false">SUMPRODUCT(Monthly_Trend!$C$9:$C$200,(Monthly_Trend!$D$9:$D$200=$A9)*1,Monthly_Trend!$I$9:$I$200)</f>
        <v>10233150</v>
      </c>
      <c r="Q9" s="31" t="n">
        <f aca="false">SUMPRODUCT(Monthly_Trend!$C$9:$C$200,(Monthly_Trend!$D$9:$D$200=$A9)*1,Monthly_Trend!$J$9:$J$200)</f>
        <v>10552288</v>
      </c>
      <c r="R9" s="31" t="n">
        <f aca="false">SUMPRODUCT(Monthly_Trend!$C$9:$C$200,(Monthly_Trend!$D$9:$D$200&lt;=$A9)*1,Monthly_Trend!$K$9:$K$200)</f>
        <v>8610032</v>
      </c>
      <c r="S9" s="31" t="n">
        <f aca="false">SUMPRODUCT(Monthly_Trend!$C$9:$C$200,(Monthly_Trend!$D$9:$D$200&lt;=$A9)*1,Monthly_Trend!$M$9:$M$200)</f>
        <v>33682</v>
      </c>
      <c r="T9" s="31" t="n">
        <f aca="false">Master_Tracker!$C$13-$E9</f>
        <v>857733185</v>
      </c>
      <c r="U9" s="31" t="n">
        <f aca="false">24-$A9</f>
        <v>23</v>
      </c>
      <c r="V9" s="31" t="n">
        <f aca="false">IF($U9&lt;=0,0,$T9/$U9)</f>
        <v>37292747.1739131</v>
      </c>
    </row>
    <row r="10" customFormat="false" ht="15" hidden="false" customHeight="true" outlineLevel="0" collapsed="false">
      <c r="A10" s="200" t="n">
        <v>2</v>
      </c>
      <c r="B10" s="51" t="s">
        <v>1318</v>
      </c>
      <c r="C10" s="98" t="n">
        <v>46173</v>
      </c>
      <c r="D10" s="49" t="n">
        <f aca="false">SUMPRODUCT(Monthly_Trend!$C$9:$C$200,(Monthly_Trend!$D$9:$D$200&lt;=$A10)*1,Monthly_Trend!$H$9:$H$200)</f>
        <v>33605462</v>
      </c>
      <c r="E10" s="49" t="n">
        <f aca="false">IF($L10=1,SUMPRODUCT(Monthly_Trend!$C$9:$C$200,(Monthly_Trend!$D$9:$D$200&lt;=$A10)*1,Monthly_Trend!$I$9:$I$200),MIN(Master_Tracker!$C$13,Master_Tracker!$M$13+($D10-Master_Tracker!$H$13)*Cost_Financials!$J$21))</f>
        <v>32481408</v>
      </c>
      <c r="F10" s="49" t="n">
        <f aca="false">IF($L10=1,SUMPRODUCT(Monthly_Trend!$C$9:$C$200,(Monthly_Trend!$D$9:$D$200&lt;=$A10)*1,Monthly_Trend!$J$9:$J$200),Master_Tracker!$C$14+MAX(0,$E10-Master_Tracker!$M$13)/Cost_Financials!$C$21)</f>
        <v>33037775</v>
      </c>
      <c r="G10" s="100" t="n">
        <f aca="false">IF(Master_Tracker!$C$13=0,0,$D10/Master_Tracker!$C$13)</f>
        <v>0.0387174716862723</v>
      </c>
      <c r="H10" s="100" t="n">
        <f aca="false">IF(Master_Tracker!$C$13=0,0,$E10/Master_Tracker!$C$13)</f>
        <v>0.0374224283710266</v>
      </c>
      <c r="I10" s="100" t="n">
        <f aca="false">IF(Master_Tracker!$C$13=0,0,$F10/Master_Tracker!$C$13)</f>
        <v>0.0380634290384085</v>
      </c>
      <c r="J10" s="100" t="n">
        <f aca="false">$H10-$G10</f>
        <v>-0.00129504331524563</v>
      </c>
      <c r="K10" s="157" t="n">
        <f aca="false">IF($D10&lt;=0,1,$E10/$D10)</f>
        <v>0.966551449285238</v>
      </c>
      <c r="L10" s="155" t="n">
        <f aca="false">IF(AND($A10&lt;=Dashboard!$H$7,$D10&gt;0),1,0)</f>
        <v>1</v>
      </c>
      <c r="M10" s="52" t="str">
        <f aca="false">IF($L10=1,"Actual","Forecast")</f>
        <v>Actual</v>
      </c>
      <c r="N10" s="157" t="n">
        <f aca="false">IF($F10&lt;=0,1,$E10/$F10)</f>
        <v>0.983159671012954</v>
      </c>
      <c r="O10" s="49" t="n">
        <f aca="false">SUMPRODUCT(Monthly_Trend!$C$9:$C$200,(Monthly_Trend!$D$9:$D$200=$A10)*1,Monthly_Trend!$H$9:$H$200)</f>
        <v>22904639</v>
      </c>
      <c r="P10" s="49" t="n">
        <f aca="false">SUMPRODUCT(Monthly_Trend!$C$9:$C$200,(Monthly_Trend!$D$9:$D$200=$A10)*1,Monthly_Trend!$I$9:$I$200)</f>
        <v>22248258</v>
      </c>
      <c r="Q10" s="49" t="n">
        <f aca="false">SUMPRODUCT(Monthly_Trend!$C$9:$C$200,(Monthly_Trend!$D$9:$D$200=$A10)*1,Monthly_Trend!$J$9:$J$200)</f>
        <v>22485487</v>
      </c>
      <c r="R10" s="49" t="n">
        <f aca="false">SUMPRODUCT(Monthly_Trend!$C$9:$C$200,(Monthly_Trend!$D$9:$D$200&lt;=$A10)*1,Monthly_Trend!$K$9:$K$200)</f>
        <v>27417613</v>
      </c>
      <c r="S10" s="49" t="n">
        <f aca="false">SUMPRODUCT(Monthly_Trend!$C$9:$C$200,(Monthly_Trend!$D$9:$D$200&lt;=$A10)*1,Monthly_Trend!$M$9:$M$200)</f>
        <v>106004</v>
      </c>
      <c r="T10" s="49" t="n">
        <f aca="false">Master_Tracker!$C$13-$E10</f>
        <v>835484927</v>
      </c>
      <c r="U10" s="49" t="n">
        <f aca="false">24-$A10</f>
        <v>22</v>
      </c>
      <c r="V10" s="49" t="n">
        <f aca="false">IF($U10&lt;=0,0,$T10/$U10)</f>
        <v>37976587.5909091</v>
      </c>
    </row>
    <row r="11" customFormat="false" ht="15" hidden="false" customHeight="true" outlineLevel="0" collapsed="false">
      <c r="A11" s="199" t="n">
        <v>3</v>
      </c>
      <c r="B11" s="45" t="s">
        <v>1319</v>
      </c>
      <c r="C11" s="85" t="n">
        <v>46203</v>
      </c>
      <c r="D11" s="31" t="n">
        <f aca="false">SUMPRODUCT(Monthly_Trend!$C$9:$C$200,(Monthly_Trend!$D$9:$D$200&lt;=$A11)*1,Monthly_Trend!$H$9:$H$200)</f>
        <v>57149188</v>
      </c>
      <c r="E11" s="31" t="n">
        <f aca="false">IF($L11=1,SUMPRODUCT(Monthly_Trend!$C$9:$C$200,(Monthly_Trend!$D$9:$D$200&lt;=$A11)*1,Monthly_Trend!$I$9:$I$200),MIN(Master_Tracker!$C$13,Master_Tracker!$M$13+($D11-Master_Tracker!$H$13)*Cost_Financials!$J$21))</f>
        <v>54705539</v>
      </c>
      <c r="F11" s="31" t="n">
        <f aca="false">IF($L11=1,SUMPRODUCT(Monthly_Trend!$C$9:$C$200,(Monthly_Trend!$D$9:$D$200&lt;=$A11)*1,Monthly_Trend!$J$9:$J$200),Master_Tracker!$C$14+MAX(0,$E11-Master_Tracker!$M$13)/Cost_Financials!$C$21)</f>
        <v>55875173</v>
      </c>
      <c r="G11" s="87" t="n">
        <f aca="false">IF(Master_Tracker!$C$13=0,0,$D11/Master_Tracker!$C$13)</f>
        <v>0.0658426320186716</v>
      </c>
      <c r="H11" s="87" t="n">
        <f aca="false">IF(Master_Tracker!$C$13=0,0,$E11/Master_Tracker!$C$13)</f>
        <v>0.0630272590007768</v>
      </c>
      <c r="I11" s="87" t="n">
        <f aca="false">IF(Master_Tracker!$C$13=0,0,$F11/Master_Tracker!$C$13)</f>
        <v>0.0643748158734751</v>
      </c>
      <c r="J11" s="87" t="n">
        <f aca="false">$H11-$G11</f>
        <v>-0.00281537301789475</v>
      </c>
      <c r="K11" s="152" t="n">
        <f aca="false">IF($D11&lt;=0,1,$E11/$D11)</f>
        <v>0.957240879782929</v>
      </c>
      <c r="L11" s="94" t="n">
        <f aca="false">IF(AND($A11&lt;=Dashboard!$H$7,$D11&gt;0),1,0)</f>
        <v>1</v>
      </c>
      <c r="M11" s="46" t="str">
        <f aca="false">IF($L11=1,"Actual","Forecast")</f>
        <v>Actual</v>
      </c>
      <c r="N11" s="152" t="n">
        <f aca="false">IF($F11&lt;=0,1,$E11/$F11)</f>
        <v>0.979067017832768</v>
      </c>
      <c r="O11" s="31" t="n">
        <f aca="false">SUMPRODUCT(Monthly_Trend!$C$9:$C$200,(Monthly_Trend!$D$9:$D$200=$A11)*1,Monthly_Trend!$H$9:$H$200)</f>
        <v>23543726</v>
      </c>
      <c r="P11" s="31" t="n">
        <f aca="false">SUMPRODUCT(Monthly_Trend!$C$9:$C$200,(Monthly_Trend!$D$9:$D$200=$A11)*1,Monthly_Trend!$I$9:$I$200)</f>
        <v>22224131</v>
      </c>
      <c r="Q11" s="31" t="n">
        <f aca="false">SUMPRODUCT(Monthly_Trend!$C$9:$C$200,(Monthly_Trend!$D$9:$D$200=$A11)*1,Monthly_Trend!$J$9:$J$200)</f>
        <v>22837398</v>
      </c>
      <c r="R11" s="31" t="n">
        <f aca="false">SUMPRODUCT(Monthly_Trend!$C$9:$C$200,(Monthly_Trend!$D$9:$D$200&lt;=$A11)*1,Monthly_Trend!$K$9:$K$200)</f>
        <v>46222931</v>
      </c>
      <c r="S11" s="31" t="n">
        <f aca="false">SUMPRODUCT(Monthly_Trend!$C$9:$C$200,(Monthly_Trend!$D$9:$D$200&lt;=$A11)*1,Monthly_Trend!$M$9:$M$200)</f>
        <v>179748</v>
      </c>
      <c r="T11" s="31" t="n">
        <f aca="false">Master_Tracker!$C$13-$E11</f>
        <v>813260796</v>
      </c>
      <c r="U11" s="31" t="n">
        <f aca="false">24-$A11</f>
        <v>21</v>
      </c>
      <c r="V11" s="31" t="n">
        <f aca="false">IF($U11&lt;=0,0,$T11/$U11)</f>
        <v>38726704.5714286</v>
      </c>
    </row>
    <row r="12" customFormat="false" ht="15" hidden="false" customHeight="true" outlineLevel="0" collapsed="false">
      <c r="A12" s="200" t="n">
        <v>4</v>
      </c>
      <c r="B12" s="51" t="s">
        <v>1320</v>
      </c>
      <c r="C12" s="98" t="n">
        <v>46234</v>
      </c>
      <c r="D12" s="49" t="n">
        <f aca="false">SUMPRODUCT(Monthly_Trend!$C$9:$C$200,(Monthly_Trend!$D$9:$D$200&lt;=$A12)*1,Monthly_Trend!$H$9:$H$200)</f>
        <v>86817979</v>
      </c>
      <c r="E12" s="49" t="n">
        <f aca="false">IF($L12=1,SUMPRODUCT(Monthly_Trend!$C$9:$C$200,(Monthly_Trend!$D$9:$D$200&lt;=$A12)*1,Monthly_Trend!$I$9:$I$200),MIN(Master_Tracker!$C$13,Master_Tracker!$M$13+($D12-Master_Tracker!$H$13)*Cost_Financials!$J$21))</f>
        <v>82669605</v>
      </c>
      <c r="F12" s="49" t="n">
        <f aca="false">IF($L12=1,SUMPRODUCT(Monthly_Trend!$C$9:$C$200,(Monthly_Trend!$D$9:$D$200&lt;=$A12)*1,Monthly_Trend!$J$9:$J$200),Master_Tracker!$C$14+MAX(0,$E12-Master_Tracker!$M$13)/Cost_Financials!$C$21)</f>
        <v>84567705</v>
      </c>
      <c r="G12" s="100" t="n">
        <f aca="false">IF(Master_Tracker!$C$13=0,0,$D12/Master_Tracker!$C$13)</f>
        <v>0.100024592543673</v>
      </c>
      <c r="H12" s="100" t="n">
        <f aca="false">IF(Master_Tracker!$C$13=0,0,$E12/Master_Tracker!$C$13)</f>
        <v>0.0952451744571407</v>
      </c>
      <c r="I12" s="100" t="n">
        <f aca="false">IF(Master_Tracker!$C$13=0,0,$F12/Master_Tracker!$C$13)</f>
        <v>0.09743201042469</v>
      </c>
      <c r="J12" s="100" t="n">
        <f aca="false">$H12-$G12</f>
        <v>-0.00477941808653212</v>
      </c>
      <c r="K12" s="157" t="n">
        <f aca="false">IF($D12&lt;=0,1,$E12/$D12)</f>
        <v>0.952217570049632</v>
      </c>
      <c r="L12" s="155" t="n">
        <f aca="false">IF(AND($A12&lt;=Dashboard!$H$7,$D12&gt;0),1,0)</f>
        <v>1</v>
      </c>
      <c r="M12" s="52" t="str">
        <f aca="false">IF($L12=1,"Actual","Forecast")</f>
        <v>Actual</v>
      </c>
      <c r="N12" s="157" t="n">
        <f aca="false">IF($F12&lt;=0,1,$E12/$F12)</f>
        <v>0.977555261786991</v>
      </c>
      <c r="O12" s="49" t="n">
        <f aca="false">SUMPRODUCT(Monthly_Trend!$C$9:$C$200,(Monthly_Trend!$D$9:$D$200=$A12)*1,Monthly_Trend!$H$9:$H$200)</f>
        <v>29668791</v>
      </c>
      <c r="P12" s="49" t="n">
        <f aca="false">SUMPRODUCT(Monthly_Trend!$C$9:$C$200,(Monthly_Trend!$D$9:$D$200=$A12)*1,Monthly_Trend!$I$9:$I$200)</f>
        <v>27964066</v>
      </c>
      <c r="Q12" s="49" t="n">
        <f aca="false">SUMPRODUCT(Monthly_Trend!$C$9:$C$200,(Monthly_Trend!$D$9:$D$200=$A12)*1,Monthly_Trend!$J$9:$J$200)</f>
        <v>28692532</v>
      </c>
      <c r="R12" s="49" t="n">
        <f aca="false">SUMPRODUCT(Monthly_Trend!$C$9:$C$200,(Monthly_Trend!$D$9:$D$200&lt;=$A12)*1,Monthly_Trend!$K$9:$K$200)</f>
        <v>69851178</v>
      </c>
      <c r="S12" s="49" t="n">
        <f aca="false">SUMPRODUCT(Monthly_Trend!$C$9:$C$200,(Monthly_Trend!$D$9:$D$200&lt;=$A12)*1,Monthly_Trend!$M$9:$M$200)</f>
        <v>272638</v>
      </c>
      <c r="T12" s="49" t="n">
        <f aca="false">Master_Tracker!$C$13-$E12</f>
        <v>785296730</v>
      </c>
      <c r="U12" s="49" t="n">
        <f aca="false">24-$A12</f>
        <v>20</v>
      </c>
      <c r="V12" s="49" t="n">
        <f aca="false">IF($U12&lt;=0,0,$T12/$U12)</f>
        <v>39264836.5</v>
      </c>
    </row>
    <row r="13" customFormat="false" ht="15" hidden="false" customHeight="true" outlineLevel="0" collapsed="false">
      <c r="A13" s="199" t="n">
        <v>5</v>
      </c>
      <c r="B13" s="45" t="s">
        <v>1321</v>
      </c>
      <c r="C13" s="85" t="n">
        <v>46265</v>
      </c>
      <c r="D13" s="31" t="n">
        <f aca="false">SUMPRODUCT(Monthly_Trend!$C$9:$C$200,(Monthly_Trend!$D$9:$D$200&lt;=$A13)*1,Monthly_Trend!$H$9:$H$200)</f>
        <v>126214716</v>
      </c>
      <c r="E13" s="31" t="n">
        <f aca="false">IF($L13=1,SUMPRODUCT(Monthly_Trend!$C$9:$C$200,(Monthly_Trend!$D$9:$D$200&lt;=$A13)*1,Monthly_Trend!$I$9:$I$200),MIN(Master_Tracker!$C$13,Master_Tracker!$M$13+($D13-Master_Tracker!$H$13)*Cost_Financials!$J$21))</f>
        <v>120378483</v>
      </c>
      <c r="F13" s="31" t="n">
        <f aca="false">IF($L13=1,SUMPRODUCT(Monthly_Trend!$C$9:$C$200,(Monthly_Trend!$D$9:$D$200&lt;=$A13)*1,Monthly_Trend!$J$9:$J$200),Master_Tracker!$C$14+MAX(0,$E13-Master_Tracker!$M$13)/Cost_Financials!$C$21)</f>
        <v>122819465</v>
      </c>
      <c r="G13" s="87" t="n">
        <f aca="false">IF(Master_Tracker!$C$13=0,0,$D13/Master_Tracker!$C$13)</f>
        <v>0.145414298816094</v>
      </c>
      <c r="H13" s="87" t="n">
        <f aca="false">IF(Master_Tracker!$C$13=0,0,$E13/Master_Tracker!$C$13)</f>
        <v>0.138690267290148</v>
      </c>
      <c r="I13" s="87" t="n">
        <f aca="false">IF(Master_Tracker!$C$13=0,0,$F13/Master_Tracker!$C$13)</f>
        <v>0.141502567608224</v>
      </c>
      <c r="J13" s="87" t="n">
        <f aca="false">$H13-$G13</f>
        <v>-0.00672403152594622</v>
      </c>
      <c r="K13" s="152" t="n">
        <f aca="false">IF($D13&lt;=0,1,$E13/$D13)</f>
        <v>0.953759488711285</v>
      </c>
      <c r="L13" s="94" t="n">
        <f aca="false">IF(AND($A13&lt;=Dashboard!$H$7,$D13&gt;0),1,0)</f>
        <v>1</v>
      </c>
      <c r="M13" s="46" t="str">
        <f aca="false">IF($L13=1,"Actual","Forecast")</f>
        <v>Actual</v>
      </c>
      <c r="N13" s="152" t="n">
        <f aca="false">IF($F13&lt;=0,1,$E13/$F13)</f>
        <v>0.980125446727846</v>
      </c>
      <c r="O13" s="31" t="n">
        <f aca="false">SUMPRODUCT(Monthly_Trend!$C$9:$C$200,(Monthly_Trend!$D$9:$D$200=$A13)*1,Monthly_Trend!$H$9:$H$200)</f>
        <v>39396737</v>
      </c>
      <c r="P13" s="31" t="n">
        <f aca="false">SUMPRODUCT(Monthly_Trend!$C$9:$C$200,(Monthly_Trend!$D$9:$D$200=$A13)*1,Monthly_Trend!$I$9:$I$200)</f>
        <v>37708878</v>
      </c>
      <c r="Q13" s="31" t="n">
        <f aca="false">SUMPRODUCT(Monthly_Trend!$C$9:$C$200,(Monthly_Trend!$D$9:$D$200=$A13)*1,Monthly_Trend!$J$9:$J$200)</f>
        <v>38251760</v>
      </c>
      <c r="R13" s="31" t="n">
        <f aca="false">SUMPRODUCT(Monthly_Trend!$C$9:$C$200,(Monthly_Trend!$D$9:$D$200&lt;=$A13)*1,Monthly_Trend!$K$9:$K$200)</f>
        <v>101734277</v>
      </c>
      <c r="S13" s="31" t="n">
        <f aca="false">SUMPRODUCT(Monthly_Trend!$C$9:$C$200,(Monthly_Trend!$D$9:$D$200&lt;=$A13)*1,Monthly_Trend!$M$9:$M$200)</f>
        <v>396484</v>
      </c>
      <c r="T13" s="31" t="n">
        <f aca="false">Master_Tracker!$C$13-$E13</f>
        <v>747587852</v>
      </c>
      <c r="U13" s="31" t="n">
        <f aca="false">24-$A13</f>
        <v>19</v>
      </c>
      <c r="V13" s="31" t="n">
        <f aca="false">IF($U13&lt;=0,0,$T13/$U13)</f>
        <v>39346729.0526316</v>
      </c>
    </row>
    <row r="14" customFormat="false" ht="15" hidden="false" customHeight="true" outlineLevel="0" collapsed="false">
      <c r="A14" s="200" t="n">
        <v>6</v>
      </c>
      <c r="B14" s="51" t="s">
        <v>1322</v>
      </c>
      <c r="C14" s="98" t="n">
        <v>46295</v>
      </c>
      <c r="D14" s="49" t="n">
        <f aca="false">SUMPRODUCT(Monthly_Trend!$C$9:$C$200,(Monthly_Trend!$D$9:$D$200&lt;=$A14)*1,Monthly_Trend!$H$9:$H$200)</f>
        <v>177971238</v>
      </c>
      <c r="E14" s="49" t="n">
        <f aca="false">IF($L14=1,SUMPRODUCT(Monthly_Trend!$C$9:$C$200,(Monthly_Trend!$D$9:$D$200&lt;=$A14)*1,Monthly_Trend!$I$9:$I$200),MIN(Master_Tracker!$C$13,Master_Tracker!$M$13+($D14-Master_Tracker!$H$13)*Cost_Financials!$J$21))</f>
        <v>170064745.962424</v>
      </c>
      <c r="F14" s="49" t="n">
        <f aca="false">IF($L14=1,SUMPRODUCT(Monthly_Trend!$C$9:$C$200,(Monthly_Trend!$D$9:$D$200&lt;=$A14)*1,Monthly_Trend!$J$9:$J$200),Master_Tracker!$C$14+MAX(0,$E14-Master_Tracker!$M$13)/Cost_Financials!$C$21)</f>
        <v>174846963.893638</v>
      </c>
      <c r="G14" s="100" t="n">
        <f aca="false">IF(Master_Tracker!$C$13=0,0,$D14/Master_Tracker!$C$13)</f>
        <v>0.205043941018749</v>
      </c>
      <c r="H14" s="100" t="n">
        <f aca="false">IF(Master_Tracker!$C$13=0,0,$E14/Master_Tracker!$C$13)</f>
        <v>0.195934725927388</v>
      </c>
      <c r="I14" s="100" t="n">
        <f aca="false">IF(Master_Tracker!$C$13=0,0,$F14/Master_Tracker!$C$13)</f>
        <v>0.201444407280655</v>
      </c>
      <c r="J14" s="100" t="n">
        <f aca="false">$H14-$G14</f>
        <v>-0.00910921509136181</v>
      </c>
      <c r="K14" s="157" t="n">
        <f aca="false">IF($D14&lt;=0,1,$E14/$D14)</f>
        <v>0.955574326916937</v>
      </c>
      <c r="L14" s="155" t="n">
        <f aca="false">IF(AND($A14&lt;=Dashboard!$H$7,$D14&gt;0),1,0)</f>
        <v>0</v>
      </c>
      <c r="M14" s="52" t="str">
        <f aca="false">IF($L14=1,"Actual","Forecast")</f>
        <v>Forecast</v>
      </c>
      <c r="N14" s="157" t="n">
        <f aca="false">IF($F14&lt;=0,1,$E14/$F14)</f>
        <v>0.972649122268301</v>
      </c>
      <c r="O14" s="49" t="n">
        <f aca="false">SUMPRODUCT(Monthly_Trend!$C$9:$C$200,(Monthly_Trend!$D$9:$D$200=$A14)*1,Monthly_Trend!$H$9:$H$200)</f>
        <v>51756522</v>
      </c>
      <c r="P14" s="49" t="n">
        <f aca="false">SUMPRODUCT(Monthly_Trend!$C$9:$C$200,(Monthly_Trend!$D$9:$D$200=$A14)*1,Monthly_Trend!$I$9:$I$200)</f>
        <v>0</v>
      </c>
      <c r="Q14" s="49" t="n">
        <f aca="false">SUMPRODUCT(Monthly_Trend!$C$9:$C$200,(Monthly_Trend!$D$9:$D$200=$A14)*1,Monthly_Trend!$J$9:$J$200)</f>
        <v>0</v>
      </c>
      <c r="R14" s="49" t="n">
        <f aca="false">SUMPRODUCT(Monthly_Trend!$C$9:$C$200,(Monthly_Trend!$D$9:$D$200&lt;=$A14)*1,Monthly_Trend!$K$9:$K$200)</f>
        <v>101734277</v>
      </c>
      <c r="S14" s="49" t="n">
        <f aca="false">SUMPRODUCT(Monthly_Trend!$C$9:$C$200,(Monthly_Trend!$D$9:$D$200&lt;=$A14)*1,Monthly_Trend!$M$9:$M$200)</f>
        <v>396484</v>
      </c>
      <c r="T14" s="49" t="n">
        <f aca="false">Master_Tracker!$C$13-$E14</f>
        <v>697901589.037576</v>
      </c>
      <c r="U14" s="49" t="n">
        <f aca="false">24-$A14</f>
        <v>18</v>
      </c>
      <c r="V14" s="49" t="n">
        <f aca="false">IF($U14&lt;=0,0,$T14/$U14)</f>
        <v>38772310.5020876</v>
      </c>
    </row>
    <row r="15" customFormat="false" ht="15" hidden="false" customHeight="true" outlineLevel="0" collapsed="false">
      <c r="A15" s="199" t="n">
        <v>7</v>
      </c>
      <c r="B15" s="45" t="s">
        <v>1323</v>
      </c>
      <c r="C15" s="85" t="n">
        <v>46326</v>
      </c>
      <c r="D15" s="31" t="n">
        <f aca="false">SUMPRODUCT(Monthly_Trend!$C$9:$C$200,(Monthly_Trend!$D$9:$D$200&lt;=$A15)*1,Monthly_Trend!$H$9:$H$200)</f>
        <v>239857533</v>
      </c>
      <c r="E15" s="31" t="n">
        <f aca="false">IF($L15=1,SUMPRODUCT(Monthly_Trend!$C$9:$C$200,(Monthly_Trend!$D$9:$D$200&lt;=$A15)*1,Monthly_Trend!$I$9:$I$200),MIN(Master_Tracker!$C$13,Master_Tracker!$M$13+($D15-Master_Tracker!$H$13)*Cost_Financials!$J$21))</f>
        <v>229475589.162424</v>
      </c>
      <c r="F15" s="31" t="n">
        <f aca="false">IF($L15=1,SUMPRODUCT(Monthly_Trend!$C$9:$C$200,(Monthly_Trend!$D$9:$D$200&lt;=$A15)*1,Monthly_Trend!$J$9:$J$200),Master_Tracker!$C$14+MAX(0,$E15-Master_Tracker!$M$13)/Cost_Financials!$C$21)</f>
        <v>237057270.909345</v>
      </c>
      <c r="G15" s="87" t="n">
        <f aca="false">IF(Master_Tracker!$C$13=0,0,$D15/Master_Tracker!$C$13)</f>
        <v>0.276344281256024</v>
      </c>
      <c r="H15" s="87" t="n">
        <f aca="false">IF(Master_Tracker!$C$13=0,0,$E15/Master_Tracker!$C$13)</f>
        <v>0.264383052555171</v>
      </c>
      <c r="I15" s="87" t="n">
        <f aca="false">IF(Master_Tracker!$C$13=0,0,$F15/Master_Tracker!$C$13)</f>
        <v>0.273118047728596</v>
      </c>
      <c r="J15" s="87" t="n">
        <f aca="false">$H15-$G15</f>
        <v>-0.0119612287008528</v>
      </c>
      <c r="K15" s="152" t="n">
        <f aca="false">IF($D15&lt;=0,1,$E15/$D15)</f>
        <v>0.956716206876121</v>
      </c>
      <c r="L15" s="94" t="n">
        <f aca="false">IF(AND($A15&lt;=Dashboard!$H$7,$D15&gt;0),1,0)</f>
        <v>0</v>
      </c>
      <c r="M15" s="46" t="str">
        <f aca="false">IF($L15=1,"Actual","Forecast")</f>
        <v>Forecast</v>
      </c>
      <c r="N15" s="152" t="n">
        <f aca="false">IF($F15&lt;=0,1,$E15/$F15)</f>
        <v>0.968017510208241</v>
      </c>
      <c r="O15" s="31" t="n">
        <f aca="false">SUMPRODUCT(Monthly_Trend!$C$9:$C$200,(Monthly_Trend!$D$9:$D$200=$A15)*1,Monthly_Trend!$H$9:$H$200)</f>
        <v>61886295</v>
      </c>
      <c r="P15" s="31" t="n">
        <f aca="false">SUMPRODUCT(Monthly_Trend!$C$9:$C$200,(Monthly_Trend!$D$9:$D$200=$A15)*1,Monthly_Trend!$I$9:$I$200)</f>
        <v>0</v>
      </c>
      <c r="Q15" s="31" t="n">
        <f aca="false">SUMPRODUCT(Monthly_Trend!$C$9:$C$200,(Monthly_Trend!$D$9:$D$200=$A15)*1,Monthly_Trend!$J$9:$J$200)</f>
        <v>0</v>
      </c>
      <c r="R15" s="31" t="n">
        <f aca="false">SUMPRODUCT(Monthly_Trend!$C$9:$C$200,(Monthly_Trend!$D$9:$D$200&lt;=$A15)*1,Monthly_Trend!$K$9:$K$200)</f>
        <v>101734277</v>
      </c>
      <c r="S15" s="31" t="n">
        <f aca="false">SUMPRODUCT(Monthly_Trend!$C$9:$C$200,(Monthly_Trend!$D$9:$D$200&lt;=$A15)*1,Monthly_Trend!$M$9:$M$200)</f>
        <v>396484</v>
      </c>
      <c r="T15" s="31" t="n">
        <f aca="false">Master_Tracker!$C$13-$E15</f>
        <v>638490745.837576</v>
      </c>
      <c r="U15" s="31" t="n">
        <f aca="false">24-$A15</f>
        <v>17</v>
      </c>
      <c r="V15" s="31" t="n">
        <f aca="false">IF($U15&lt;=0,0,$T15/$U15)</f>
        <v>37558279.1669162</v>
      </c>
    </row>
    <row r="16" customFormat="false" ht="15" hidden="false" customHeight="true" outlineLevel="0" collapsed="false">
      <c r="A16" s="200" t="n">
        <v>8</v>
      </c>
      <c r="B16" s="51" t="s">
        <v>1324</v>
      </c>
      <c r="C16" s="98" t="n">
        <v>46356</v>
      </c>
      <c r="D16" s="49" t="n">
        <f aca="false">SUMPRODUCT(Monthly_Trend!$C$9:$C$200,(Monthly_Trend!$D$9:$D$200&lt;=$A16)*1,Monthly_Trend!$H$9:$H$200)</f>
        <v>310097917</v>
      </c>
      <c r="E16" s="49" t="n">
        <f aca="false">IF($L16=1,SUMPRODUCT(Monthly_Trend!$C$9:$C$200,(Monthly_Trend!$D$9:$D$200&lt;=$A16)*1,Monthly_Trend!$I$9:$I$200),MIN(Master_Tracker!$C$13,Master_Tracker!$M$13+($D16-Master_Tracker!$H$13)*Cost_Financials!$J$21))</f>
        <v>296906357.802424</v>
      </c>
      <c r="F16" s="49" t="n">
        <f aca="false">IF($L16=1,SUMPRODUCT(Monthly_Trend!$C$9:$C$200,(Monthly_Trend!$D$9:$D$200&lt;=$A16)*1,Monthly_Trend!$J$9:$J$200),Master_Tracker!$C$14+MAX(0,$E16-Master_Tracker!$M$13)/Cost_Financials!$C$21)</f>
        <v>307665405.610915</v>
      </c>
      <c r="G16" s="100" t="n">
        <f aca="false">IF(Master_Tracker!$C$13=0,0,$D16/Master_Tracker!$C$13)</f>
        <v>0.357269521288519</v>
      </c>
      <c r="H16" s="100" t="n">
        <f aca="false">IF(Master_Tracker!$C$13=0,0,$E16/Master_Tracker!$C$13)</f>
        <v>0.342071282986366</v>
      </c>
      <c r="I16" s="100" t="n">
        <f aca="false">IF(Master_Tracker!$C$13=0,0,$F16/Master_Tracker!$C$13)</f>
        <v>0.354466980117282</v>
      </c>
      <c r="J16" s="100" t="n">
        <f aca="false">$H16-$G16</f>
        <v>-0.0151982383021526</v>
      </c>
      <c r="K16" s="157" t="n">
        <f aca="false">IF($D16&lt;=0,1,$E16/$D16)</f>
        <v>0.957460019966609</v>
      </c>
      <c r="L16" s="155" t="n">
        <f aca="false">IF(AND($A16&lt;=Dashboard!$H$7,$D16&gt;0),1,0)</f>
        <v>0</v>
      </c>
      <c r="M16" s="52" t="str">
        <f aca="false">IF($L16=1,"Actual","Forecast")</f>
        <v>Forecast</v>
      </c>
      <c r="N16" s="157" t="n">
        <f aca="false">IF($F16&lt;=0,1,$E16/$F16)</f>
        <v>0.965030037136845</v>
      </c>
      <c r="O16" s="49" t="n">
        <f aca="false">SUMPRODUCT(Monthly_Trend!$C$9:$C$200,(Monthly_Trend!$D$9:$D$200=$A16)*1,Monthly_Trend!$H$9:$H$200)</f>
        <v>70240384</v>
      </c>
      <c r="P16" s="49" t="n">
        <f aca="false">SUMPRODUCT(Monthly_Trend!$C$9:$C$200,(Monthly_Trend!$D$9:$D$200=$A16)*1,Monthly_Trend!$I$9:$I$200)</f>
        <v>0</v>
      </c>
      <c r="Q16" s="49" t="n">
        <f aca="false">SUMPRODUCT(Monthly_Trend!$C$9:$C$200,(Monthly_Trend!$D$9:$D$200=$A16)*1,Monthly_Trend!$J$9:$J$200)</f>
        <v>0</v>
      </c>
      <c r="R16" s="49" t="n">
        <f aca="false">SUMPRODUCT(Monthly_Trend!$C$9:$C$200,(Monthly_Trend!$D$9:$D$200&lt;=$A16)*1,Monthly_Trend!$K$9:$K$200)</f>
        <v>101734277</v>
      </c>
      <c r="S16" s="49" t="n">
        <f aca="false">SUMPRODUCT(Monthly_Trend!$C$9:$C$200,(Monthly_Trend!$D$9:$D$200&lt;=$A16)*1,Monthly_Trend!$M$9:$M$200)</f>
        <v>396484</v>
      </c>
      <c r="T16" s="49" t="n">
        <f aca="false">Master_Tracker!$C$13-$E16</f>
        <v>571059977.197576</v>
      </c>
      <c r="U16" s="49" t="n">
        <f aca="false">24-$A16</f>
        <v>16</v>
      </c>
      <c r="V16" s="49" t="n">
        <f aca="false">IF($U16&lt;=0,0,$T16/$U16)</f>
        <v>35691248.5748485</v>
      </c>
    </row>
    <row r="17" customFormat="false" ht="15" hidden="false" customHeight="true" outlineLevel="0" collapsed="false">
      <c r="A17" s="199" t="n">
        <v>9</v>
      </c>
      <c r="B17" s="45" t="s">
        <v>1325</v>
      </c>
      <c r="C17" s="85" t="n">
        <v>46387</v>
      </c>
      <c r="D17" s="31" t="n">
        <f aca="false">SUMPRODUCT(Monthly_Trend!$C$9:$C$200,(Monthly_Trend!$D$9:$D$200&lt;=$A17)*1,Monthly_Trend!$H$9:$H$200)</f>
        <v>386378897</v>
      </c>
      <c r="E17" s="31" t="n">
        <f aca="false">IF($L17=1,SUMPRODUCT(Monthly_Trend!$C$9:$C$200,(Monthly_Trend!$D$9:$D$200&lt;=$A17)*1,Monthly_Trend!$I$9:$I$200),MIN(Master_Tracker!$C$13,Master_Tracker!$M$13+($D17-Master_Tracker!$H$13)*Cost_Financials!$J$21))</f>
        <v>370136098.602424</v>
      </c>
      <c r="F17" s="31" t="n">
        <f aca="false">IF($L17=1,SUMPRODUCT(Monthly_Trend!$C$9:$C$200,(Monthly_Trend!$D$9:$D$200&lt;=$A17)*1,Monthly_Trend!$J$9:$J$200),Master_Tracker!$C$14+MAX(0,$E17-Master_Tracker!$M$13)/Cost_Financials!$C$21)</f>
        <v>384345762.469554</v>
      </c>
      <c r="G17" s="87" t="n">
        <f aca="false">IF(Master_Tracker!$C$13=0,0,$D17/Master_Tracker!$C$13)</f>
        <v>0.445154243223039</v>
      </c>
      <c r="H17" s="87" t="n">
        <f aca="false">IF(Master_Tracker!$C$13=0,0,$E17/Master_Tracker!$C$13)</f>
        <v>0.426440616043506</v>
      </c>
      <c r="I17" s="87" t="n">
        <f aca="false">IF(Master_Tracker!$C$13=0,0,$F17/Master_Tracker!$C$13)</f>
        <v>0.442811831486015</v>
      </c>
      <c r="J17" s="87" t="n">
        <f aca="false">$H17-$G17</f>
        <v>-0.0187136271795335</v>
      </c>
      <c r="K17" s="152" t="n">
        <f aca="false">IF($D17&lt;=0,1,$E17/$D17)</f>
        <v>0.957961476354709</v>
      </c>
      <c r="L17" s="94" t="n">
        <f aca="false">IF(AND($A17&lt;=Dashboard!$H$7,$D17&gt;0),1,0)</f>
        <v>0</v>
      </c>
      <c r="M17" s="46" t="str">
        <f aca="false">IF($L17=1,"Actual","Forecast")</f>
        <v>Forecast</v>
      </c>
      <c r="N17" s="152" t="n">
        <f aca="false">IF($F17&lt;=0,1,$E17/$F17)</f>
        <v>0.963028956594115</v>
      </c>
      <c r="O17" s="31" t="n">
        <f aca="false">SUMPRODUCT(Monthly_Trend!$C$9:$C$200,(Monthly_Trend!$D$9:$D$200=$A17)*1,Monthly_Trend!$H$9:$H$200)</f>
        <v>76280980</v>
      </c>
      <c r="P17" s="31" t="n">
        <f aca="false">SUMPRODUCT(Monthly_Trend!$C$9:$C$200,(Monthly_Trend!$D$9:$D$200=$A17)*1,Monthly_Trend!$I$9:$I$200)</f>
        <v>0</v>
      </c>
      <c r="Q17" s="31" t="n">
        <f aca="false">SUMPRODUCT(Monthly_Trend!$C$9:$C$200,(Monthly_Trend!$D$9:$D$200=$A17)*1,Monthly_Trend!$J$9:$J$200)</f>
        <v>0</v>
      </c>
      <c r="R17" s="31" t="n">
        <f aca="false">SUMPRODUCT(Monthly_Trend!$C$9:$C$200,(Monthly_Trend!$D$9:$D$200&lt;=$A17)*1,Monthly_Trend!$K$9:$K$200)</f>
        <v>101734277</v>
      </c>
      <c r="S17" s="31" t="n">
        <f aca="false">SUMPRODUCT(Monthly_Trend!$C$9:$C$200,(Monthly_Trend!$D$9:$D$200&lt;=$A17)*1,Monthly_Trend!$M$9:$M$200)</f>
        <v>396484</v>
      </c>
      <c r="T17" s="31" t="n">
        <f aca="false">Master_Tracker!$C$13-$E17</f>
        <v>497830236.397576</v>
      </c>
      <c r="U17" s="31" t="n">
        <f aca="false">24-$A17</f>
        <v>15</v>
      </c>
      <c r="V17" s="31" t="n">
        <f aca="false">IF($U17&lt;=0,0,$T17/$U17)</f>
        <v>33188682.4265051</v>
      </c>
    </row>
    <row r="18" customFormat="false" ht="15" hidden="false" customHeight="true" outlineLevel="0" collapsed="false">
      <c r="A18" s="200" t="n">
        <v>10</v>
      </c>
      <c r="B18" s="51" t="s">
        <v>1326</v>
      </c>
      <c r="C18" s="98" t="n">
        <v>46418</v>
      </c>
      <c r="D18" s="49" t="n">
        <f aca="false">SUMPRODUCT(Monthly_Trend!$C$9:$C$200,(Monthly_Trend!$D$9:$D$200&lt;=$A18)*1,Monthly_Trend!$H$9:$H$200)</f>
        <v>465743847</v>
      </c>
      <c r="E18" s="49" t="n">
        <f aca="false">IF($L18=1,SUMPRODUCT(Monthly_Trend!$C$9:$C$200,(Monthly_Trend!$D$9:$D$200&lt;=$A18)*1,Monthly_Trend!$I$9:$I$200),MIN(Master_Tracker!$C$13,Master_Tracker!$M$13+($D18-Master_Tracker!$H$13)*Cost_Financials!$J$21))</f>
        <v>446326450.602424</v>
      </c>
      <c r="F18" s="49" t="n">
        <f aca="false">IF($L18=1,SUMPRODUCT(Monthly_Trend!$C$9:$C$200,(Monthly_Trend!$D$9:$D$200&lt;=$A18)*1,Monthly_Trend!$J$9:$J$200),Master_Tracker!$C$14+MAX(0,$E18-Master_Tracker!$M$13)/Cost_Financials!$C$21)</f>
        <v>464126235.767983</v>
      </c>
      <c r="G18" s="100" t="n">
        <f aca="false">IF(Master_Tracker!$C$13=0,0,$D18/Master_Tracker!$C$13)</f>
        <v>0.536592063792428</v>
      </c>
      <c r="H18" s="100" t="n">
        <f aca="false">IF(Master_Tracker!$C$13=0,0,$E18/Master_Tracker!$C$13)</f>
        <v>0.514220923790119</v>
      </c>
      <c r="I18" s="100" t="n">
        <f aca="false">IF(Master_Tracker!$C$13=0,0,$F18/Master_Tracker!$C$13)</f>
        <v>0.53472838410027</v>
      </c>
      <c r="J18" s="100" t="n">
        <f aca="false">$H18-$G18</f>
        <v>-0.022371140002309</v>
      </c>
      <c r="K18" s="157" t="n">
        <f aca="false">IF($D18&lt;=0,1,$E18/$D18)</f>
        <v>0.958308850406399</v>
      </c>
      <c r="L18" s="155" t="n">
        <f aca="false">IF(AND($A18&lt;=Dashboard!$H$7,$D18&gt;0),1,0)</f>
        <v>0</v>
      </c>
      <c r="M18" s="52" t="str">
        <f aca="false">IF($L18=1,"Actual","Forecast")</f>
        <v>Forecast</v>
      </c>
      <c r="N18" s="157" t="n">
        <f aca="false">IF($F18&lt;=0,1,$E18/$F18)</f>
        <v>0.961648827853685</v>
      </c>
      <c r="O18" s="49" t="n">
        <f aca="false">SUMPRODUCT(Monthly_Trend!$C$9:$C$200,(Monthly_Trend!$D$9:$D$200=$A18)*1,Monthly_Trend!$H$9:$H$200)</f>
        <v>79364950</v>
      </c>
      <c r="P18" s="49" t="n">
        <f aca="false">SUMPRODUCT(Monthly_Trend!$C$9:$C$200,(Monthly_Trend!$D$9:$D$200=$A18)*1,Monthly_Trend!$I$9:$I$200)</f>
        <v>0</v>
      </c>
      <c r="Q18" s="49" t="n">
        <f aca="false">SUMPRODUCT(Monthly_Trend!$C$9:$C$200,(Monthly_Trend!$D$9:$D$200=$A18)*1,Monthly_Trend!$J$9:$J$200)</f>
        <v>0</v>
      </c>
      <c r="R18" s="49" t="n">
        <f aca="false">SUMPRODUCT(Monthly_Trend!$C$9:$C$200,(Monthly_Trend!$D$9:$D$200&lt;=$A18)*1,Monthly_Trend!$K$9:$K$200)</f>
        <v>101734277</v>
      </c>
      <c r="S18" s="49" t="n">
        <f aca="false">SUMPRODUCT(Monthly_Trend!$C$9:$C$200,(Monthly_Trend!$D$9:$D$200&lt;=$A18)*1,Monthly_Trend!$M$9:$M$200)</f>
        <v>396484</v>
      </c>
      <c r="T18" s="49" t="n">
        <f aca="false">Master_Tracker!$C$13-$E18</f>
        <v>421639884.397576</v>
      </c>
      <c r="U18" s="49" t="n">
        <f aca="false">24-$A18</f>
        <v>14</v>
      </c>
      <c r="V18" s="49" t="n">
        <f aca="false">IF($U18&lt;=0,0,$T18/$U18)</f>
        <v>30117134.5998269</v>
      </c>
    </row>
    <row r="19" customFormat="false" ht="15" hidden="false" customHeight="true" outlineLevel="0" collapsed="false">
      <c r="A19" s="199" t="n">
        <v>11</v>
      </c>
      <c r="B19" s="45" t="s">
        <v>1327</v>
      </c>
      <c r="C19" s="85" t="n">
        <v>46446</v>
      </c>
      <c r="D19" s="31" t="n">
        <f aca="false">SUMPRODUCT(Monthly_Trend!$C$9:$C$200,(Monthly_Trend!$D$9:$D$200&lt;=$A19)*1,Monthly_Trend!$H$9:$H$200)</f>
        <v>542424130</v>
      </c>
      <c r="E19" s="31" t="n">
        <f aca="false">IF($L19=1,SUMPRODUCT(Monthly_Trend!$C$9:$C$200,(Monthly_Trend!$D$9:$D$200&lt;=$A19)*1,Monthly_Trend!$I$9:$I$200),MIN(Master_Tracker!$C$13,Master_Tracker!$M$13+($D19-Master_Tracker!$H$13)*Cost_Financials!$J$21))</f>
        <v>519939522.282424</v>
      </c>
      <c r="F19" s="31" t="n">
        <f aca="false">IF($L19=1,SUMPRODUCT(Monthly_Trend!$C$9:$C$200,(Monthly_Trend!$D$9:$D$200&lt;=$A19)*1,Monthly_Trend!$J$9:$J$200),Master_Tracker!$C$14+MAX(0,$E19-Master_Tracker!$M$13)/Cost_Financials!$C$21)</f>
        <v>541207986.218245</v>
      </c>
      <c r="G19" s="87" t="n">
        <f aca="false">IF(Master_Tracker!$C$13=0,0,$D19/Master_Tracker!$C$13)</f>
        <v>0.624936830067263</v>
      </c>
      <c r="H19" s="87" t="n">
        <f aca="false">IF(Master_Tracker!$C$13=0,0,$E19/Master_Tracker!$C$13)</f>
        <v>0.599031899413961</v>
      </c>
      <c r="I19" s="87" t="n">
        <f aca="false">IF(Master_Tracker!$C$13=0,0,$F19/Master_Tracker!$C$13)</f>
        <v>0.623535688418428</v>
      </c>
      <c r="J19" s="87" t="n">
        <f aca="false">$H19-$G19</f>
        <v>-0.0259049306533025</v>
      </c>
      <c r="K19" s="152" t="n">
        <f aca="false">IF($D19&lt;=0,1,$E19/$D19)</f>
        <v>0.95854792131468</v>
      </c>
      <c r="L19" s="94" t="n">
        <f aca="false">IF(AND($A19&lt;=Dashboard!$H$7,$D19&gt;0),1,0)</f>
        <v>0</v>
      </c>
      <c r="M19" s="46" t="str">
        <f aca="false">IF($L19=1,"Actual","Forecast")</f>
        <v>Forecast</v>
      </c>
      <c r="N19" s="152" t="n">
        <f aca="false">IF($F19&lt;=0,1,$E19/$F19)</f>
        <v>0.960701866052575</v>
      </c>
      <c r="O19" s="31" t="n">
        <f aca="false">SUMPRODUCT(Monthly_Trend!$C$9:$C$200,(Monthly_Trend!$D$9:$D$200=$A19)*1,Monthly_Trend!$H$9:$H$200)</f>
        <v>76680283</v>
      </c>
      <c r="P19" s="31" t="n">
        <f aca="false">SUMPRODUCT(Monthly_Trend!$C$9:$C$200,(Monthly_Trend!$D$9:$D$200=$A19)*1,Monthly_Trend!$I$9:$I$200)</f>
        <v>0</v>
      </c>
      <c r="Q19" s="31" t="n">
        <f aca="false">SUMPRODUCT(Monthly_Trend!$C$9:$C$200,(Monthly_Trend!$D$9:$D$200=$A19)*1,Monthly_Trend!$J$9:$J$200)</f>
        <v>0</v>
      </c>
      <c r="R19" s="31" t="n">
        <f aca="false">SUMPRODUCT(Monthly_Trend!$C$9:$C$200,(Monthly_Trend!$D$9:$D$200&lt;=$A19)*1,Monthly_Trend!$K$9:$K$200)</f>
        <v>101734277</v>
      </c>
      <c r="S19" s="31" t="n">
        <f aca="false">SUMPRODUCT(Monthly_Trend!$C$9:$C$200,(Monthly_Trend!$D$9:$D$200&lt;=$A19)*1,Monthly_Trend!$M$9:$M$200)</f>
        <v>396484</v>
      </c>
      <c r="T19" s="31" t="n">
        <f aca="false">Master_Tracker!$C$13-$E19</f>
        <v>348026812.717576</v>
      </c>
      <c r="U19" s="31" t="n">
        <f aca="false">24-$A19</f>
        <v>13</v>
      </c>
      <c r="V19" s="31" t="n">
        <f aca="false">IF($U19&lt;=0,0,$T19/$U19)</f>
        <v>26771293.2859674</v>
      </c>
    </row>
    <row r="20" customFormat="false" ht="15" hidden="false" customHeight="true" outlineLevel="0" collapsed="false">
      <c r="A20" s="200" t="n">
        <v>12</v>
      </c>
      <c r="B20" s="51" t="s">
        <v>1328</v>
      </c>
      <c r="C20" s="98" t="n">
        <v>46477</v>
      </c>
      <c r="D20" s="49" t="n">
        <f aca="false">SUMPRODUCT(Monthly_Trend!$C$9:$C$200,(Monthly_Trend!$D$9:$D$200&lt;=$A20)*1,Monthly_Trend!$H$9:$H$200)</f>
        <v>614236046</v>
      </c>
      <c r="E20" s="49" t="n">
        <f aca="false">IF($L20=1,SUMPRODUCT(Monthly_Trend!$C$9:$C$200,(Monthly_Trend!$D$9:$D$200&lt;=$A20)*1,Monthly_Trend!$I$9:$I$200),MIN(Master_Tracker!$C$13,Master_Tracker!$M$13+($D20-Master_Tracker!$H$13)*Cost_Financials!$J$21))</f>
        <v>588878961.642424</v>
      </c>
      <c r="F20" s="49" t="n">
        <f aca="false">IF($L20=1,SUMPRODUCT(Monthly_Trend!$C$9:$C$200,(Monthly_Trend!$D$9:$D$200&lt;=$A20)*1,Monthly_Trend!$J$9:$J$200),Master_Tracker!$C$14+MAX(0,$E20-Master_Tracker!$M$13)/Cost_Financials!$C$21)</f>
        <v>613395880.836046</v>
      </c>
      <c r="G20" s="100" t="n">
        <f aca="false">IF(Master_Tracker!$C$13=0,0,$D20/Master_Tracker!$C$13)</f>
        <v>0.707672661060063</v>
      </c>
      <c r="H20" s="100" t="n">
        <f aca="false">IF(Master_Tracker!$C$13=0,0,$E20/Master_Tracker!$C$13)</f>
        <v>0.678458297167049</v>
      </c>
      <c r="I20" s="100" t="n">
        <f aca="false">IF(Master_Tracker!$C$13=0,0,$F20/Master_Tracker!$C$13)</f>
        <v>0.706704691301243</v>
      </c>
      <c r="J20" s="100" t="n">
        <f aca="false">$H20-$G20</f>
        <v>-0.0292143638930144</v>
      </c>
      <c r="K20" s="157" t="n">
        <f aca="false">IF($D20&lt;=0,1,$E20/$D20)</f>
        <v>0.958717687568639</v>
      </c>
      <c r="L20" s="155" t="n">
        <f aca="false">IF(AND($A20&lt;=Dashboard!$H$7,$D20&gt;0),1,0)</f>
        <v>0</v>
      </c>
      <c r="M20" s="52" t="str">
        <f aca="false">IF($L20=1,"Actual","Forecast")</f>
        <v>Forecast</v>
      </c>
      <c r="N20" s="157" t="n">
        <f aca="false">IF($F20&lt;=0,1,$E20/$F20)</f>
        <v>0.960030838224401</v>
      </c>
      <c r="O20" s="49" t="n">
        <f aca="false">SUMPRODUCT(Monthly_Trend!$C$9:$C$200,(Monthly_Trend!$D$9:$D$200=$A20)*1,Monthly_Trend!$H$9:$H$200)</f>
        <v>71811916</v>
      </c>
      <c r="P20" s="49" t="n">
        <f aca="false">SUMPRODUCT(Monthly_Trend!$C$9:$C$200,(Monthly_Trend!$D$9:$D$200=$A20)*1,Monthly_Trend!$I$9:$I$200)</f>
        <v>0</v>
      </c>
      <c r="Q20" s="49" t="n">
        <f aca="false">SUMPRODUCT(Monthly_Trend!$C$9:$C$200,(Monthly_Trend!$D$9:$D$200=$A20)*1,Monthly_Trend!$J$9:$J$200)</f>
        <v>0</v>
      </c>
      <c r="R20" s="49" t="n">
        <f aca="false">SUMPRODUCT(Monthly_Trend!$C$9:$C$200,(Monthly_Trend!$D$9:$D$200&lt;=$A20)*1,Monthly_Trend!$K$9:$K$200)</f>
        <v>101734277</v>
      </c>
      <c r="S20" s="49" t="n">
        <f aca="false">SUMPRODUCT(Monthly_Trend!$C$9:$C$200,(Monthly_Trend!$D$9:$D$200&lt;=$A20)*1,Monthly_Trend!$M$9:$M$200)</f>
        <v>396484</v>
      </c>
      <c r="T20" s="49" t="n">
        <f aca="false">Master_Tracker!$C$13-$E20</f>
        <v>279087373.357576</v>
      </c>
      <c r="U20" s="49" t="n">
        <f aca="false">24-$A20</f>
        <v>12</v>
      </c>
      <c r="V20" s="49" t="n">
        <f aca="false">IF($U20&lt;=0,0,$T20/$U20)</f>
        <v>23257281.1131313</v>
      </c>
    </row>
    <row r="21" customFormat="false" ht="15" hidden="false" customHeight="true" outlineLevel="0" collapsed="false">
      <c r="A21" s="199" t="n">
        <v>13</v>
      </c>
      <c r="B21" s="45" t="s">
        <v>1329</v>
      </c>
      <c r="C21" s="85" t="n">
        <v>46507</v>
      </c>
      <c r="D21" s="31" t="n">
        <f aca="false">SUMPRODUCT(Monthly_Trend!$C$9:$C$200,(Monthly_Trend!$D$9:$D$200&lt;=$A21)*1,Monthly_Trend!$H$9:$H$200)</f>
        <v>676477401</v>
      </c>
      <c r="E21" s="31" t="n">
        <f aca="false">IF($L21=1,SUMPRODUCT(Monthly_Trend!$C$9:$C$200,(Monthly_Trend!$D$9:$D$200&lt;=$A21)*1,Monthly_Trend!$I$9:$I$200),MIN(Master_Tracker!$C$13,Master_Tracker!$M$13+($D21-Master_Tracker!$H$13)*Cost_Financials!$J$21))</f>
        <v>648630662.442424</v>
      </c>
      <c r="F21" s="31" t="n">
        <f aca="false">IF($L21=1,SUMPRODUCT(Monthly_Trend!$C$9:$C$200,(Monthly_Trend!$D$9:$D$200&lt;=$A21)*1,Monthly_Trend!$J$9:$J$200),Master_Tracker!$C$14+MAX(0,$E21-Master_Tracker!$M$13)/Cost_Financials!$C$21)</f>
        <v>675963106.804633</v>
      </c>
      <c r="G21" s="87" t="n">
        <f aca="false">IF(Master_Tracker!$C$13=0,0,$D21/Master_Tracker!$C$13)</f>
        <v>0.779382072462522</v>
      </c>
      <c r="H21" s="87" t="n">
        <f aca="false">IF(Master_Tracker!$C$13=0,0,$E21/Master_Tracker!$C$13)</f>
        <v>0.74729933211341</v>
      </c>
      <c r="I21" s="87" t="n">
        <f aca="false">IF(Master_Tracker!$C$13=0,0,$F21/Master_Tracker!$C$13)</f>
        <v>0.778789544648218</v>
      </c>
      <c r="J21" s="87" t="n">
        <f aca="false">$H21-$G21</f>
        <v>-0.0320827403491127</v>
      </c>
      <c r="K21" s="152" t="n">
        <f aca="false">IF($D21&lt;=0,1,$E21/$D21)</f>
        <v>0.958835670613074</v>
      </c>
      <c r="L21" s="94" t="n">
        <f aca="false">IF(AND($A21&lt;=Dashboard!$H$7,$D21&gt;0),1,0)</f>
        <v>0</v>
      </c>
      <c r="M21" s="46" t="str">
        <f aca="false">IF($L21=1,"Actual","Forecast")</f>
        <v>Forecast</v>
      </c>
      <c r="N21" s="152" t="n">
        <f aca="false">IF($F21&lt;=0,1,$E21/$F21)</f>
        <v>0.959565183236978</v>
      </c>
      <c r="O21" s="31" t="n">
        <f aca="false">SUMPRODUCT(Monthly_Trend!$C$9:$C$200,(Monthly_Trend!$D$9:$D$200=$A21)*1,Monthly_Trend!$H$9:$H$200)</f>
        <v>62241355</v>
      </c>
      <c r="P21" s="31" t="n">
        <f aca="false">SUMPRODUCT(Monthly_Trend!$C$9:$C$200,(Monthly_Trend!$D$9:$D$200=$A21)*1,Monthly_Trend!$I$9:$I$200)</f>
        <v>0</v>
      </c>
      <c r="Q21" s="31" t="n">
        <f aca="false">SUMPRODUCT(Monthly_Trend!$C$9:$C$200,(Monthly_Trend!$D$9:$D$200=$A21)*1,Monthly_Trend!$J$9:$J$200)</f>
        <v>0</v>
      </c>
      <c r="R21" s="31" t="n">
        <f aca="false">SUMPRODUCT(Monthly_Trend!$C$9:$C$200,(Monthly_Trend!$D$9:$D$200&lt;=$A21)*1,Monthly_Trend!$K$9:$K$200)</f>
        <v>101734277</v>
      </c>
      <c r="S21" s="31" t="n">
        <f aca="false">SUMPRODUCT(Monthly_Trend!$C$9:$C$200,(Monthly_Trend!$D$9:$D$200&lt;=$A21)*1,Monthly_Trend!$M$9:$M$200)</f>
        <v>396484</v>
      </c>
      <c r="T21" s="31" t="n">
        <f aca="false">Master_Tracker!$C$13-$E21</f>
        <v>219335672.557576</v>
      </c>
      <c r="U21" s="31" t="n">
        <f aca="false">24-$A21</f>
        <v>11</v>
      </c>
      <c r="V21" s="31" t="n">
        <f aca="false">IF($U21&lt;=0,0,$T21/$U21)</f>
        <v>19939606.5961433</v>
      </c>
    </row>
    <row r="22" customFormat="false" ht="15" hidden="false" customHeight="true" outlineLevel="0" collapsed="false">
      <c r="A22" s="200" t="n">
        <v>14</v>
      </c>
      <c r="B22" s="51" t="s">
        <v>1330</v>
      </c>
      <c r="C22" s="98" t="n">
        <v>46538</v>
      </c>
      <c r="D22" s="49" t="n">
        <f aca="false">SUMPRODUCT(Monthly_Trend!$C$9:$C$200,(Monthly_Trend!$D$9:$D$200&lt;=$A22)*1,Monthly_Trend!$H$9:$H$200)</f>
        <v>730052924</v>
      </c>
      <c r="E22" s="49" t="n">
        <f aca="false">IF($L22=1,SUMPRODUCT(Monthly_Trend!$C$9:$C$200,(Monthly_Trend!$D$9:$D$200&lt;=$A22)*1,Monthly_Trend!$I$9:$I$200),MIN(Master_Tracker!$C$13,Master_Tracker!$M$13+($D22-Master_Tracker!$H$13)*Cost_Financials!$J$21))</f>
        <v>700063164.522424</v>
      </c>
      <c r="F22" s="49" t="n">
        <f aca="false">IF($L22=1,SUMPRODUCT(Monthly_Trend!$C$9:$C$200,(Monthly_Trend!$D$9:$D$200&lt;=$A22)*1,Monthly_Trend!$J$9:$J$200),Master_Tracker!$C$14+MAX(0,$E22-Master_Tracker!$M$13)/Cost_Financials!$C$21)</f>
        <v>729819129.925051</v>
      </c>
      <c r="G22" s="100" t="n">
        <f aca="false">IF(Master_Tracker!$C$13=0,0,$D22/Master_Tracker!$C$13)</f>
        <v>0.841107419218051</v>
      </c>
      <c r="H22" s="100" t="n">
        <f aca="false">IF(Master_Tracker!$C$13=0,0,$E22/Master_Tracker!$C$13)</f>
        <v>0.806555664998717</v>
      </c>
      <c r="I22" s="100" t="n">
        <f aca="false">IF(Master_Tracker!$C$13=0,0,$F22/Master_Tracker!$C$13)</f>
        <v>0.840838060758487</v>
      </c>
      <c r="J22" s="100" t="n">
        <f aca="false">$H22-$G22</f>
        <v>-0.0345517542193339</v>
      </c>
      <c r="K22" s="157" t="n">
        <f aca="false">IF($D22&lt;=0,1,$E22/$D22)</f>
        <v>0.958921115864778</v>
      </c>
      <c r="L22" s="155" t="n">
        <f aca="false">IF(AND($A22&lt;=Dashboard!$H$7,$D22&gt;0),1,0)</f>
        <v>0</v>
      </c>
      <c r="M22" s="52" t="str">
        <f aca="false">IF($L22=1,"Actual","Forecast")</f>
        <v>Forecast</v>
      </c>
      <c r="N22" s="157" t="n">
        <f aca="false">IF($F22&lt;=0,1,$E22/$F22)</f>
        <v>0.959228301667451</v>
      </c>
      <c r="O22" s="49" t="n">
        <f aca="false">SUMPRODUCT(Monthly_Trend!$C$9:$C$200,(Monthly_Trend!$D$9:$D$200=$A22)*1,Monthly_Trend!$H$9:$H$200)</f>
        <v>53575523</v>
      </c>
      <c r="P22" s="49" t="n">
        <f aca="false">SUMPRODUCT(Monthly_Trend!$C$9:$C$200,(Monthly_Trend!$D$9:$D$200=$A22)*1,Monthly_Trend!$I$9:$I$200)</f>
        <v>0</v>
      </c>
      <c r="Q22" s="49" t="n">
        <f aca="false">SUMPRODUCT(Monthly_Trend!$C$9:$C$200,(Monthly_Trend!$D$9:$D$200=$A22)*1,Monthly_Trend!$J$9:$J$200)</f>
        <v>0</v>
      </c>
      <c r="R22" s="49" t="n">
        <f aca="false">SUMPRODUCT(Monthly_Trend!$C$9:$C$200,(Monthly_Trend!$D$9:$D$200&lt;=$A22)*1,Monthly_Trend!$K$9:$K$200)</f>
        <v>101734277</v>
      </c>
      <c r="S22" s="49" t="n">
        <f aca="false">SUMPRODUCT(Monthly_Trend!$C$9:$C$200,(Monthly_Trend!$D$9:$D$200&lt;=$A22)*1,Monthly_Trend!$M$9:$M$200)</f>
        <v>396484</v>
      </c>
      <c r="T22" s="49" t="n">
        <f aca="false">Master_Tracker!$C$13-$E22</f>
        <v>167903170.477576</v>
      </c>
      <c r="U22" s="49" t="n">
        <f aca="false">24-$A22</f>
        <v>10</v>
      </c>
      <c r="V22" s="49" t="n">
        <f aca="false">IF($U22&lt;=0,0,$T22/$U22)</f>
        <v>16790317.0477576</v>
      </c>
    </row>
    <row r="23" customFormat="false" ht="15" hidden="false" customHeight="true" outlineLevel="0" collapsed="false">
      <c r="A23" s="199" t="n">
        <v>15</v>
      </c>
      <c r="B23" s="45" t="s">
        <v>1331</v>
      </c>
      <c r="C23" s="85" t="n">
        <v>46568</v>
      </c>
      <c r="D23" s="31" t="n">
        <f aca="false">SUMPRODUCT(Monthly_Trend!$C$9:$C$200,(Monthly_Trend!$D$9:$D$200&lt;=$A23)*1,Monthly_Trend!$H$9:$H$200)</f>
        <v>771549045</v>
      </c>
      <c r="E23" s="31" t="n">
        <f aca="false">IF($L23=1,SUMPRODUCT(Monthly_Trend!$C$9:$C$200,(Monthly_Trend!$D$9:$D$200&lt;=$A23)*1,Monthly_Trend!$I$9:$I$200),MIN(Master_Tracker!$C$13,Master_Tracker!$M$13+($D23-Master_Tracker!$H$13)*Cost_Financials!$J$21))</f>
        <v>739899440.682424</v>
      </c>
      <c r="F23" s="31" t="n">
        <f aca="false">IF($L23=1,SUMPRODUCT(Monthly_Trend!$C$9:$C$200,(Monthly_Trend!$D$9:$D$200&lt;=$A23)*1,Monthly_Trend!$J$9:$J$200),Master_Tracker!$C$14+MAX(0,$E23-Master_Tracker!$M$13)/Cost_Financials!$C$21)</f>
        <v>771532508.103062</v>
      </c>
      <c r="G23" s="87" t="n">
        <f aca="false">IF(Master_Tracker!$C$13=0,0,$D23/Master_Tracker!$C$13)</f>
        <v>0.888915864461494</v>
      </c>
      <c r="H23" s="87" t="n">
        <f aca="false">IF(Master_Tracker!$C$13=0,0,$E23/Master_Tracker!$C$13)</f>
        <v>0.852451772432423</v>
      </c>
      <c r="I23" s="87" t="n">
        <f aca="false">IF(Master_Tracker!$C$13=0,0,$F23/Master_Tracker!$C$13)</f>
        <v>0.88889681199797</v>
      </c>
      <c r="J23" s="87" t="n">
        <f aca="false">$H23-$G23</f>
        <v>-0.0364640920290715</v>
      </c>
      <c r="K23" s="152" t="n">
        <f aca="false">IF($D23&lt;=0,1,$E23/$D23)</f>
        <v>0.958979141348589</v>
      </c>
      <c r="L23" s="94" t="n">
        <f aca="false">IF(AND($A23&lt;=Dashboard!$H$7,$D23&gt;0),1,0)</f>
        <v>0</v>
      </c>
      <c r="M23" s="46" t="str">
        <f aca="false">IF($L23=1,"Actual","Forecast")</f>
        <v>Forecast</v>
      </c>
      <c r="N23" s="152" t="n">
        <f aca="false">IF($F23&lt;=0,1,$E23/$F23)</f>
        <v>0.958999695944876</v>
      </c>
      <c r="O23" s="31" t="n">
        <f aca="false">SUMPRODUCT(Monthly_Trend!$C$9:$C$200,(Monthly_Trend!$D$9:$D$200=$A23)*1,Monthly_Trend!$H$9:$H$200)</f>
        <v>41496121</v>
      </c>
      <c r="P23" s="31" t="n">
        <f aca="false">SUMPRODUCT(Monthly_Trend!$C$9:$C$200,(Monthly_Trend!$D$9:$D$200=$A23)*1,Monthly_Trend!$I$9:$I$200)</f>
        <v>0</v>
      </c>
      <c r="Q23" s="31" t="n">
        <f aca="false">SUMPRODUCT(Monthly_Trend!$C$9:$C$200,(Monthly_Trend!$D$9:$D$200=$A23)*1,Monthly_Trend!$J$9:$J$200)</f>
        <v>0</v>
      </c>
      <c r="R23" s="31" t="n">
        <f aca="false">SUMPRODUCT(Monthly_Trend!$C$9:$C$200,(Monthly_Trend!$D$9:$D$200&lt;=$A23)*1,Monthly_Trend!$K$9:$K$200)</f>
        <v>101734277</v>
      </c>
      <c r="S23" s="31" t="n">
        <f aca="false">SUMPRODUCT(Monthly_Trend!$C$9:$C$200,(Monthly_Trend!$D$9:$D$200&lt;=$A23)*1,Monthly_Trend!$M$9:$M$200)</f>
        <v>396484</v>
      </c>
      <c r="T23" s="31" t="n">
        <f aca="false">Master_Tracker!$C$13-$E23</f>
        <v>128066894.317576</v>
      </c>
      <c r="U23" s="31" t="n">
        <f aca="false">24-$A23</f>
        <v>9</v>
      </c>
      <c r="V23" s="31" t="n">
        <f aca="false">IF($U23&lt;=0,0,$T23/$U23)</f>
        <v>14229654.9241751</v>
      </c>
    </row>
    <row r="24" customFormat="false" ht="15" hidden="false" customHeight="true" outlineLevel="0" collapsed="false">
      <c r="A24" s="200" t="n">
        <v>16</v>
      </c>
      <c r="B24" s="51" t="s">
        <v>1332</v>
      </c>
      <c r="C24" s="98" t="n">
        <v>46599</v>
      </c>
      <c r="D24" s="49" t="n">
        <f aca="false">SUMPRODUCT(Monthly_Trend!$C$9:$C$200,(Monthly_Trend!$D$9:$D$200&lt;=$A24)*1,Monthly_Trend!$H$9:$H$200)</f>
        <v>804705315</v>
      </c>
      <c r="E24" s="49" t="n">
        <f aca="false">IF($L24=1,SUMPRODUCT(Monthly_Trend!$C$9:$C$200,(Monthly_Trend!$D$9:$D$200&lt;=$A24)*1,Monthly_Trend!$I$9:$I$200),MIN(Master_Tracker!$C$13,Master_Tracker!$M$13+($D24-Master_Tracker!$H$13)*Cost_Financials!$J$21))</f>
        <v>771729459.882424</v>
      </c>
      <c r="F24" s="49" t="n">
        <f aca="false">IF($L24=1,SUMPRODUCT(Monthly_Trend!$C$9:$C$200,(Monthly_Trend!$D$9:$D$200&lt;=$A24)*1,Monthly_Trend!$J$9:$J$200),Master_Tracker!$C$14+MAX(0,$E24-Master_Tracker!$M$13)/Cost_Financials!$C$21)</f>
        <v>804862371.139711</v>
      </c>
      <c r="G24" s="100" t="n">
        <f aca="false">IF(Master_Tracker!$C$13=0,0,$D24/Master_Tracker!$C$13)</f>
        <v>0.92711581377174</v>
      </c>
      <c r="H24" s="100" t="n">
        <f aca="false">IF(Master_Tracker!$C$13=0,0,$E24/Master_Tracker!$C$13)</f>
        <v>0.889123723770259</v>
      </c>
      <c r="I24" s="100" t="n">
        <f aca="false">IF(Master_Tracker!$C$13=0,0,$F24/Master_Tracker!$C$13)</f>
        <v>0.927296761042824</v>
      </c>
      <c r="J24" s="100" t="n">
        <f aca="false">$H24-$G24</f>
        <v>-0.0379920900014816</v>
      </c>
      <c r="K24" s="157" t="n">
        <f aca="false">IF($D24&lt;=0,1,$E24/$D24)</f>
        <v>0.959021203783678</v>
      </c>
      <c r="L24" s="155" t="n">
        <f aca="false">IF(AND($A24&lt;=Dashboard!$H$7,$D24&gt;0),1,0)</f>
        <v>0</v>
      </c>
      <c r="M24" s="52" t="str">
        <f aca="false">IF($L24=1,"Actual","Forecast")</f>
        <v>Forecast</v>
      </c>
      <c r="N24" s="157" t="n">
        <f aca="false">IF($F24&lt;=0,1,$E24/$F24)</f>
        <v>0.958834065990227</v>
      </c>
      <c r="O24" s="49" t="n">
        <f aca="false">SUMPRODUCT(Monthly_Trend!$C$9:$C$200,(Monthly_Trend!$D$9:$D$200=$A24)*1,Monthly_Trend!$H$9:$H$200)</f>
        <v>33156270</v>
      </c>
      <c r="P24" s="49" t="n">
        <f aca="false">SUMPRODUCT(Monthly_Trend!$C$9:$C$200,(Monthly_Trend!$D$9:$D$200=$A24)*1,Monthly_Trend!$I$9:$I$200)</f>
        <v>0</v>
      </c>
      <c r="Q24" s="49" t="n">
        <f aca="false">SUMPRODUCT(Monthly_Trend!$C$9:$C$200,(Monthly_Trend!$D$9:$D$200=$A24)*1,Monthly_Trend!$J$9:$J$200)</f>
        <v>0</v>
      </c>
      <c r="R24" s="49" t="n">
        <f aca="false">SUMPRODUCT(Monthly_Trend!$C$9:$C$200,(Monthly_Trend!$D$9:$D$200&lt;=$A24)*1,Monthly_Trend!$K$9:$K$200)</f>
        <v>101734277</v>
      </c>
      <c r="S24" s="49" t="n">
        <f aca="false">SUMPRODUCT(Monthly_Trend!$C$9:$C$200,(Monthly_Trend!$D$9:$D$200&lt;=$A24)*1,Monthly_Trend!$M$9:$M$200)</f>
        <v>396484</v>
      </c>
      <c r="T24" s="49" t="n">
        <f aca="false">Master_Tracker!$C$13-$E24</f>
        <v>96236875.1175761</v>
      </c>
      <c r="U24" s="49" t="n">
        <f aca="false">24-$A24</f>
        <v>8</v>
      </c>
      <c r="V24" s="49" t="n">
        <f aca="false">IF($U24&lt;=0,0,$T24/$U24)</f>
        <v>12029609.389697</v>
      </c>
    </row>
    <row r="25" customFormat="false" ht="15" hidden="false" customHeight="true" outlineLevel="0" collapsed="false">
      <c r="A25" s="199" t="n">
        <v>17</v>
      </c>
      <c r="B25" s="45" t="s">
        <v>1333</v>
      </c>
      <c r="C25" s="85" t="n">
        <v>46630</v>
      </c>
      <c r="D25" s="31" t="n">
        <f aca="false">SUMPRODUCT(Monthly_Trend!$C$9:$C$200,(Monthly_Trend!$D$9:$D$200&lt;=$A25)*1,Monthly_Trend!$H$9:$H$200)</f>
        <v>836349513</v>
      </c>
      <c r="E25" s="31" t="n">
        <f aca="false">IF($L25=1,SUMPRODUCT(Monthly_Trend!$C$9:$C$200,(Monthly_Trend!$D$9:$D$200&lt;=$A25)*1,Monthly_Trend!$I$9:$I$200),MIN(Master_Tracker!$C$13,Master_Tracker!$M$13+($D25-Master_Tracker!$H$13)*Cost_Financials!$J$21))</f>
        <v>802107889.962424</v>
      </c>
      <c r="F25" s="31" t="n">
        <f aca="false">IF($L25=1,SUMPRODUCT(Monthly_Trend!$C$9:$C$200,(Monthly_Trend!$D$9:$D$200&lt;=$A25)*1,Monthly_Trend!$J$9:$J$200),Master_Tracker!$C$14+MAX(0,$E25-Master_Tracker!$M$13)/Cost_Financials!$C$21)</f>
        <v>836672245.56903</v>
      </c>
      <c r="G25" s="87" t="n">
        <f aca="false">IF(Master_Tracker!$C$13=0,0,$D25/Master_Tracker!$C$13)</f>
        <v>0.963573677082764</v>
      </c>
      <c r="H25" s="87" t="n">
        <f aca="false">IF(Master_Tracker!$C$13=0,0,$E25/Master_Tracker!$C$13)</f>
        <v>0.924123272548842</v>
      </c>
      <c r="I25" s="87" t="n">
        <f aca="false">IF(Master_Tracker!$C$13=0,0,$F25/Master_Tracker!$C$13)</f>
        <v>0.963945503219351</v>
      </c>
      <c r="J25" s="87" t="n">
        <f aca="false">$H25-$G25</f>
        <v>-0.0394504045339223</v>
      </c>
      <c r="K25" s="152" t="n">
        <f aca="false">IF($D25&lt;=0,1,$E25/$D25)</f>
        <v>0.959058237608401</v>
      </c>
      <c r="L25" s="94" t="n">
        <f aca="false">IF(AND($A25&lt;=Dashboard!$H$7,$D25&gt;0),1,0)</f>
        <v>0</v>
      </c>
      <c r="M25" s="46" t="str">
        <f aca="false">IF($L25=1,"Actual","Forecast")</f>
        <v>Forecast</v>
      </c>
      <c r="N25" s="152" t="n">
        <f aca="false">IF($F25&lt;=0,1,$E25/$F25)</f>
        <v>0.958688296654207</v>
      </c>
      <c r="O25" s="31" t="n">
        <f aca="false">SUMPRODUCT(Monthly_Trend!$C$9:$C$200,(Monthly_Trend!$D$9:$D$200=$A25)*1,Monthly_Trend!$H$9:$H$200)</f>
        <v>31644198</v>
      </c>
      <c r="P25" s="31" t="n">
        <f aca="false">SUMPRODUCT(Monthly_Trend!$C$9:$C$200,(Monthly_Trend!$D$9:$D$200=$A25)*1,Monthly_Trend!$I$9:$I$200)</f>
        <v>0</v>
      </c>
      <c r="Q25" s="31" t="n">
        <f aca="false">SUMPRODUCT(Monthly_Trend!$C$9:$C$200,(Monthly_Trend!$D$9:$D$200=$A25)*1,Monthly_Trend!$J$9:$J$200)</f>
        <v>0</v>
      </c>
      <c r="R25" s="31" t="n">
        <f aca="false">SUMPRODUCT(Monthly_Trend!$C$9:$C$200,(Monthly_Trend!$D$9:$D$200&lt;=$A25)*1,Monthly_Trend!$K$9:$K$200)</f>
        <v>101734277</v>
      </c>
      <c r="S25" s="31" t="n">
        <f aca="false">SUMPRODUCT(Monthly_Trend!$C$9:$C$200,(Monthly_Trend!$D$9:$D$200&lt;=$A25)*1,Monthly_Trend!$M$9:$M$200)</f>
        <v>396484</v>
      </c>
      <c r="T25" s="31" t="n">
        <f aca="false">Master_Tracker!$C$13-$E25</f>
        <v>65858445.037576</v>
      </c>
      <c r="U25" s="31" t="n">
        <f aca="false">24-$A25</f>
        <v>7</v>
      </c>
      <c r="V25" s="31" t="n">
        <f aca="false">IF($U25&lt;=0,0,$T25/$U25)</f>
        <v>9408349.29108228</v>
      </c>
    </row>
    <row r="26" customFormat="false" ht="15" hidden="false" customHeight="true" outlineLevel="0" collapsed="false">
      <c r="A26" s="200" t="n">
        <v>18</v>
      </c>
      <c r="B26" s="51" t="s">
        <v>1334</v>
      </c>
      <c r="C26" s="98" t="n">
        <v>46660</v>
      </c>
      <c r="D26" s="49" t="n">
        <f aca="false">SUMPRODUCT(Monthly_Trend!$C$9:$C$200,(Monthly_Trend!$D$9:$D$200&lt;=$A26)*1,Monthly_Trend!$H$9:$H$200)</f>
        <v>855103682</v>
      </c>
      <c r="E26" s="49" t="n">
        <f aca="false">IF($L26=1,SUMPRODUCT(Monthly_Trend!$C$9:$C$200,(Monthly_Trend!$D$9:$D$200&lt;=$A26)*1,Monthly_Trend!$I$9:$I$200),MIN(Master_Tracker!$C$13,Master_Tracker!$M$13+($D26-Master_Tracker!$H$13)*Cost_Financials!$J$21))</f>
        <v>820111892.202424</v>
      </c>
      <c r="F26" s="49" t="n">
        <f aca="false">IF($L26=1,SUMPRODUCT(Monthly_Trend!$C$9:$C$200,(Monthly_Trend!$D$9:$D$200&lt;=$A26)*1,Monthly_Trend!$J$9:$J$200),Master_Tracker!$C$14+MAX(0,$E26-Master_Tracker!$M$13)/Cost_Financials!$C$21)</f>
        <v>855524603.935523</v>
      </c>
      <c r="G26" s="100" t="n">
        <f aca="false">IF(Master_Tracker!$C$13=0,0,$D26/Master_Tracker!$C$13)</f>
        <v>0.985180700585582</v>
      </c>
      <c r="H26" s="100" t="n">
        <f aca="false">IF(Master_Tracker!$C$13=0,0,$E26/Master_Tracker!$C$13)</f>
        <v>0.944866015111547</v>
      </c>
      <c r="I26" s="100" t="n">
        <f aca="false">IF(Master_Tracker!$C$13=0,0,$F26/Master_Tracker!$C$13)</f>
        <v>0.98566565249967</v>
      </c>
      <c r="J26" s="100" t="n">
        <f aca="false">$H26-$G26</f>
        <v>-0.0403146854740351</v>
      </c>
      <c r="K26" s="157" t="n">
        <f aca="false">IF($D26&lt;=0,1,$E26/$D26)</f>
        <v>0.959078892379771</v>
      </c>
      <c r="L26" s="155" t="n">
        <f aca="false">IF(AND($A26&lt;=Dashboard!$H$7,$D26&gt;0),1,0)</f>
        <v>0</v>
      </c>
      <c r="M26" s="52" t="str">
        <f aca="false">IF($L26=1,"Actual","Forecast")</f>
        <v>Forecast</v>
      </c>
      <c r="N26" s="157" t="n">
        <f aca="false">IF($F26&lt;=0,1,$E26/$F26)</f>
        <v>0.958607021270697</v>
      </c>
      <c r="O26" s="49" t="n">
        <f aca="false">SUMPRODUCT(Monthly_Trend!$C$9:$C$200,(Monthly_Trend!$D$9:$D$200=$A26)*1,Monthly_Trend!$H$9:$H$200)</f>
        <v>18754169</v>
      </c>
      <c r="P26" s="49" t="n">
        <f aca="false">SUMPRODUCT(Monthly_Trend!$C$9:$C$200,(Monthly_Trend!$D$9:$D$200=$A26)*1,Monthly_Trend!$I$9:$I$200)</f>
        <v>0</v>
      </c>
      <c r="Q26" s="49" t="n">
        <f aca="false">SUMPRODUCT(Monthly_Trend!$C$9:$C$200,(Monthly_Trend!$D$9:$D$200=$A26)*1,Monthly_Trend!$J$9:$J$200)</f>
        <v>0</v>
      </c>
      <c r="R26" s="49" t="n">
        <f aca="false">SUMPRODUCT(Monthly_Trend!$C$9:$C$200,(Monthly_Trend!$D$9:$D$200&lt;=$A26)*1,Monthly_Trend!$K$9:$K$200)</f>
        <v>101734277</v>
      </c>
      <c r="S26" s="49" t="n">
        <f aca="false">SUMPRODUCT(Monthly_Trend!$C$9:$C$200,(Monthly_Trend!$D$9:$D$200&lt;=$A26)*1,Monthly_Trend!$M$9:$M$200)</f>
        <v>396484</v>
      </c>
      <c r="T26" s="49" t="n">
        <f aca="false">Master_Tracker!$C$13-$E26</f>
        <v>47854442.797576</v>
      </c>
      <c r="U26" s="49" t="n">
        <f aca="false">24-$A26</f>
        <v>6</v>
      </c>
      <c r="V26" s="49" t="n">
        <f aca="false">IF($U26&lt;=0,0,$T26/$U26)</f>
        <v>7975740.46626266</v>
      </c>
    </row>
    <row r="27" customFormat="false" ht="15" hidden="false" customHeight="true" outlineLevel="0" collapsed="false">
      <c r="A27" s="199" t="n">
        <v>19</v>
      </c>
      <c r="B27" s="45" t="s">
        <v>1335</v>
      </c>
      <c r="C27" s="85" t="n">
        <v>46691</v>
      </c>
      <c r="D27" s="31" t="n">
        <f aca="false">SUMPRODUCT(Monthly_Trend!$C$9:$C$200,(Monthly_Trend!$D$9:$D$200&lt;=$A27)*1,Monthly_Trend!$H$9:$H$200)</f>
        <v>863355567</v>
      </c>
      <c r="E27" s="31" t="n">
        <f aca="false">IF($L27=1,SUMPRODUCT(Monthly_Trend!$C$9:$C$200,(Monthly_Trend!$D$9:$D$200&lt;=$A27)*1,Monthly_Trend!$I$9:$I$200),MIN(Master_Tracker!$C$13,Master_Tracker!$M$13+($D27-Master_Tracker!$H$13)*Cost_Financials!$J$21))</f>
        <v>828033701.802424</v>
      </c>
      <c r="F27" s="31" t="n">
        <f aca="false">IF($L27=1,SUMPRODUCT(Monthly_Trend!$C$9:$C$200,(Monthly_Trend!$D$9:$D$200&lt;=$A27)*1,Monthly_Trend!$J$9:$J$200),Master_Tracker!$C$14+MAX(0,$E27-Master_Tracker!$M$13)/Cost_Financials!$C$21)</f>
        <v>863819692.52191</v>
      </c>
      <c r="G27" s="87" t="n">
        <f aca="false">IF(Master_Tracker!$C$13=0,0,$D27/Master_Tracker!$C$13)</f>
        <v>0.994687849270099</v>
      </c>
      <c r="H27" s="87" t="n">
        <f aca="false">IF(Master_Tracker!$C$13=0,0,$E27/Master_Tracker!$C$13)</f>
        <v>0.953992877848683</v>
      </c>
      <c r="I27" s="87" t="n">
        <f aca="false">IF(Master_Tracker!$C$13=0,0,$F27/Master_Tracker!$C$13)</f>
        <v>0.99522257683175</v>
      </c>
      <c r="J27" s="87" t="n">
        <f aca="false">$H27-$G27</f>
        <v>-0.0406949714214158</v>
      </c>
      <c r="K27" s="152" t="n">
        <f aca="false">IF($D27&lt;=0,1,$E27/$D27)</f>
        <v>0.95908769625438</v>
      </c>
      <c r="L27" s="94" t="n">
        <f aca="false">IF(AND($A27&lt;=Dashboard!$H$7,$D27&gt;0),1,0)</f>
        <v>0</v>
      </c>
      <c r="M27" s="46" t="str">
        <f aca="false">IF($L27=1,"Actual","Forecast")</f>
        <v>Forecast</v>
      </c>
      <c r="N27" s="152" t="n">
        <f aca="false">IF($F27&lt;=0,1,$E27/$F27)</f>
        <v>0.958572383763319</v>
      </c>
      <c r="O27" s="31" t="n">
        <f aca="false">SUMPRODUCT(Monthly_Trend!$C$9:$C$200,(Monthly_Trend!$D$9:$D$200=$A27)*1,Monthly_Trend!$H$9:$H$200)</f>
        <v>8251885</v>
      </c>
      <c r="P27" s="31" t="n">
        <f aca="false">SUMPRODUCT(Monthly_Trend!$C$9:$C$200,(Monthly_Trend!$D$9:$D$200=$A27)*1,Monthly_Trend!$I$9:$I$200)</f>
        <v>0</v>
      </c>
      <c r="Q27" s="31" t="n">
        <f aca="false">SUMPRODUCT(Monthly_Trend!$C$9:$C$200,(Monthly_Trend!$D$9:$D$200=$A27)*1,Monthly_Trend!$J$9:$J$200)</f>
        <v>0</v>
      </c>
      <c r="R27" s="31" t="n">
        <f aca="false">SUMPRODUCT(Monthly_Trend!$C$9:$C$200,(Monthly_Trend!$D$9:$D$200&lt;=$A27)*1,Monthly_Trend!$K$9:$K$200)</f>
        <v>101734277</v>
      </c>
      <c r="S27" s="31" t="n">
        <f aca="false">SUMPRODUCT(Monthly_Trend!$C$9:$C$200,(Monthly_Trend!$D$9:$D$200&lt;=$A27)*1,Monthly_Trend!$M$9:$M$200)</f>
        <v>396484</v>
      </c>
      <c r="T27" s="31" t="n">
        <f aca="false">Master_Tracker!$C$13-$E27</f>
        <v>39932633.197576</v>
      </c>
      <c r="U27" s="31" t="n">
        <f aca="false">24-$A27</f>
        <v>5</v>
      </c>
      <c r="V27" s="31" t="n">
        <f aca="false">IF($U27&lt;=0,0,$T27/$U27)</f>
        <v>7986526.63951521</v>
      </c>
    </row>
    <row r="28" customFormat="false" ht="15" hidden="false" customHeight="true" outlineLevel="0" collapsed="false">
      <c r="A28" s="200" t="n">
        <v>20</v>
      </c>
      <c r="B28" s="51" t="s">
        <v>1336</v>
      </c>
      <c r="C28" s="98" t="n">
        <v>46721</v>
      </c>
      <c r="D28" s="49" t="n">
        <f aca="false">SUMPRODUCT(Monthly_Trend!$C$9:$C$200,(Monthly_Trend!$D$9:$D$200&lt;=$A28)*1,Monthly_Trend!$H$9:$H$200)</f>
        <v>867966335</v>
      </c>
      <c r="E28" s="49" t="n">
        <f aca="false">IF($L28=1,SUMPRODUCT(Monthly_Trend!$C$9:$C$200,(Monthly_Trend!$D$9:$D$200&lt;=$A28)*1,Monthly_Trend!$I$9:$I$200),MIN(Master_Tracker!$C$13,Master_Tracker!$M$13+($D28-Master_Tracker!$H$13)*Cost_Financials!$J$21))</f>
        <v>832460039.082424</v>
      </c>
      <c r="F28" s="49" t="n">
        <f aca="false">IF($L28=1,SUMPRODUCT(Monthly_Trend!$C$9:$C$200,(Monthly_Trend!$D$9:$D$200&lt;=$A28)*1,Monthly_Trend!$J$9:$J$200),Master_Tracker!$C$14+MAX(0,$E28-Master_Tracker!$M$13)/Cost_Financials!$C$21)</f>
        <v>868454600.668507</v>
      </c>
      <c r="G28" s="100" t="n">
        <f aca="false">IF(Master_Tracker!$C$13=0,0,$D28/Master_Tracker!$C$13)</f>
        <v>1</v>
      </c>
      <c r="H28" s="100" t="n">
        <f aca="false">IF(Master_Tracker!$C$13=0,0,$E28/Master_Tracker!$C$13)</f>
        <v>0.959092542549388</v>
      </c>
      <c r="I28" s="100" t="n">
        <f aca="false">IF(Master_Tracker!$C$13=0,0,$F28/Master_Tracker!$C$13)</f>
        <v>1.00056253986914</v>
      </c>
      <c r="J28" s="100" t="n">
        <f aca="false">$H28-$G28</f>
        <v>-0.040907457450612</v>
      </c>
      <c r="K28" s="157" t="n">
        <f aca="false">IF($D28&lt;=0,1,$E28/$D28)</f>
        <v>0.959092542549388</v>
      </c>
      <c r="L28" s="155" t="n">
        <f aca="false">IF(AND($A28&lt;=Dashboard!$H$7,$D28&gt;0),1,0)</f>
        <v>0</v>
      </c>
      <c r="M28" s="52" t="str">
        <f aca="false">IF($L28=1,"Actual","Forecast")</f>
        <v>Forecast</v>
      </c>
      <c r="N28" s="157" t="n">
        <f aca="false">IF($F28&lt;=0,1,$E28/$F28)</f>
        <v>0.958553318091268</v>
      </c>
      <c r="O28" s="49" t="n">
        <f aca="false">SUMPRODUCT(Monthly_Trend!$C$9:$C$200,(Monthly_Trend!$D$9:$D$200=$A28)*1,Monthly_Trend!$H$9:$H$200)</f>
        <v>4610768</v>
      </c>
      <c r="P28" s="49" t="n">
        <f aca="false">SUMPRODUCT(Monthly_Trend!$C$9:$C$200,(Monthly_Trend!$D$9:$D$200=$A28)*1,Monthly_Trend!$I$9:$I$200)</f>
        <v>0</v>
      </c>
      <c r="Q28" s="49" t="n">
        <f aca="false">SUMPRODUCT(Monthly_Trend!$C$9:$C$200,(Monthly_Trend!$D$9:$D$200=$A28)*1,Monthly_Trend!$J$9:$J$200)</f>
        <v>0</v>
      </c>
      <c r="R28" s="49" t="n">
        <f aca="false">SUMPRODUCT(Monthly_Trend!$C$9:$C$200,(Monthly_Trend!$D$9:$D$200&lt;=$A28)*1,Monthly_Trend!$K$9:$K$200)</f>
        <v>101734277</v>
      </c>
      <c r="S28" s="49" t="n">
        <f aca="false">SUMPRODUCT(Monthly_Trend!$C$9:$C$200,(Monthly_Trend!$D$9:$D$200&lt;=$A28)*1,Monthly_Trend!$M$9:$M$200)</f>
        <v>396484</v>
      </c>
      <c r="T28" s="49" t="n">
        <f aca="false">Master_Tracker!$C$13-$E28</f>
        <v>35506295.9175761</v>
      </c>
      <c r="U28" s="49" t="n">
        <f aca="false">24-$A28</f>
        <v>4</v>
      </c>
      <c r="V28" s="49" t="n">
        <f aca="false">IF($U28&lt;=0,0,$T28/$U28)</f>
        <v>8876573.97939402</v>
      </c>
    </row>
    <row r="29" customFormat="false" ht="15" hidden="false" customHeight="true" outlineLevel="0" collapsed="false">
      <c r="A29" s="199" t="n">
        <v>21</v>
      </c>
      <c r="B29" s="45" t="s">
        <v>1337</v>
      </c>
      <c r="C29" s="85" t="n">
        <v>46752</v>
      </c>
      <c r="D29" s="31" t="n">
        <f aca="false">SUMPRODUCT(Monthly_Trend!$C$9:$C$200,(Monthly_Trend!$D$9:$D$200&lt;=$A29)*1,Monthly_Trend!$H$9:$H$200)</f>
        <v>867966335</v>
      </c>
      <c r="E29" s="31" t="n">
        <f aca="false">IF($L29=1,SUMPRODUCT(Monthly_Trend!$C$9:$C$200,(Monthly_Trend!$D$9:$D$200&lt;=$A29)*1,Monthly_Trend!$I$9:$I$200),MIN(Master_Tracker!$C$13,Master_Tracker!$M$13+($D29-Master_Tracker!$H$13)*Cost_Financials!$J$21))</f>
        <v>832460039.082424</v>
      </c>
      <c r="F29" s="31" t="n">
        <f aca="false">IF($L29=1,SUMPRODUCT(Monthly_Trend!$C$9:$C$200,(Monthly_Trend!$D$9:$D$200&lt;=$A29)*1,Monthly_Trend!$J$9:$J$200),Master_Tracker!$C$14+MAX(0,$E29-Master_Tracker!$M$13)/Cost_Financials!$C$21)</f>
        <v>868454600.668507</v>
      </c>
      <c r="G29" s="87" t="n">
        <f aca="false">IF(Master_Tracker!$C$13=0,0,$D29/Master_Tracker!$C$13)</f>
        <v>1</v>
      </c>
      <c r="H29" s="87" t="n">
        <f aca="false">IF(Master_Tracker!$C$13=0,0,$E29/Master_Tracker!$C$13)</f>
        <v>0.959092542549388</v>
      </c>
      <c r="I29" s="87" t="n">
        <f aca="false">IF(Master_Tracker!$C$13=0,0,$F29/Master_Tracker!$C$13)</f>
        <v>1.00056253986914</v>
      </c>
      <c r="J29" s="87" t="n">
        <f aca="false">$H29-$G29</f>
        <v>-0.040907457450612</v>
      </c>
      <c r="K29" s="152" t="n">
        <f aca="false">IF($D29&lt;=0,1,$E29/$D29)</f>
        <v>0.959092542549388</v>
      </c>
      <c r="L29" s="94" t="n">
        <f aca="false">IF(AND($A29&lt;=Dashboard!$H$7,$D29&gt;0),1,0)</f>
        <v>0</v>
      </c>
      <c r="M29" s="46" t="str">
        <f aca="false">IF($L29=1,"Actual","Forecast")</f>
        <v>Forecast</v>
      </c>
      <c r="N29" s="152" t="n">
        <f aca="false">IF($F29&lt;=0,1,$E29/$F29)</f>
        <v>0.958553318091268</v>
      </c>
      <c r="O29" s="31" t="n">
        <f aca="false">SUMPRODUCT(Monthly_Trend!$C$9:$C$200,(Monthly_Trend!$D$9:$D$200=$A29)*1,Monthly_Trend!$H$9:$H$200)</f>
        <v>0</v>
      </c>
      <c r="P29" s="31" t="n">
        <f aca="false">SUMPRODUCT(Monthly_Trend!$C$9:$C$200,(Monthly_Trend!$D$9:$D$200=$A29)*1,Monthly_Trend!$I$9:$I$200)</f>
        <v>0</v>
      </c>
      <c r="Q29" s="31" t="n">
        <f aca="false">SUMPRODUCT(Monthly_Trend!$C$9:$C$200,(Monthly_Trend!$D$9:$D$200=$A29)*1,Monthly_Trend!$J$9:$J$200)</f>
        <v>0</v>
      </c>
      <c r="R29" s="31" t="n">
        <f aca="false">SUMPRODUCT(Monthly_Trend!$C$9:$C$200,(Monthly_Trend!$D$9:$D$200&lt;=$A29)*1,Monthly_Trend!$K$9:$K$200)</f>
        <v>101734277</v>
      </c>
      <c r="S29" s="31" t="n">
        <f aca="false">SUMPRODUCT(Monthly_Trend!$C$9:$C$200,(Monthly_Trend!$D$9:$D$200&lt;=$A29)*1,Monthly_Trend!$M$9:$M$200)</f>
        <v>396484</v>
      </c>
      <c r="T29" s="31" t="n">
        <f aca="false">Master_Tracker!$C$13-$E29</f>
        <v>35506295.9175761</v>
      </c>
      <c r="U29" s="31" t="n">
        <f aca="false">24-$A29</f>
        <v>3</v>
      </c>
      <c r="V29" s="31" t="n">
        <f aca="false">IF($U29&lt;=0,0,$T29/$U29)</f>
        <v>11835431.9725254</v>
      </c>
    </row>
    <row r="30" customFormat="false" ht="15" hidden="false" customHeight="true" outlineLevel="0" collapsed="false">
      <c r="A30" s="200" t="n">
        <v>22</v>
      </c>
      <c r="B30" s="51" t="s">
        <v>1338</v>
      </c>
      <c r="C30" s="98" t="n">
        <v>46783</v>
      </c>
      <c r="D30" s="49" t="n">
        <f aca="false">SUMPRODUCT(Monthly_Trend!$C$9:$C$200,(Monthly_Trend!$D$9:$D$200&lt;=$A30)*1,Monthly_Trend!$H$9:$H$200)</f>
        <v>867966335</v>
      </c>
      <c r="E30" s="49" t="n">
        <f aca="false">IF($L30=1,SUMPRODUCT(Monthly_Trend!$C$9:$C$200,(Monthly_Trend!$D$9:$D$200&lt;=$A30)*1,Monthly_Trend!$I$9:$I$200),MIN(Master_Tracker!$C$13,Master_Tracker!$M$13+($D30-Master_Tracker!$H$13)*Cost_Financials!$J$21))</f>
        <v>832460039.082424</v>
      </c>
      <c r="F30" s="49" t="n">
        <f aca="false">IF($L30=1,SUMPRODUCT(Monthly_Trend!$C$9:$C$200,(Monthly_Trend!$D$9:$D$200&lt;=$A30)*1,Monthly_Trend!$J$9:$J$200),Master_Tracker!$C$14+MAX(0,$E30-Master_Tracker!$M$13)/Cost_Financials!$C$21)</f>
        <v>868454600.668507</v>
      </c>
      <c r="G30" s="100" t="n">
        <f aca="false">IF(Master_Tracker!$C$13=0,0,$D30/Master_Tracker!$C$13)</f>
        <v>1</v>
      </c>
      <c r="H30" s="100" t="n">
        <f aca="false">IF(Master_Tracker!$C$13=0,0,$E30/Master_Tracker!$C$13)</f>
        <v>0.959092542549388</v>
      </c>
      <c r="I30" s="100" t="n">
        <f aca="false">IF(Master_Tracker!$C$13=0,0,$F30/Master_Tracker!$C$13)</f>
        <v>1.00056253986914</v>
      </c>
      <c r="J30" s="100" t="n">
        <f aca="false">$H30-$G30</f>
        <v>-0.040907457450612</v>
      </c>
      <c r="K30" s="157" t="n">
        <f aca="false">IF($D30&lt;=0,1,$E30/$D30)</f>
        <v>0.959092542549388</v>
      </c>
      <c r="L30" s="155" t="n">
        <f aca="false">IF(AND($A30&lt;=Dashboard!$H$7,$D30&gt;0),1,0)</f>
        <v>0</v>
      </c>
      <c r="M30" s="52" t="str">
        <f aca="false">IF($L30=1,"Actual","Forecast")</f>
        <v>Forecast</v>
      </c>
      <c r="N30" s="157" t="n">
        <f aca="false">IF($F30&lt;=0,1,$E30/$F30)</f>
        <v>0.958553318091268</v>
      </c>
      <c r="O30" s="49" t="n">
        <f aca="false">SUMPRODUCT(Monthly_Trend!$C$9:$C$200,(Monthly_Trend!$D$9:$D$200=$A30)*1,Monthly_Trend!$H$9:$H$200)</f>
        <v>0</v>
      </c>
      <c r="P30" s="49" t="n">
        <f aca="false">SUMPRODUCT(Monthly_Trend!$C$9:$C$200,(Monthly_Trend!$D$9:$D$200=$A30)*1,Monthly_Trend!$I$9:$I$200)</f>
        <v>0</v>
      </c>
      <c r="Q30" s="49" t="n">
        <f aca="false">SUMPRODUCT(Monthly_Trend!$C$9:$C$200,(Monthly_Trend!$D$9:$D$200=$A30)*1,Monthly_Trend!$J$9:$J$200)</f>
        <v>0</v>
      </c>
      <c r="R30" s="49" t="n">
        <f aca="false">SUMPRODUCT(Monthly_Trend!$C$9:$C$200,(Monthly_Trend!$D$9:$D$200&lt;=$A30)*1,Monthly_Trend!$K$9:$K$200)</f>
        <v>101734277</v>
      </c>
      <c r="S30" s="49" t="n">
        <f aca="false">SUMPRODUCT(Monthly_Trend!$C$9:$C$200,(Monthly_Trend!$D$9:$D$200&lt;=$A30)*1,Monthly_Trend!$M$9:$M$200)</f>
        <v>396484</v>
      </c>
      <c r="T30" s="49" t="n">
        <f aca="false">Master_Tracker!$C$13-$E30</f>
        <v>35506295.9175761</v>
      </c>
      <c r="U30" s="49" t="n">
        <f aca="false">24-$A30</f>
        <v>2</v>
      </c>
      <c r="V30" s="49" t="n">
        <f aca="false">IF($U30&lt;=0,0,$T30/$U30)</f>
        <v>17753147.958788</v>
      </c>
    </row>
    <row r="31" customFormat="false" ht="15" hidden="false" customHeight="true" outlineLevel="0" collapsed="false">
      <c r="A31" s="199" t="n">
        <v>23</v>
      </c>
      <c r="B31" s="45" t="s">
        <v>1339</v>
      </c>
      <c r="C31" s="85" t="n">
        <v>46812</v>
      </c>
      <c r="D31" s="31" t="n">
        <f aca="false">SUMPRODUCT(Monthly_Trend!$C$9:$C$200,(Monthly_Trend!$D$9:$D$200&lt;=$A31)*1,Monthly_Trend!$H$9:$H$200)</f>
        <v>867966335</v>
      </c>
      <c r="E31" s="31" t="n">
        <f aca="false">IF($L31=1,SUMPRODUCT(Monthly_Trend!$C$9:$C$200,(Monthly_Trend!$D$9:$D$200&lt;=$A31)*1,Monthly_Trend!$I$9:$I$200),MIN(Master_Tracker!$C$13,Master_Tracker!$M$13+($D31-Master_Tracker!$H$13)*Cost_Financials!$J$21))</f>
        <v>832460039.082424</v>
      </c>
      <c r="F31" s="31" t="n">
        <f aca="false">IF($L31=1,SUMPRODUCT(Monthly_Trend!$C$9:$C$200,(Monthly_Trend!$D$9:$D$200&lt;=$A31)*1,Monthly_Trend!$J$9:$J$200),Master_Tracker!$C$14+MAX(0,$E31-Master_Tracker!$M$13)/Cost_Financials!$C$21)</f>
        <v>868454600.668507</v>
      </c>
      <c r="G31" s="87" t="n">
        <f aca="false">IF(Master_Tracker!$C$13=0,0,$D31/Master_Tracker!$C$13)</f>
        <v>1</v>
      </c>
      <c r="H31" s="87" t="n">
        <f aca="false">IF(Master_Tracker!$C$13=0,0,$E31/Master_Tracker!$C$13)</f>
        <v>0.959092542549388</v>
      </c>
      <c r="I31" s="87" t="n">
        <f aca="false">IF(Master_Tracker!$C$13=0,0,$F31/Master_Tracker!$C$13)</f>
        <v>1.00056253986914</v>
      </c>
      <c r="J31" s="87" t="n">
        <f aca="false">$H31-$G31</f>
        <v>-0.040907457450612</v>
      </c>
      <c r="K31" s="152" t="n">
        <f aca="false">IF($D31&lt;=0,1,$E31/$D31)</f>
        <v>0.959092542549388</v>
      </c>
      <c r="L31" s="94" t="n">
        <f aca="false">IF(AND($A31&lt;=Dashboard!$H$7,$D31&gt;0),1,0)</f>
        <v>0</v>
      </c>
      <c r="M31" s="46" t="str">
        <f aca="false">IF($L31=1,"Actual","Forecast")</f>
        <v>Forecast</v>
      </c>
      <c r="N31" s="152" t="n">
        <f aca="false">IF($F31&lt;=0,1,$E31/$F31)</f>
        <v>0.958553318091268</v>
      </c>
      <c r="O31" s="31" t="n">
        <f aca="false">SUMPRODUCT(Monthly_Trend!$C$9:$C$200,(Monthly_Trend!$D$9:$D$200=$A31)*1,Monthly_Trend!$H$9:$H$200)</f>
        <v>0</v>
      </c>
      <c r="P31" s="31" t="n">
        <f aca="false">SUMPRODUCT(Monthly_Trend!$C$9:$C$200,(Monthly_Trend!$D$9:$D$200=$A31)*1,Monthly_Trend!$I$9:$I$200)</f>
        <v>0</v>
      </c>
      <c r="Q31" s="31" t="n">
        <f aca="false">SUMPRODUCT(Monthly_Trend!$C$9:$C$200,(Monthly_Trend!$D$9:$D$200=$A31)*1,Monthly_Trend!$J$9:$J$200)</f>
        <v>0</v>
      </c>
      <c r="R31" s="31" t="n">
        <f aca="false">SUMPRODUCT(Monthly_Trend!$C$9:$C$200,(Monthly_Trend!$D$9:$D$200&lt;=$A31)*1,Monthly_Trend!$K$9:$K$200)</f>
        <v>101734277</v>
      </c>
      <c r="S31" s="31" t="n">
        <f aca="false">SUMPRODUCT(Monthly_Trend!$C$9:$C$200,(Monthly_Trend!$D$9:$D$200&lt;=$A31)*1,Monthly_Trend!$M$9:$M$200)</f>
        <v>396484</v>
      </c>
      <c r="T31" s="31" t="n">
        <f aca="false">Master_Tracker!$C$13-$E31</f>
        <v>35506295.9175761</v>
      </c>
      <c r="U31" s="31" t="n">
        <f aca="false">24-$A31</f>
        <v>1</v>
      </c>
      <c r="V31" s="31" t="n">
        <f aca="false">IF($U31&lt;=0,0,$T31/$U31)</f>
        <v>35506295.9175761</v>
      </c>
    </row>
    <row r="32" customFormat="false" ht="15" hidden="false" customHeight="true" outlineLevel="0" collapsed="false">
      <c r="A32" s="200" t="n">
        <v>24</v>
      </c>
      <c r="B32" s="51" t="s">
        <v>1340</v>
      </c>
      <c r="C32" s="98" t="n">
        <v>46843</v>
      </c>
      <c r="D32" s="49" t="n">
        <f aca="false">SUMPRODUCT(Monthly_Trend!$C$9:$C$200,(Monthly_Trend!$D$9:$D$200&lt;=$A32)*1,Monthly_Trend!$H$9:$H$200)</f>
        <v>867966335</v>
      </c>
      <c r="E32" s="49" t="n">
        <f aca="false">IF($L32=1,SUMPRODUCT(Monthly_Trend!$C$9:$C$200,(Monthly_Trend!$D$9:$D$200&lt;=$A32)*1,Monthly_Trend!$I$9:$I$200),MIN(Master_Tracker!$C$13,Master_Tracker!$M$13+($D32-Master_Tracker!$H$13)*Cost_Financials!$J$21))</f>
        <v>832460039.082424</v>
      </c>
      <c r="F32" s="49" t="n">
        <f aca="false">IF($L32=1,SUMPRODUCT(Monthly_Trend!$C$9:$C$200,(Monthly_Trend!$D$9:$D$200&lt;=$A32)*1,Monthly_Trend!$J$9:$J$200),Master_Tracker!$C$14+MAX(0,$E32-Master_Tracker!$M$13)/Cost_Financials!$C$21)</f>
        <v>868454600.668507</v>
      </c>
      <c r="G32" s="100" t="n">
        <f aca="false">IF(Master_Tracker!$C$13=0,0,$D32/Master_Tracker!$C$13)</f>
        <v>1</v>
      </c>
      <c r="H32" s="100" t="n">
        <f aca="false">IF(Master_Tracker!$C$13=0,0,$E32/Master_Tracker!$C$13)</f>
        <v>0.959092542549388</v>
      </c>
      <c r="I32" s="100" t="n">
        <f aca="false">IF(Master_Tracker!$C$13=0,0,$F32/Master_Tracker!$C$13)</f>
        <v>1.00056253986914</v>
      </c>
      <c r="J32" s="100" t="n">
        <f aca="false">$H32-$G32</f>
        <v>-0.040907457450612</v>
      </c>
      <c r="K32" s="157" t="n">
        <f aca="false">IF($D32&lt;=0,1,$E32/$D32)</f>
        <v>0.959092542549388</v>
      </c>
      <c r="L32" s="155" t="n">
        <f aca="false">IF(AND($A32&lt;=Dashboard!$H$7,$D32&gt;0),1,0)</f>
        <v>0</v>
      </c>
      <c r="M32" s="52" t="str">
        <f aca="false">IF($L32=1,"Actual","Forecast")</f>
        <v>Forecast</v>
      </c>
      <c r="N32" s="157" t="n">
        <f aca="false">IF($F32&lt;=0,1,$E32/$F32)</f>
        <v>0.958553318091268</v>
      </c>
      <c r="O32" s="49" t="n">
        <f aca="false">SUMPRODUCT(Monthly_Trend!$C$9:$C$200,(Monthly_Trend!$D$9:$D$200=$A32)*1,Monthly_Trend!$H$9:$H$200)</f>
        <v>0</v>
      </c>
      <c r="P32" s="49" t="n">
        <f aca="false">SUMPRODUCT(Monthly_Trend!$C$9:$C$200,(Monthly_Trend!$D$9:$D$200=$A32)*1,Monthly_Trend!$I$9:$I$200)</f>
        <v>0</v>
      </c>
      <c r="Q32" s="49" t="n">
        <f aca="false">SUMPRODUCT(Monthly_Trend!$C$9:$C$200,(Monthly_Trend!$D$9:$D$200=$A32)*1,Monthly_Trend!$J$9:$J$200)</f>
        <v>0</v>
      </c>
      <c r="R32" s="49" t="n">
        <f aca="false">SUMPRODUCT(Monthly_Trend!$C$9:$C$200,(Monthly_Trend!$D$9:$D$200&lt;=$A32)*1,Monthly_Trend!$K$9:$K$200)</f>
        <v>101734277</v>
      </c>
      <c r="S32" s="49" t="n">
        <f aca="false">SUMPRODUCT(Monthly_Trend!$C$9:$C$200,(Monthly_Trend!$D$9:$D$200&lt;=$A32)*1,Monthly_Trend!$M$9:$M$200)</f>
        <v>396484</v>
      </c>
      <c r="T32" s="49" t="n">
        <f aca="false">Master_Tracker!$C$13-$E32</f>
        <v>35506295.9175761</v>
      </c>
      <c r="U32" s="49" t="n">
        <f aca="false">24-$A32</f>
        <v>0</v>
      </c>
      <c r="V32" s="49" t="n">
        <f aca="false">IF($U32&lt;=0,0,$T32/$U32)</f>
        <v>0</v>
      </c>
    </row>
    <row r="33" customFormat="false" ht="15" hidden="false" customHeight="true" outlineLevel="0" collapsed="false">
      <c r="A33" s="5"/>
      <c r="B33" s="5"/>
      <c r="C33" s="5"/>
      <c r="D33" s="5"/>
      <c r="E33" s="5"/>
      <c r="F33" s="5"/>
      <c r="G33" s="5"/>
      <c r="H33" s="5"/>
      <c r="I33" s="5"/>
      <c r="J33" s="5"/>
      <c r="K33" s="5"/>
      <c r="L33" s="5"/>
      <c r="M33" s="5"/>
      <c r="N33" s="5"/>
      <c r="O33" s="5"/>
      <c r="P33" s="5"/>
      <c r="Q33" s="5"/>
      <c r="R33" s="5"/>
      <c r="S33" s="5"/>
      <c r="T33" s="5"/>
      <c r="U33" s="5"/>
      <c r="V33" s="5"/>
    </row>
    <row r="34" customFormat="false" ht="19.5" hidden="false" customHeight="true" outlineLevel="0" collapsed="false">
      <c r="A34" s="13" t="s">
        <v>1361</v>
      </c>
      <c r="B34" s="13"/>
      <c r="C34" s="13"/>
      <c r="D34" s="13"/>
      <c r="E34" s="13"/>
      <c r="F34" s="13"/>
      <c r="G34" s="13"/>
      <c r="H34" s="13"/>
      <c r="I34" s="13"/>
      <c r="J34" s="13"/>
      <c r="K34" s="13"/>
      <c r="L34" s="13"/>
      <c r="M34" s="13"/>
      <c r="N34" s="13"/>
      <c r="O34" s="13"/>
      <c r="P34" s="13"/>
      <c r="Q34" s="13"/>
      <c r="R34" s="13"/>
      <c r="S34" s="13"/>
      <c r="T34" s="13"/>
      <c r="U34" s="13"/>
      <c r="V34" s="13"/>
    </row>
    <row r="35" customFormat="false" ht="15.75" hidden="false" customHeight="true" outlineLevel="0" collapsed="false">
      <c r="A35" s="53" t="s">
        <v>1362</v>
      </c>
      <c r="B35" s="53"/>
      <c r="C35" s="53"/>
      <c r="D35" s="201" t="n">
        <f aca="false">IFERROR(MATCH(Master_Tracker!$M$13,Cumulative_Trend!$D$9:$D$32,1)+(Master_Tracker!$M$13-INDEX(Cumulative_Trend!$D$9:$D$32,MATCH(Master_Tracker!$M$13,Cumulative_Trend!$D$9:$D$32,1)))/(INDEX(Cumulative_Trend!$D$9:$D$32,MATCH(Master_Tracker!$M$13,Cumulative_Trend!$D$9:$D$32,1)+1)-INDEX(Cumulative_Trend!$D$9:$D$32,MATCH(Master_Tracker!$M$13,Cumulative_Trend!$D$9:$D$32,1))),Dashboard!$H$7)</f>
        <v>4.85186002889021</v>
      </c>
      <c r="E35" s="201"/>
      <c r="F35" s="201"/>
      <c r="G35" s="53" t="s">
        <v>1363</v>
      </c>
      <c r="H35" s="53"/>
      <c r="I35" s="53"/>
      <c r="J35" s="201" t="n">
        <f aca="false">Dashboard!$H$7</f>
        <v>5</v>
      </c>
      <c r="K35" s="201"/>
      <c r="L35" s="201"/>
      <c r="M35" s="119" t="s">
        <v>1364</v>
      </c>
      <c r="N35" s="119"/>
      <c r="O35" s="119"/>
      <c r="P35" s="119"/>
      <c r="Q35" s="119"/>
      <c r="R35" s="119"/>
      <c r="S35" s="119"/>
      <c r="T35" s="119"/>
      <c r="U35" s="119"/>
      <c r="V35" s="119"/>
    </row>
    <row r="36" customFormat="false" ht="15.75" hidden="false" customHeight="true" outlineLevel="0" collapsed="false">
      <c r="A36" s="53" t="s">
        <v>1365</v>
      </c>
      <c r="B36" s="53"/>
      <c r="C36" s="53"/>
      <c r="D36" s="202" t="n">
        <f aca="false">IF(Dashboard!$H$7=0,1,$D$35/Dashboard!$H$7)</f>
        <v>0.970372005778042</v>
      </c>
      <c r="E36" s="202"/>
      <c r="F36" s="202"/>
      <c r="G36" s="53" t="s">
        <v>1366</v>
      </c>
      <c r="H36" s="53"/>
      <c r="I36" s="53"/>
      <c r="J36" s="201" t="n">
        <f aca="false">$D$35-Dashboard!$H$7</f>
        <v>-0.14813997110979</v>
      </c>
      <c r="K36" s="201"/>
      <c r="L36" s="201"/>
      <c r="M36" s="119"/>
      <c r="N36" s="119"/>
      <c r="O36" s="119"/>
      <c r="P36" s="119"/>
      <c r="Q36" s="119"/>
      <c r="R36" s="119"/>
      <c r="S36" s="119"/>
      <c r="T36" s="119"/>
      <c r="U36" s="119"/>
      <c r="V36" s="119"/>
    </row>
    <row r="37" customFormat="false" ht="15.75" hidden="false" customHeight="true" outlineLevel="0" collapsed="false">
      <c r="A37" s="53" t="s">
        <v>1367</v>
      </c>
      <c r="B37" s="53"/>
      <c r="C37" s="53"/>
      <c r="D37" s="201" t="n">
        <f aca="false">IF($D$36&lt;=0,24,ROUND((AVERAGE(Projects!$I$9:$I$16)-AVERAGE(Projects!$H$9:$H$16))/30.44,0)/$D$36)</f>
        <v>-1566.40957380182</v>
      </c>
      <c r="E37" s="201"/>
      <c r="F37" s="201"/>
      <c r="G37" s="53" t="s">
        <v>1368</v>
      </c>
      <c r="H37" s="53"/>
      <c r="I37" s="53"/>
      <c r="J37" s="56" t="n">
        <f aca="false">EDATE(MIN(Projects!$H$9:$H$16),ROUND(IF($D$36&lt;=0,24,ROUND((AVERAGE(Projects!$I$9:$I$16)-AVERAGE(Projects!$H$9:$H$16))/30.44,0)/$D$36),0))</f>
        <v>-1400</v>
      </c>
      <c r="K37" s="56"/>
      <c r="L37" s="56"/>
      <c r="M37" s="119"/>
      <c r="N37" s="119"/>
      <c r="O37" s="119"/>
      <c r="P37" s="119"/>
      <c r="Q37" s="119"/>
      <c r="R37" s="119"/>
      <c r="S37" s="119"/>
      <c r="T37" s="119"/>
      <c r="U37" s="119"/>
      <c r="V37" s="119"/>
    </row>
    <row r="38" customFormat="false" ht="15.75" hidden="false" customHeight="true" outlineLevel="0" collapsed="false">
      <c r="A38" s="53" t="s">
        <v>1369</v>
      </c>
      <c r="B38" s="53"/>
      <c r="C38" s="53"/>
      <c r="D38" s="56" t="n">
        <f aca="false">IF(SUM(Projects!$AM$9:$AM$16)=0,0,SUMPRODUCT(Projects!$AM$9:$AM$16,Projects!$K$9:$K$16)/SUM(Projects!$AM$9:$AM$16))</f>
        <v>11.25</v>
      </c>
      <c r="E38" s="56"/>
      <c r="F38" s="56"/>
      <c r="G38" s="53" t="s">
        <v>1370</v>
      </c>
      <c r="H38" s="53"/>
      <c r="I38" s="53"/>
      <c r="J38" s="57" t="n">
        <f aca="false">$J$37-$D$38</f>
        <v>-1411.25</v>
      </c>
      <c r="K38" s="57"/>
      <c r="L38" s="57"/>
      <c r="M38" s="119"/>
      <c r="N38" s="119"/>
      <c r="O38" s="119"/>
      <c r="P38" s="119"/>
      <c r="Q38" s="119"/>
      <c r="R38" s="119"/>
      <c r="S38" s="119"/>
      <c r="T38" s="119"/>
      <c r="U38" s="119"/>
      <c r="V38" s="119"/>
    </row>
    <row r="39" customFormat="false" ht="15.75" hidden="false" customHeight="true" outlineLevel="0" collapsed="false">
      <c r="A39" s="53" t="s">
        <v>1371</v>
      </c>
      <c r="B39" s="53"/>
      <c r="C39" s="53"/>
      <c r="D39" s="54" t="str">
        <f aca="false">IF($D$36&gt;=0.98,"Green",IF($D$36&gt;=0.9,"Amber","Red"))</f>
        <v>Amber</v>
      </c>
      <c r="E39" s="54"/>
      <c r="F39" s="54"/>
      <c r="G39" s="53" t="s">
        <v>1372</v>
      </c>
      <c r="H39" s="53"/>
      <c r="I39" s="53"/>
      <c r="J39" s="54" t="str">
        <f aca="false">IF(Master_Tracker!$M$15&gt;=0.98,"Green",IF(Master_Tracker!$M$15&gt;=0.9,"Amber","Red"))</f>
        <v>Green</v>
      </c>
      <c r="K39" s="54"/>
      <c r="L39" s="54"/>
      <c r="M39" s="119"/>
      <c r="N39" s="119"/>
      <c r="O39" s="119"/>
      <c r="P39" s="119"/>
      <c r="Q39" s="119"/>
      <c r="R39" s="119"/>
      <c r="S39" s="119"/>
      <c r="T39" s="119"/>
      <c r="U39" s="119"/>
      <c r="V39" s="119"/>
    </row>
  </sheetData>
  <mergeCells count="31">
    <mergeCell ref="A1:V1"/>
    <mergeCell ref="A2:V2"/>
    <mergeCell ref="A3:V3"/>
    <mergeCell ref="A4:V4"/>
    <mergeCell ref="A6:V6"/>
    <mergeCell ref="A34:V34"/>
    <mergeCell ref="A35:C35"/>
    <mergeCell ref="D35:F35"/>
    <mergeCell ref="G35:I35"/>
    <mergeCell ref="J35:L35"/>
    <mergeCell ref="M35:V39"/>
    <mergeCell ref="A36:C36"/>
    <mergeCell ref="D36:F36"/>
    <mergeCell ref="G36:I36"/>
    <mergeCell ref="J36:L36"/>
    <mergeCell ref="M36:V36"/>
    <mergeCell ref="A37:C37"/>
    <mergeCell ref="D37:F37"/>
    <mergeCell ref="G37:I37"/>
    <mergeCell ref="J37:L37"/>
    <mergeCell ref="M37:V37"/>
    <mergeCell ref="A38:C38"/>
    <mergeCell ref="D38:F38"/>
    <mergeCell ref="G38:I38"/>
    <mergeCell ref="J38:L38"/>
    <mergeCell ref="M38:V38"/>
    <mergeCell ref="A39:C39"/>
    <mergeCell ref="D39:F39"/>
    <mergeCell ref="G39:I39"/>
    <mergeCell ref="J39:L39"/>
    <mergeCell ref="M39:V39"/>
  </mergeCells>
  <conditionalFormatting sqref="M9:M32">
    <cfRule type="cellIs" priority="2" operator="equal" aboveAverage="0" equalAverage="0" bottom="0" percent="0" rank="0" text="" dxfId="0">
      <formula>"Actual"</formula>
    </cfRule>
    <cfRule type="cellIs" priority="3" operator="equal" aboveAverage="0" equalAverage="0" bottom="0" percent="0" rank="0" text="" dxfId="1">
      <formula>"Forecast"</formula>
    </cfRule>
  </conditionalFormatting>
  <conditionalFormatting sqref="J9:J32">
    <cfRule type="colorScale" priority="4">
      <colorScale>
        <cfvo type="min" val="0"/>
        <cfvo type="num" val="0"/>
        <cfvo type="max" val="0"/>
        <color rgb="FFFFC7CE"/>
        <color rgb="FFFFFFFF"/>
        <color rgb="FFC6EFCE"/>
      </colorScale>
    </cfRule>
  </conditionalFormatting>
  <conditionalFormatting sqref="D39:F39">
    <cfRule type="cellIs" priority="5" operator="equal" aboveAverage="0" equalAverage="0" bottom="0" percent="0" rank="0" text="" dxfId="0">
      <formula>"Green"</formula>
    </cfRule>
    <cfRule type="cellIs" priority="6" operator="equal" aboveAverage="0" equalAverage="0" bottom="0" percent="0" rank="0" text="" dxfId="1">
      <formula>"Amber"</formula>
    </cfRule>
    <cfRule type="cellIs" priority="7" operator="equal" aboveAverage="0" equalAverage="0" bottom="0" percent="0" rank="0" text="" dxfId="2">
      <formula>"Red"</formula>
    </cfRule>
  </conditionalFormatting>
  <conditionalFormatting sqref="J39:L39">
    <cfRule type="cellIs" priority="8" operator="equal" aboveAverage="0" equalAverage="0" bottom="0" percent="0" rank="0" text="" dxfId="0">
      <formula>"Green"</formula>
    </cfRule>
    <cfRule type="cellIs" priority="9" operator="equal" aboveAverage="0" equalAverage="0" bottom="0" percent="0" rank="0" text="" dxfId="1">
      <formula>"Amber"</formula>
    </cfRule>
    <cfRule type="cellIs" priority="10" operator="equal" aboveAverage="0" equalAverage="0" bottom="0" percent="0" rank="0" text="" dxfId="2">
      <formula>"Red"</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N6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40"/>
    <col collapsed="false" customWidth="true" hidden="false" outlineLevel="0" max="2" min="2" style="1" width="28"/>
    <col collapsed="false" customWidth="true" hidden="false" outlineLevel="0" max="3" min="3" style="1" width="6"/>
    <col collapsed="false" customWidth="true" hidden="false" outlineLevel="0" max="10" min="4" style="1" width="14"/>
    <col collapsed="false" customWidth="true" hidden="false" outlineLevel="0" max="12" min="11" style="1" width="9"/>
    <col collapsed="false" customWidth="true" hidden="false" outlineLevel="0" max="13" min="13" style="1" width="12"/>
    <col collapsed="false" customWidth="true" hidden="false" outlineLevel="0" max="14" min="14" style="1" width="24"/>
  </cols>
  <sheetData>
    <row r="1" customFormat="false" ht="7.5" hidden="false" customHeight="true" outlineLevel="0" collapsed="false">
      <c r="A1" s="2"/>
      <c r="B1" s="2"/>
      <c r="C1" s="2"/>
      <c r="D1" s="2"/>
      <c r="E1" s="2"/>
      <c r="F1" s="2"/>
      <c r="G1" s="2"/>
      <c r="H1" s="2"/>
      <c r="I1" s="2"/>
      <c r="J1" s="2"/>
      <c r="K1" s="2"/>
      <c r="L1" s="2"/>
      <c r="M1" s="2"/>
      <c r="N1" s="2"/>
    </row>
    <row r="2" customFormat="false" ht="30" hidden="false" customHeight="true" outlineLevel="0" collapsed="false">
      <c r="A2" s="59" t="s">
        <v>1373</v>
      </c>
      <c r="B2" s="59"/>
      <c r="C2" s="59"/>
      <c r="D2" s="59"/>
      <c r="E2" s="59"/>
      <c r="F2" s="59"/>
      <c r="G2" s="59"/>
      <c r="H2" s="59"/>
      <c r="I2" s="59"/>
      <c r="J2" s="59"/>
      <c r="K2" s="59"/>
      <c r="L2" s="59"/>
      <c r="M2" s="59"/>
      <c r="N2" s="59"/>
    </row>
    <row r="3" customFormat="false" ht="16.5" hidden="false" customHeight="true" outlineLevel="0" collapsed="false">
      <c r="A3" s="60" t="s">
        <v>1374</v>
      </c>
      <c r="B3" s="60"/>
      <c r="C3" s="60"/>
      <c r="D3" s="60"/>
      <c r="E3" s="60"/>
      <c r="F3" s="60"/>
      <c r="G3" s="60"/>
      <c r="H3" s="60"/>
      <c r="I3" s="60"/>
      <c r="J3" s="60"/>
      <c r="K3" s="60"/>
      <c r="L3" s="60"/>
      <c r="M3" s="60"/>
      <c r="N3" s="60"/>
    </row>
    <row r="4" customFormat="false" ht="15" hidden="false" customHeight="true" outlineLevel="0" collapsed="false">
      <c r="A4" s="61" t="s">
        <v>1375</v>
      </c>
      <c r="B4" s="61"/>
      <c r="C4" s="61"/>
      <c r="D4" s="61"/>
      <c r="E4" s="61"/>
      <c r="F4" s="61"/>
      <c r="G4" s="61"/>
      <c r="H4" s="61"/>
      <c r="I4" s="61"/>
      <c r="J4" s="61"/>
      <c r="K4" s="61"/>
      <c r="L4" s="61"/>
      <c r="M4" s="61"/>
      <c r="N4" s="61"/>
    </row>
    <row r="5" customFormat="false" ht="15" hidden="false" customHeight="true" outlineLevel="0" collapsed="false">
      <c r="A5" s="5"/>
      <c r="B5" s="5"/>
      <c r="C5" s="5"/>
      <c r="D5" s="5"/>
      <c r="E5" s="5"/>
      <c r="F5" s="5"/>
      <c r="G5" s="5"/>
      <c r="H5" s="5"/>
      <c r="I5" s="5"/>
      <c r="J5" s="5"/>
      <c r="K5" s="5"/>
      <c r="L5" s="5"/>
      <c r="M5" s="5"/>
      <c r="N5" s="5"/>
    </row>
    <row r="6" customFormat="false" ht="19.5" hidden="false" customHeight="true" outlineLevel="0" collapsed="false">
      <c r="A6" s="13" t="s">
        <v>1376</v>
      </c>
      <c r="B6" s="13"/>
      <c r="C6" s="13"/>
      <c r="D6" s="13"/>
      <c r="E6" s="13"/>
      <c r="F6" s="13"/>
      <c r="G6" s="13"/>
      <c r="H6" s="13"/>
      <c r="I6" s="13"/>
      <c r="J6" s="13"/>
      <c r="K6" s="13"/>
      <c r="L6" s="13"/>
      <c r="M6" s="13"/>
      <c r="N6" s="13"/>
    </row>
    <row r="7" customFormat="false" ht="15.75" hidden="false" customHeight="true" outlineLevel="0" collapsed="false">
      <c r="A7" s="53" t="s">
        <v>1377</v>
      </c>
      <c r="B7" s="53"/>
      <c r="C7" s="57" t="n">
        <f aca="false">SUMPRODUCT(Cumulative_Trend!$L$9:$L$32)</f>
        <v>5</v>
      </c>
      <c r="D7" s="57"/>
      <c r="E7" s="114" t="s">
        <v>1378</v>
      </c>
      <c r="F7" s="114"/>
      <c r="G7" s="114"/>
      <c r="H7" s="114"/>
      <c r="I7" s="114"/>
      <c r="J7" s="114"/>
      <c r="K7" s="114"/>
      <c r="L7" s="114"/>
      <c r="M7" s="114"/>
      <c r="N7" s="114"/>
    </row>
    <row r="8" customFormat="false" ht="15.75" hidden="false" customHeight="true" outlineLevel="0" collapsed="false">
      <c r="A8" s="53" t="s">
        <v>1379</v>
      </c>
      <c r="B8" s="53"/>
      <c r="C8" s="54" t="str">
        <f aca="false">Dashboard!$M$7</f>
        <v>CORPORATE — all portfolios</v>
      </c>
      <c r="D8" s="54"/>
      <c r="E8" s="114"/>
      <c r="F8" s="114"/>
      <c r="G8" s="114"/>
      <c r="H8" s="114"/>
      <c r="I8" s="114"/>
      <c r="J8" s="114"/>
      <c r="K8" s="114"/>
      <c r="L8" s="114"/>
      <c r="M8" s="114"/>
      <c r="N8" s="114"/>
    </row>
    <row r="9" customFormat="false" ht="15.75" hidden="false" customHeight="true" outlineLevel="0" collapsed="false">
      <c r="A9" s="53" t="s">
        <v>1380</v>
      </c>
      <c r="B9" s="53"/>
      <c r="C9" s="54" t="str">
        <f aca="false">IFERROR(INDEX(Cumulative_Trend!$B$9:$B$32,SUMPRODUCT(Cumulative_Trend!$L$9:$L$32)),"n/a")</f>
        <v>Aug-26</v>
      </c>
      <c r="D9" s="54"/>
      <c r="E9" s="114"/>
      <c r="F9" s="114"/>
      <c r="G9" s="114"/>
      <c r="H9" s="114"/>
      <c r="I9" s="114"/>
      <c r="J9" s="114"/>
      <c r="K9" s="114"/>
      <c r="L9" s="114"/>
      <c r="M9" s="114"/>
      <c r="N9" s="114"/>
    </row>
    <row r="10" customFormat="false" ht="15" hidden="false" customHeight="true" outlineLevel="0" collapsed="false">
      <c r="A10" s="5"/>
      <c r="B10" s="5"/>
      <c r="C10" s="5"/>
      <c r="D10" s="5"/>
      <c r="E10" s="5"/>
      <c r="F10" s="5"/>
      <c r="G10" s="5"/>
      <c r="H10" s="5"/>
      <c r="I10" s="5"/>
      <c r="J10" s="5"/>
      <c r="K10" s="5"/>
      <c r="L10" s="5"/>
      <c r="M10" s="5"/>
      <c r="N10" s="5"/>
    </row>
    <row r="11" customFormat="false" ht="19.5" hidden="false" customHeight="true" outlineLevel="0" collapsed="false">
      <c r="A11" s="13" t="s">
        <v>1381</v>
      </c>
      <c r="B11" s="13"/>
      <c r="C11" s="13"/>
      <c r="D11" s="13"/>
      <c r="E11" s="13"/>
      <c r="F11" s="13"/>
      <c r="G11" s="13"/>
      <c r="H11" s="13"/>
      <c r="I11" s="13"/>
      <c r="J11" s="13"/>
      <c r="K11" s="13"/>
      <c r="L11" s="13"/>
      <c r="M11" s="13"/>
      <c r="N11" s="13"/>
    </row>
    <row r="12" customFormat="false" ht="13.5" hidden="false" customHeight="true" outlineLevel="0" collapsed="false">
      <c r="A12" s="80" t="s">
        <v>1382</v>
      </c>
      <c r="B12" s="80"/>
      <c r="C12" s="80"/>
      <c r="D12" s="80"/>
      <c r="E12" s="80"/>
      <c r="F12" s="80"/>
      <c r="G12" s="80"/>
      <c r="H12" s="80"/>
      <c r="I12" s="80"/>
      <c r="J12" s="80"/>
      <c r="K12" s="80"/>
      <c r="L12" s="80"/>
      <c r="M12" s="80"/>
      <c r="N12" s="80"/>
    </row>
    <row r="13" customFormat="false" ht="30" hidden="false" customHeight="true" outlineLevel="0" collapsed="false">
      <c r="A13" s="23" t="s">
        <v>1383</v>
      </c>
      <c r="B13" s="23" t="s">
        <v>1384</v>
      </c>
      <c r="C13" s="23" t="s">
        <v>1385</v>
      </c>
      <c r="D13" s="23" t="s">
        <v>1386</v>
      </c>
      <c r="E13" s="23" t="s">
        <v>1387</v>
      </c>
      <c r="F13" s="23" t="s">
        <v>1388</v>
      </c>
      <c r="G13" s="23" t="s">
        <v>1389</v>
      </c>
      <c r="H13" s="23" t="s">
        <v>1390</v>
      </c>
      <c r="I13" s="23" t="s">
        <v>1391</v>
      </c>
      <c r="J13" s="23" t="s">
        <v>1392</v>
      </c>
      <c r="K13" s="23" t="s">
        <v>1393</v>
      </c>
      <c r="L13" s="23" t="s">
        <v>1394</v>
      </c>
      <c r="M13" s="23" t="s">
        <v>1395</v>
      </c>
      <c r="N13" s="23" t="s">
        <v>1396</v>
      </c>
    </row>
    <row r="14" customFormat="false" ht="15.75" hidden="false" customHeight="true" outlineLevel="0" collapsed="false">
      <c r="A14" s="24" t="s">
        <v>1397</v>
      </c>
      <c r="B14" s="126" t="s">
        <v>1398</v>
      </c>
      <c r="C14" s="142" t="n">
        <f aca="false">SUMPRODUCT(Cumulative_Trend!$L$9:$L$32)</f>
        <v>5</v>
      </c>
      <c r="D14" s="203" t="n">
        <f aca="false">SUMPRODUCT(Cumulative_Trend!$L$9:$L$32,Cumulative_Trend!$D$9:$D$32)</f>
        <v>314488168</v>
      </c>
      <c r="E14" s="203" t="n">
        <f aca="false">SUMPRODUCT(Cumulative_Trend!$L$9:$L$32,Cumulative_Trend!$E$9:$E$32)</f>
        <v>300468185</v>
      </c>
      <c r="F14" s="203" t="n">
        <f aca="false">SUMPRODUCT(Cumulative_Trend!$L$9:$L$32,Cumulative_Trend!$D$9:$D$32,Cumulative_Trend!$E$9:$E$32)</f>
        <v>26698177057269400</v>
      </c>
      <c r="G14" s="203" t="n">
        <f aca="false">SUMPRODUCT(Cumulative_Trend!$L$9:$L$32,Cumulative_Trend!$D$9:$D$32,Cumulative_Trend!$D$9:$D$32)</f>
        <v>27977380390775200</v>
      </c>
      <c r="H14" s="203" t="n">
        <f aca="false">SUMPRODUCT(Cumulative_Trend!$L$9:$L$32,Cumulative_Trend!$E$9:$E$32,Cumulative_Trend!$E$9:$E$32)</f>
        <v>25477697982102800</v>
      </c>
      <c r="I14" s="204" t="n">
        <f aca="false">IF(($C14*$G14-$D14^2)=0,0,($C14*$F14-$D14*$E14)/($C14*$G14-$D14^2))</f>
        <v>0.951520268043753</v>
      </c>
      <c r="J14" s="205" t="n">
        <f aca="false">IF($C14=0,0,($E14-$I14*$D14)/$C14)</f>
        <v>245263.817610216</v>
      </c>
      <c r="K14" s="206" t="n">
        <f aca="false">IF((($C14*$G14-$D14^2)*($C14*$H14-$E14^2))&lt;=0,0,($C14*$F14-$D14*$E14)/SQRT(($C14*$G14-$D14^2)*($C14*$H14-$E14^2)))</f>
        <v>0.999990068082185</v>
      </c>
      <c r="L14" s="207" t="n">
        <f aca="false">$K14^2</f>
        <v>0.999980136263014</v>
      </c>
      <c r="M14" s="203" t="n">
        <f aca="false">IF($C14&lt;=2,0,SQRT(MAX(0,($H14-$J14*$E14-$I14*$F14)/($C14-2))))</f>
        <v>221674.060070185</v>
      </c>
      <c r="N14" s="208" t="str">
        <f aca="false">IF($C14&lt;3,"Insufficient data",IF($L14&gt;=0.95,IF($C14&gt;=5,"Strong — usable for forecast","Strong but short series"),IF($L14&gt;=0.8,"Moderate — use with caution","Weak — do not forecast")))</f>
        <v>Strong — usable for forecast</v>
      </c>
    </row>
    <row r="15" customFormat="false" ht="15.75" hidden="false" customHeight="true" outlineLevel="0" collapsed="false">
      <c r="A15" s="127" t="s">
        <v>1399</v>
      </c>
      <c r="B15" s="133" t="s">
        <v>1400</v>
      </c>
      <c r="C15" s="209" t="n">
        <f aca="false">SUMPRODUCT(Cumulative_Trend!$L$9:$L$32)</f>
        <v>5</v>
      </c>
      <c r="D15" s="210" t="n">
        <f aca="false">SUMPRODUCT(Cumulative_Trend!$L$9:$L$32,Cumulative_Trend!$E$9:$E$32)</f>
        <v>300468185</v>
      </c>
      <c r="E15" s="210" t="n">
        <f aca="false">SUMPRODUCT(Cumulative_Trend!$L$9:$L$32,Cumulative_Trend!$F$9:$F$32)</f>
        <v>306852406</v>
      </c>
      <c r="F15" s="210" t="n">
        <f aca="false">SUMPRODUCT(Cumulative_Trend!$L$9:$L$32,Cumulative_Trend!$E$9:$E$32,Cumulative_Trend!$F$9:$F$32)</f>
        <v>26013777698495800</v>
      </c>
      <c r="G15" s="210" t="n">
        <f aca="false">SUMPRODUCT(Cumulative_Trend!$L$9:$L$32,Cumulative_Trend!$E$9:$E$32,Cumulative_Trend!$E$9:$E$32)</f>
        <v>25477697982102800</v>
      </c>
      <c r="H15" s="210" t="n">
        <f aca="false">SUMPRODUCT(Cumulative_Trend!$L$9:$L$32,Cumulative_Trend!$F$9:$F$32,Cumulative_Trend!$F$9:$F$32)</f>
        <v>26561198028618700</v>
      </c>
      <c r="I15" s="211" t="n">
        <f aca="false">IF(($C15*$G15-$D15^2)=0,0,($C15*$F15-$D15*$E15)/($C15*$G15-$D15^2))</f>
        <v>1.02053887130057</v>
      </c>
      <c r="J15" s="212" t="n">
        <f aca="false">IF($C15=0,0,($E15-$I15*$D15)/$C15)</f>
        <v>42588.7236736059</v>
      </c>
      <c r="K15" s="213" t="n">
        <f aca="false">IF((($C15*$G15-$D15^2)*($C15*$H15-$E15^2))&lt;=0,0,($C15*$F15-$D15*$E15)/SQRT(($C15*$G15-$D15^2)*($C15*$H15-$E15^2)))</f>
        <v>0.999996232254571</v>
      </c>
      <c r="L15" s="214" t="n">
        <f aca="false">$K15^2</f>
        <v>0.999992464523337</v>
      </c>
      <c r="M15" s="210" t="n">
        <f aca="false">IF($C15&lt;=2,0,SQRT(MAX(0,($H15-$J15*$E15-$I15*$F15)/($C15-2))))</f>
        <v>139338.441845745</v>
      </c>
      <c r="N15" s="215" t="str">
        <f aca="false">IF($C15&lt;3,"Insufficient data",IF($L15&gt;=0.95,IF($C15&gt;=5,"Strong — usable for forecast","Strong but short series"),IF($L15&gt;=0.8,"Moderate — use with caution","Weak — do not forecast")))</f>
        <v>Strong — usable for forecast</v>
      </c>
    </row>
    <row r="16" customFormat="false" ht="15.75" hidden="false" customHeight="true" outlineLevel="0" collapsed="false">
      <c r="A16" s="24" t="s">
        <v>1401</v>
      </c>
      <c r="B16" s="126" t="s">
        <v>1402</v>
      </c>
      <c r="C16" s="142" t="n">
        <f aca="false">SUMPRODUCT(Cumulative_Trend!$L$9:$L$32)</f>
        <v>5</v>
      </c>
      <c r="D16" s="203" t="n">
        <f aca="false">SUMPRODUCT(Cumulative_Trend!$L$9:$L$32,Cumulative_Trend!$A$9:$A$32)</f>
        <v>15</v>
      </c>
      <c r="E16" s="203" t="n">
        <f aca="false">SUMPRODUCT(Cumulative_Trend!$L$9:$L$32,Cumulative_Trend!$N$9:$N$32)</f>
        <v>4.88966390893416</v>
      </c>
      <c r="F16" s="203" t="n">
        <f aca="false">SUMPRODUCT(Cumulative_Trend!$L$9:$L$32,Cumulative_Trend!$A$9:$A$32,Cumulative_Trend!$N$9:$N$32)</f>
        <v>14.684125187885</v>
      </c>
      <c r="G16" s="203" t="n">
        <f aca="false">SUMPRODUCT(Cumulative_Trend!$L$9:$L$32,Cumulative_Trend!$A$9:$A$32,Cumulative_Trend!$A$9:$A$32)</f>
        <v>55</v>
      </c>
      <c r="H16" s="203" t="n">
        <f aca="false">SUMPRODUCT(Cumulative_Trend!$L$9:$L$32,Cumulative_Trend!$N$9:$N$32,Cumulative_Trend!$N$9:$N$32)</f>
        <v>4.78186303702455</v>
      </c>
      <c r="I16" s="204" t="n">
        <f aca="false">IF(($C16*$G16-$D16^2)=0,0,($C16*$F16-$D16*$E16)/($C16*$G16-$D16^2))</f>
        <v>0.00151334610825216</v>
      </c>
      <c r="J16" s="205" t="n">
        <f aca="false">IF($C16=0,0,($E16-$I16*$D16)/$C16)</f>
        <v>0.973392743462076</v>
      </c>
      <c r="K16" s="206" t="n">
        <f aca="false">IF((($C16*$G16-$D16^2)*($C16*$H16-$E16^2))&lt;=0,0,($C16*$F16-$D16*$E16)/SQRT(($C16*$G16-$D16^2)*($C16*$H16-$E16^2)))</f>
        <v>0.477587442901697</v>
      </c>
      <c r="L16" s="207" t="n">
        <f aca="false">$K16^2</f>
        <v>0.228089765617381</v>
      </c>
      <c r="M16" s="203" t="n">
        <f aca="false">IF($C16&lt;=2,0,SQRT(MAX(0,($H16-$J16*$E16-$I16*$F16)/($C16-2))))</f>
        <v>0.00508285987245167</v>
      </c>
      <c r="N16" s="208" t="str">
        <f aca="false">IF($C16&lt;3,"Insufficient data",IF($L16&gt;=0.95,IF($C16&gt;=5,"Strong — usable for forecast","Strong but short series"),IF($L16&gt;=0.8,"Moderate — use with caution","Weak — do not forecast")))</f>
        <v>Weak — do not forecast</v>
      </c>
    </row>
    <row r="17" customFormat="false" ht="15.75" hidden="false" customHeight="true" outlineLevel="0" collapsed="false">
      <c r="A17" s="127" t="s">
        <v>1403</v>
      </c>
      <c r="B17" s="133" t="s">
        <v>1404</v>
      </c>
      <c r="C17" s="209" t="n">
        <f aca="false">SUMPRODUCT(Cumulative_Trend!$L$9:$L$32)</f>
        <v>5</v>
      </c>
      <c r="D17" s="210" t="n">
        <f aca="false">SUMPRODUCT(Cumulative_Trend!$L$9:$L$32,Cumulative_Trend!$A$9:$A$32)</f>
        <v>15</v>
      </c>
      <c r="E17" s="210" t="n">
        <f aca="false">SUMPRODUCT(Cumulative_Trend!$L$9:$L$32,Cumulative_Trend!$K$9:$K$32)</f>
        <v>4.78606499238212</v>
      </c>
      <c r="F17" s="210" t="n">
        <f aca="false">SUMPRODUCT(Cumulative_Trend!$L$9:$L$32,Cumulative_Trend!$A$9:$A$32,Cumulative_Trend!$K$9:$K$32)</f>
        <v>14.3387888662273</v>
      </c>
      <c r="G17" s="210" t="n">
        <f aca="false">SUMPRODUCT(Cumulative_Trend!$L$9:$L$32,Cumulative_Trend!$A$9:$A$32,Cumulative_Trend!$A$9:$A$32)</f>
        <v>55</v>
      </c>
      <c r="H17" s="210" t="n">
        <f aca="false">SUMPRODUCT(Cumulative_Trend!$L$9:$L$32,Cumulative_Trend!$K$9:$K$32,Cumulative_Trend!$K$9:$K$32)</f>
        <v>4.58140855234848</v>
      </c>
      <c r="I17" s="211" t="n">
        <f aca="false">IF(($C17*$G17-$D17^2)=0,0,($C17*$F17-$D17*$E17)/($C17*$G17-$D17^2))</f>
        <v>-0.00194061109190983</v>
      </c>
      <c r="J17" s="212" t="n">
        <f aca="false">IF($C17=0,0,($E17-$I17*$D17)/$C17)</f>
        <v>0.963034831752153</v>
      </c>
      <c r="K17" s="213" t="n">
        <f aca="false">IF((($C17*$G17-$D17^2)*($C17*$H17-$E17^2))&lt;=0,0,($C17*$F17-$D17*$E17)/SQRT(($C17*$G17-$D17^2)*($C17*$H17-$E17^2)))</f>
        <v>-0.549041266284502</v>
      </c>
      <c r="L17" s="214" t="n">
        <f aca="false">$K17^2</f>
        <v>0.301446312083289</v>
      </c>
      <c r="M17" s="210" t="n">
        <f aca="false">IF($C17&lt;=2,0,SQRT(MAX(0,($H17-$J17*$E17-$I17*$F17)/($C17-2))))</f>
        <v>0.00539352615799055</v>
      </c>
      <c r="N17" s="215" t="str">
        <f aca="false">IF($C17&lt;3,"Insufficient data",IF($L17&gt;=0.95,IF($C17&gt;=5,"Strong — usable for forecast","Strong but short series"),IF($L17&gt;=0.8,"Moderate — use with caution","Weak — do not forecast")))</f>
        <v>Weak — do not forecast</v>
      </c>
    </row>
    <row r="18" customFormat="false" ht="15.75" hidden="false" customHeight="true" outlineLevel="0" collapsed="false">
      <c r="A18" s="24" t="s">
        <v>1405</v>
      </c>
      <c r="B18" s="126" t="s">
        <v>1406</v>
      </c>
      <c r="C18" s="142" t="n">
        <f aca="false">SUMPRODUCT(Cumulative_Trend!$L$9:$L$32)</f>
        <v>5</v>
      </c>
      <c r="D18" s="203" t="n">
        <f aca="false">SUMPRODUCT(Cumulative_Trend!$L$9:$L$32,Cumulative_Trend!$S$9:$S$32)</f>
        <v>988556</v>
      </c>
      <c r="E18" s="203" t="n">
        <f aca="false">SUMPRODUCT(Cumulative_Trend!$L$9:$L$32,Cumulative_Trend!$E$9:$E$32)</f>
        <v>300468185</v>
      </c>
      <c r="F18" s="203" t="n">
        <f aca="false">SUMPRODUCT(Cumulative_Trend!$L$9:$L$32,Cumulative_Trend!$S$9:$S$32,Cumulative_Trend!$E$9:$E$32)</f>
        <v>83888061577866</v>
      </c>
      <c r="G18" s="203" t="n">
        <f aca="false">SUMPRODUCT(Cumulative_Trend!$L$9:$L$32,Cumulative_Trend!$S$9:$S$32,Cumulative_Trend!$S$9:$S$32)</f>
        <v>276211709944</v>
      </c>
      <c r="H18" s="203" t="n">
        <f aca="false">SUMPRODUCT(Cumulative_Trend!$L$9:$L$32,Cumulative_Trend!$E$9:$E$32,Cumulative_Trend!$E$9:$E$32)</f>
        <v>25477697982102800</v>
      </c>
      <c r="I18" s="207" t="n">
        <f aca="false">IF(($C18*$G18-$D18^2)=0,0,($C18*$F18-$D18*$E18)/($C18*$G18-$D18^2))</f>
        <v>303.135107884888</v>
      </c>
      <c r="J18" s="206" t="n">
        <f aca="false">IF($C18=0,0,($E18-$I18*$D18)/$C18)</f>
        <v>160431.057949317</v>
      </c>
      <c r="K18" s="206" t="n">
        <f aca="false">IF((($C18*$G18-$D18^2)*($C18*$H18-$E18^2))&lt;=0,0,($C18*$F18-$D18*$E18)/SQRT(($C18*$G18-$D18^2)*($C18*$H18-$E18^2)))</f>
        <v>0.999994815257493</v>
      </c>
      <c r="L18" s="207" t="n">
        <f aca="false">$K18^2</f>
        <v>0.999989630541867</v>
      </c>
      <c r="M18" s="203" t="n">
        <f aca="false">IF($C18&lt;=2,0,SQRT(MAX(0,($H18-$J18*$E18-$I18*$F18)/($C18-2))))</f>
        <v>160163.086250651</v>
      </c>
      <c r="N18" s="208" t="str">
        <f aca="false">IF($C18&lt;3,"Insufficient data",IF($L18&gt;=0.95,IF($C18&gt;=5,"Strong — usable for forecast","Strong but short series"),IF($L18&gt;=0.8,"Moderate — use with caution","Weak — do not forecast")))</f>
        <v>Strong — usable for forecast</v>
      </c>
    </row>
    <row r="19" customFormat="false" ht="15.75" hidden="false" customHeight="true" outlineLevel="0" collapsed="false">
      <c r="A19" s="127" t="s">
        <v>1407</v>
      </c>
      <c r="B19" s="133" t="s">
        <v>1408</v>
      </c>
      <c r="C19" s="209" t="n">
        <f aca="false">SUMPRODUCT(Cumulative_Trend!$L$9:$L$32)</f>
        <v>5</v>
      </c>
      <c r="D19" s="210" t="n">
        <f aca="false">SUMPRODUCT(Cumulative_Trend!$L$9:$L$32,Cumulative_Trend!$A$9:$A$32)</f>
        <v>15</v>
      </c>
      <c r="E19" s="210" t="n">
        <f aca="false">SUMPRODUCT(Cumulative_Trend!$L$9:$L$32,Cumulative_Trend!$E$9:$E$32)</f>
        <v>300468185</v>
      </c>
      <c r="F19" s="210" t="n">
        <f aca="false">SUMPRODUCT(Cumulative_Trend!$L$9:$L$32,Cumulative_Trend!$A$9:$A$32,Cumulative_Trend!$E$9:$E$32)</f>
        <v>1171883418</v>
      </c>
      <c r="G19" s="210" t="n">
        <f aca="false">SUMPRODUCT(Cumulative_Trend!$L$9:$L$32,Cumulative_Trend!$A$9:$A$32,Cumulative_Trend!$A$9:$A$32)</f>
        <v>55</v>
      </c>
      <c r="H19" s="210" t="n">
        <f aca="false">SUMPRODUCT(Cumulative_Trend!$L$9:$L$32,Cumulative_Trend!$E$9:$E$32,Cumulative_Trend!$E$9:$E$32)</f>
        <v>25477697982102800</v>
      </c>
      <c r="I19" s="216" t="n">
        <f aca="false">IF(($C19*$G19-$D19^2)=0,0,($C19*$F19-$D19*$E19)/($C19*$G19-$D19^2))</f>
        <v>27047886.3</v>
      </c>
      <c r="J19" s="217" t="n">
        <f aca="false">IF($C19=0,0,($E19-$I19*$D19)/$C19)</f>
        <v>-21050021.9</v>
      </c>
      <c r="K19" s="213" t="n">
        <f aca="false">IF((($C19*$G19-$D19^2)*($C19*$H19-$E19^2))&lt;=0,0,($C19*$F19-$D19*$E19)/SQRT(($C19*$G19-$D19^2)*($C19*$H19-$E19^2)))</f>
        <v>0.992860669471632</v>
      </c>
      <c r="L19" s="214" t="n">
        <f aca="false">$K19^2</f>
        <v>0.985772308983658</v>
      </c>
      <c r="M19" s="210" t="n">
        <f aca="false">IF($C19&lt;=2,0,SQRT(MAX(0,($H19-$J19*$E19-$I19*$F19)/($C19-2))))</f>
        <v>5932689.37572936</v>
      </c>
      <c r="N19" s="215" t="str">
        <f aca="false">IF($C19&lt;3,"Insufficient data",IF($L19&gt;=0.95,IF($C19&gt;=5,"Strong — usable for forecast","Strong but short series"),IF($L19&gt;=0.8,"Moderate — use with caution","Weak — do not forecast")))</f>
        <v>Strong — usable for forecast</v>
      </c>
    </row>
    <row r="20" customFormat="false" ht="15" hidden="false" customHeight="true" outlineLevel="0" collapsed="false">
      <c r="A20" s="5"/>
      <c r="B20" s="5"/>
      <c r="C20" s="5"/>
      <c r="D20" s="5"/>
      <c r="E20" s="5"/>
      <c r="F20" s="5"/>
      <c r="G20" s="5"/>
      <c r="H20" s="5"/>
      <c r="I20" s="5"/>
      <c r="J20" s="5"/>
      <c r="K20" s="5"/>
      <c r="L20" s="5"/>
      <c r="M20" s="5"/>
      <c r="N20" s="5"/>
    </row>
    <row r="21" customFormat="false" ht="19.5" hidden="false" customHeight="true" outlineLevel="0" collapsed="false">
      <c r="A21" s="13" t="s">
        <v>1409</v>
      </c>
      <c r="B21" s="13"/>
      <c r="C21" s="13"/>
      <c r="D21" s="13"/>
      <c r="E21" s="13"/>
      <c r="F21" s="13"/>
      <c r="G21" s="13"/>
      <c r="H21" s="13"/>
      <c r="I21" s="13"/>
      <c r="J21" s="13"/>
      <c r="K21" s="13"/>
      <c r="L21" s="13"/>
      <c r="M21" s="13"/>
      <c r="N21" s="13"/>
    </row>
    <row r="22" customFormat="false" ht="13.5" hidden="false" customHeight="true" outlineLevel="0" collapsed="false">
      <c r="A22" s="80" t="s">
        <v>1410</v>
      </c>
      <c r="B22" s="80"/>
      <c r="C22" s="80"/>
      <c r="D22" s="80"/>
      <c r="E22" s="80"/>
      <c r="F22" s="80"/>
      <c r="G22" s="80"/>
      <c r="H22" s="80"/>
      <c r="I22" s="80"/>
      <c r="J22" s="80"/>
      <c r="K22" s="80"/>
      <c r="L22" s="80"/>
      <c r="M22" s="80"/>
      <c r="N22" s="80"/>
    </row>
    <row r="23" customFormat="false" ht="15" hidden="false" customHeight="true" outlineLevel="0" collapsed="false">
      <c r="A23" s="53" t="s">
        <v>1411</v>
      </c>
      <c r="B23" s="53"/>
      <c r="C23" s="207" t="n">
        <f aca="false">$I$14</f>
        <v>0.951520268043753</v>
      </c>
      <c r="D23" s="207"/>
      <c r="E23" s="55" t="s">
        <v>1412</v>
      </c>
      <c r="F23" s="55"/>
      <c r="G23" s="55"/>
      <c r="H23" s="55"/>
      <c r="I23" s="55"/>
      <c r="J23" s="55"/>
      <c r="K23" s="55"/>
      <c r="L23" s="55"/>
      <c r="M23" s="55"/>
      <c r="N23" s="55"/>
    </row>
    <row r="24" customFormat="false" ht="15" hidden="false" customHeight="true" outlineLevel="0" collapsed="false">
      <c r="A24" s="127" t="s">
        <v>1413</v>
      </c>
      <c r="B24" s="127"/>
      <c r="C24" s="218" t="n">
        <f aca="false">IF($I$14&lt;=0,24,ROUND((AVERAGE(Projects!$I$9:$I$16)-AVERAGE(Projects!$H$9:$H$16))/30.44,0)/$I$14)</f>
        <v>-1597.44363945604</v>
      </c>
      <c r="D24" s="218"/>
      <c r="E24" s="134" t="s">
        <v>1414</v>
      </c>
      <c r="F24" s="134"/>
      <c r="G24" s="134"/>
      <c r="H24" s="134"/>
      <c r="I24" s="134"/>
      <c r="J24" s="134"/>
      <c r="K24" s="134"/>
      <c r="L24" s="134"/>
      <c r="M24" s="134"/>
      <c r="N24" s="134"/>
    </row>
    <row r="25" customFormat="false" ht="15" hidden="false" customHeight="true" outlineLevel="0" collapsed="false">
      <c r="A25" s="53" t="s">
        <v>1415</v>
      </c>
      <c r="B25" s="53"/>
      <c r="C25" s="219" t="n">
        <f aca="false">IF($I$14&lt;=0,MAX(Projects!$K$9:$K$16),EDATE(MIN(Projects!$H$9:$H$16),ROUND(ROUND((AVERAGE(Projects!$I$9:$I$16)-AVERAGE(Projects!$H$9:$H$16))/30.44,0)/$I$14,0)))</f>
        <v>-2343</v>
      </c>
      <c r="D25" s="219"/>
      <c r="E25" s="55" t="s">
        <v>1416</v>
      </c>
      <c r="F25" s="55"/>
      <c r="G25" s="55"/>
      <c r="H25" s="55"/>
      <c r="I25" s="55"/>
      <c r="J25" s="55"/>
      <c r="K25" s="55"/>
      <c r="L25" s="55"/>
      <c r="M25" s="55"/>
      <c r="N25" s="55"/>
    </row>
    <row r="26" customFormat="false" ht="15" hidden="false" customHeight="true" outlineLevel="0" collapsed="false">
      <c r="A26" s="127" t="s">
        <v>1417</v>
      </c>
      <c r="B26" s="127"/>
      <c r="C26" s="220" t="n">
        <f aca="false">IF($I$14&lt;=0,0,EDATE(MIN(Projects!$H$9:$H$16),ROUND(ROUND((AVERAGE(Projects!$I$9:$I$16)-AVERAGE(Projects!$H$9:$H$16))/30.44,0)/$I$14,0))-IF(SUM(Projects!$AM$9:$AM$16)=0,0,SUMPRODUCT(Projects!$AM$9:$AM$16,Projects!$K$9:$K$16)/SUM(Projects!$AM$9:$AM$16)))</f>
        <v>-2354.25</v>
      </c>
      <c r="D26" s="220"/>
      <c r="E26" s="134" t="s">
        <v>1418</v>
      </c>
      <c r="F26" s="134"/>
      <c r="G26" s="134"/>
      <c r="H26" s="134"/>
      <c r="I26" s="134"/>
      <c r="J26" s="134"/>
      <c r="K26" s="134"/>
      <c r="L26" s="134"/>
      <c r="M26" s="134"/>
      <c r="N26" s="134"/>
    </row>
    <row r="27" customFormat="false" ht="15" hidden="false" customHeight="true" outlineLevel="0" collapsed="false">
      <c r="A27" s="53" t="s">
        <v>1419</v>
      </c>
      <c r="B27" s="53"/>
      <c r="C27" s="164" t="n">
        <f aca="false">$I$19</f>
        <v>27047886.3</v>
      </c>
      <c r="D27" s="164"/>
      <c r="E27" s="55" t="s">
        <v>1420</v>
      </c>
      <c r="F27" s="55"/>
      <c r="G27" s="55"/>
      <c r="H27" s="55"/>
      <c r="I27" s="55"/>
      <c r="J27" s="55"/>
      <c r="K27" s="55"/>
      <c r="L27" s="55"/>
      <c r="M27" s="55"/>
      <c r="N27" s="55"/>
    </row>
    <row r="28" customFormat="false" ht="15" hidden="false" customHeight="true" outlineLevel="0" collapsed="false">
      <c r="A28" s="127" t="s">
        <v>1421</v>
      </c>
      <c r="B28" s="127"/>
      <c r="C28" s="218" t="n">
        <f aca="false">IF($I$19&lt;=0,0,(Master_Tracker!$C$13-Master_Tracker!$M$13)/$I$19)</f>
        <v>27.639418555268</v>
      </c>
      <c r="D28" s="218"/>
      <c r="E28" s="134" t="s">
        <v>1422</v>
      </c>
      <c r="F28" s="134"/>
      <c r="G28" s="134"/>
      <c r="H28" s="134"/>
      <c r="I28" s="134"/>
      <c r="J28" s="134"/>
      <c r="K28" s="134"/>
      <c r="L28" s="134"/>
      <c r="M28" s="134"/>
      <c r="N28" s="134"/>
    </row>
    <row r="29" customFormat="false" ht="15" hidden="false" customHeight="true" outlineLevel="0" collapsed="false">
      <c r="A29" s="53" t="s">
        <v>1423</v>
      </c>
      <c r="B29" s="53"/>
      <c r="C29" s="207" t="n">
        <f aca="false">$I$15</f>
        <v>1.02053887130057</v>
      </c>
      <c r="D29" s="207"/>
      <c r="E29" s="55" t="s">
        <v>1424</v>
      </c>
      <c r="F29" s="55"/>
      <c r="G29" s="55"/>
      <c r="H29" s="55"/>
      <c r="I29" s="55"/>
      <c r="J29" s="55"/>
      <c r="K29" s="55"/>
      <c r="L29" s="55"/>
      <c r="M29" s="55"/>
      <c r="N29" s="55"/>
    </row>
    <row r="30" customFormat="false" ht="15" hidden="false" customHeight="true" outlineLevel="0" collapsed="false">
      <c r="A30" s="127" t="s">
        <v>1425</v>
      </c>
      <c r="B30" s="127"/>
      <c r="C30" s="221" t="n">
        <f aca="false">IF($I$15=0,1,1/$I$15)</f>
        <v>0.97987448408075</v>
      </c>
      <c r="D30" s="221"/>
      <c r="E30" s="134" t="s">
        <v>1426</v>
      </c>
      <c r="F30" s="134"/>
      <c r="G30" s="134"/>
      <c r="H30" s="134"/>
      <c r="I30" s="134"/>
      <c r="J30" s="134"/>
      <c r="K30" s="134"/>
      <c r="L30" s="134"/>
      <c r="M30" s="134"/>
      <c r="N30" s="134"/>
    </row>
    <row r="31" customFormat="false" ht="15" hidden="false" customHeight="true" outlineLevel="0" collapsed="false">
      <c r="A31" s="53" t="s">
        <v>1427</v>
      </c>
      <c r="B31" s="53"/>
      <c r="C31" s="164" t="n">
        <f aca="false">$J$15+$I$15*Master_Tracker!$C$13</f>
        <v>885835972.571469</v>
      </c>
      <c r="D31" s="164"/>
      <c r="E31" s="55" t="s">
        <v>1428</v>
      </c>
      <c r="F31" s="55"/>
      <c r="G31" s="55"/>
      <c r="H31" s="55"/>
      <c r="I31" s="55"/>
      <c r="J31" s="55"/>
      <c r="K31" s="55"/>
      <c r="L31" s="55"/>
      <c r="M31" s="55"/>
      <c r="N31" s="55"/>
    </row>
    <row r="32" customFormat="false" ht="15" hidden="false" customHeight="true" outlineLevel="0" collapsed="false">
      <c r="A32" s="127" t="s">
        <v>1429</v>
      </c>
      <c r="B32" s="127"/>
      <c r="C32" s="220" t="n">
        <f aca="false">Master_Tracker!$C$13-($J$15+$I$15*Master_Tracker!$C$13)</f>
        <v>-17869637.5714692</v>
      </c>
      <c r="D32" s="220"/>
      <c r="E32" s="134" t="s">
        <v>1430</v>
      </c>
      <c r="F32" s="134"/>
      <c r="G32" s="134"/>
      <c r="H32" s="134"/>
      <c r="I32" s="134"/>
      <c r="J32" s="134"/>
      <c r="K32" s="134"/>
      <c r="L32" s="134"/>
      <c r="M32" s="134"/>
      <c r="N32" s="134"/>
    </row>
    <row r="33" customFormat="false" ht="15" hidden="false" customHeight="true" outlineLevel="0" collapsed="false">
      <c r="A33" s="53" t="s">
        <v>1431</v>
      </c>
      <c r="B33" s="53"/>
      <c r="C33" s="204" t="n">
        <f aca="false">$I$16</f>
        <v>0.00151334610825216</v>
      </c>
      <c r="D33" s="204"/>
      <c r="E33" s="55" t="s">
        <v>1432</v>
      </c>
      <c r="F33" s="55"/>
      <c r="G33" s="55"/>
      <c r="H33" s="55"/>
      <c r="I33" s="55"/>
      <c r="J33" s="55"/>
      <c r="K33" s="55"/>
      <c r="L33" s="55"/>
      <c r="M33" s="55"/>
      <c r="N33" s="55"/>
    </row>
    <row r="34" customFormat="false" ht="15" hidden="false" customHeight="true" outlineLevel="0" collapsed="false">
      <c r="A34" s="127" t="s">
        <v>1433</v>
      </c>
      <c r="B34" s="127"/>
      <c r="C34" s="221" t="n">
        <f aca="false">$J$16+$I$16*24</f>
        <v>1.00971305006013</v>
      </c>
      <c r="D34" s="221"/>
      <c r="E34" s="134" t="s">
        <v>1434</v>
      </c>
      <c r="F34" s="134"/>
      <c r="G34" s="134"/>
      <c r="H34" s="134"/>
      <c r="I34" s="134"/>
      <c r="J34" s="134"/>
      <c r="K34" s="134"/>
      <c r="L34" s="134"/>
      <c r="M34" s="134"/>
      <c r="N34" s="134"/>
    </row>
    <row r="35" customFormat="false" ht="15" hidden="false" customHeight="true" outlineLevel="0" collapsed="false">
      <c r="A35" s="53" t="s">
        <v>1435</v>
      </c>
      <c r="B35" s="53"/>
      <c r="C35" s="164" t="n">
        <f aca="false">IF(($J$16+$I$16*24)&lt;=0,Master_Tracker!$C$13,Master_Tracker!$C$13/($J$16+$I$16*24))</f>
        <v>859616833.662111</v>
      </c>
      <c r="D35" s="164"/>
      <c r="E35" s="55" t="s">
        <v>1436</v>
      </c>
      <c r="F35" s="55"/>
      <c r="G35" s="55"/>
      <c r="H35" s="55"/>
      <c r="I35" s="55"/>
      <c r="J35" s="55"/>
      <c r="K35" s="55"/>
      <c r="L35" s="55"/>
      <c r="M35" s="55"/>
      <c r="N35" s="55"/>
    </row>
    <row r="36" customFormat="false" ht="15" hidden="false" customHeight="true" outlineLevel="0" collapsed="false">
      <c r="A36" s="127" t="s">
        <v>1437</v>
      </c>
      <c r="B36" s="127"/>
      <c r="C36" s="211" t="n">
        <f aca="false">$I$17</f>
        <v>-0.00194061109190983</v>
      </c>
      <c r="D36" s="211"/>
      <c r="E36" s="134" t="s">
        <v>1438</v>
      </c>
      <c r="F36" s="134"/>
      <c r="G36" s="134"/>
      <c r="H36" s="134"/>
      <c r="I36" s="134"/>
      <c r="J36" s="134"/>
      <c r="K36" s="134"/>
      <c r="L36" s="134"/>
      <c r="M36" s="134"/>
      <c r="N36" s="134"/>
    </row>
    <row r="37" customFormat="false" ht="15" hidden="false" customHeight="true" outlineLevel="0" collapsed="false">
      <c r="A37" s="53" t="s">
        <v>1439</v>
      </c>
      <c r="B37" s="53"/>
      <c r="C37" s="26" t="n">
        <f aca="false">$J$17+$I$17*24</f>
        <v>0.916460165546317</v>
      </c>
      <c r="D37" s="26"/>
      <c r="E37" s="55" t="s">
        <v>1440</v>
      </c>
      <c r="F37" s="55"/>
      <c r="G37" s="55"/>
      <c r="H37" s="55"/>
      <c r="I37" s="55"/>
      <c r="J37" s="55"/>
      <c r="K37" s="55"/>
      <c r="L37" s="55"/>
      <c r="M37" s="55"/>
      <c r="N37" s="55"/>
    </row>
    <row r="38" customFormat="false" ht="15" hidden="false" customHeight="true" outlineLevel="0" collapsed="false">
      <c r="A38" s="127" t="s">
        <v>1441</v>
      </c>
      <c r="B38" s="127"/>
      <c r="C38" s="218" t="n">
        <f aca="false">$I$18</f>
        <v>303.135107884888</v>
      </c>
      <c r="D38" s="218"/>
      <c r="E38" s="134" t="s">
        <v>1442</v>
      </c>
      <c r="F38" s="134"/>
      <c r="G38" s="134"/>
      <c r="H38" s="134"/>
      <c r="I38" s="134"/>
      <c r="J38" s="134"/>
      <c r="K38" s="134"/>
      <c r="L38" s="134"/>
      <c r="M38" s="134"/>
      <c r="N38" s="134"/>
    </row>
    <row r="39" customFormat="false" ht="15" hidden="false" customHeight="true" outlineLevel="0" collapsed="false">
      <c r="A39" s="53" t="s">
        <v>1443</v>
      </c>
      <c r="B39" s="53"/>
      <c r="C39" s="164" t="n">
        <f aca="false">IF($I$18&lt;=0,0,(Master_Tracker!$C$13-$J$18)/$I$18)</f>
        <v>2862769.37698549</v>
      </c>
      <c r="D39" s="164"/>
      <c r="E39" s="55" t="s">
        <v>1444</v>
      </c>
      <c r="F39" s="55"/>
      <c r="G39" s="55"/>
      <c r="H39" s="55"/>
      <c r="I39" s="55"/>
      <c r="J39" s="55"/>
      <c r="K39" s="55"/>
      <c r="L39" s="55"/>
      <c r="M39" s="55"/>
      <c r="N39" s="55"/>
    </row>
    <row r="40" customFormat="false" ht="15" hidden="false" customHeight="true" outlineLevel="0" collapsed="false">
      <c r="A40" s="127" t="s">
        <v>1445</v>
      </c>
      <c r="B40" s="127"/>
      <c r="C40" s="220" t="n">
        <f aca="false">IF($I$18&lt;=0,0,(Master_Tracker!$C$13-$J$18)/$I$18-Manpower_Register!$I$62)</f>
        <v>2466285.37698549</v>
      </c>
      <c r="D40" s="220"/>
      <c r="E40" s="134" t="s">
        <v>1446</v>
      </c>
      <c r="F40" s="134"/>
      <c r="G40" s="134"/>
      <c r="H40" s="134"/>
      <c r="I40" s="134"/>
      <c r="J40" s="134"/>
      <c r="K40" s="134"/>
      <c r="L40" s="134"/>
      <c r="M40" s="134"/>
      <c r="N40" s="134"/>
    </row>
    <row r="41" customFormat="false" ht="15" hidden="false" customHeight="true" outlineLevel="0" collapsed="false">
      <c r="A41" s="5"/>
      <c r="B41" s="5"/>
      <c r="C41" s="5"/>
      <c r="D41" s="5"/>
      <c r="E41" s="5"/>
      <c r="F41" s="5"/>
      <c r="G41" s="5"/>
      <c r="H41" s="5"/>
      <c r="I41" s="5"/>
      <c r="J41" s="5"/>
      <c r="K41" s="5"/>
      <c r="L41" s="5"/>
      <c r="M41" s="5"/>
      <c r="N41" s="5"/>
    </row>
    <row r="42" customFormat="false" ht="19.5" hidden="false" customHeight="true" outlineLevel="0" collapsed="false">
      <c r="A42" s="13" t="s">
        <v>1447</v>
      </c>
      <c r="B42" s="13"/>
      <c r="C42" s="13"/>
      <c r="D42" s="13"/>
      <c r="E42" s="13"/>
      <c r="F42" s="13"/>
      <c r="G42" s="13"/>
      <c r="H42" s="13"/>
      <c r="I42" s="13"/>
      <c r="J42" s="13"/>
      <c r="K42" s="13"/>
      <c r="L42" s="13"/>
      <c r="M42" s="13"/>
      <c r="N42" s="13"/>
    </row>
    <row r="43" customFormat="false" ht="13.5" hidden="false" customHeight="true" outlineLevel="0" collapsed="false">
      <c r="A43" s="80" t="s">
        <v>1448</v>
      </c>
      <c r="B43" s="80"/>
      <c r="C43" s="80"/>
      <c r="D43" s="80"/>
      <c r="E43" s="80"/>
      <c r="F43" s="80"/>
      <c r="G43" s="80"/>
      <c r="H43" s="80"/>
      <c r="I43" s="80"/>
      <c r="J43" s="80"/>
      <c r="K43" s="80"/>
      <c r="L43" s="80"/>
      <c r="M43" s="80"/>
      <c r="N43" s="80"/>
    </row>
    <row r="44" customFormat="false" ht="30" hidden="false" customHeight="true" outlineLevel="0" collapsed="false">
      <c r="A44" s="23" t="s">
        <v>1449</v>
      </c>
      <c r="B44" s="23" t="s">
        <v>1007</v>
      </c>
      <c r="C44" s="23"/>
      <c r="D44" s="23" t="s">
        <v>279</v>
      </c>
      <c r="E44" s="23" t="s">
        <v>1450</v>
      </c>
      <c r="F44" s="23" t="s">
        <v>576</v>
      </c>
      <c r="G44" s="23" t="s">
        <v>1451</v>
      </c>
      <c r="H44" s="23"/>
      <c r="I44" s="23"/>
      <c r="J44" s="23"/>
      <c r="K44" s="23"/>
      <c r="L44" s="23"/>
      <c r="M44" s="23"/>
      <c r="N44" s="23" t="s">
        <v>1452</v>
      </c>
    </row>
    <row r="45" customFormat="false" ht="15" hidden="false" customHeight="true" outlineLevel="0" collapsed="false">
      <c r="A45" s="65" t="s">
        <v>1453</v>
      </c>
      <c r="B45" s="126" t="s">
        <v>1454</v>
      </c>
      <c r="C45" s="126"/>
      <c r="D45" s="164" t="n">
        <f aca="false">Cost_Financials!$F$27</f>
        <v>885566563.897762</v>
      </c>
      <c r="E45" s="25" t="n">
        <f aca="false">Master_Tracker!$C$13-$D45</f>
        <v>-17600228.8977621</v>
      </c>
      <c r="F45" s="122" t="n">
        <f aca="false">IF(Master_Tracker!$C$13=0,0,$E45/Master_Tracker!$C$13)</f>
        <v>-0.0202775478587681</v>
      </c>
      <c r="G45" s="122" t="n">
        <f aca="false">IF(Master_Tracker!$C$12=0,0,(Master_Tracker!$C$12-$D45)/Master_Tracker!$C$12)</f>
        <v>0.106596821471719</v>
      </c>
      <c r="H45" s="208" t="str">
        <f aca="false">IF($D45&lt;=Master_Tracker!$C$13,"Within budget",IF(ABS($F45)&lt;=0.03,"Overrun within tolerance","Overrun beyond tolerance"))</f>
        <v>Overrun within tolerance</v>
      </c>
      <c r="I45" s="208"/>
      <c r="J45" s="208"/>
      <c r="K45" s="208"/>
      <c r="L45" s="208"/>
      <c r="M45" s="208"/>
      <c r="N45" s="208"/>
    </row>
    <row r="46" customFormat="false" ht="15" hidden="false" customHeight="true" outlineLevel="0" collapsed="false">
      <c r="A46" s="128" t="s">
        <v>1455</v>
      </c>
      <c r="B46" s="133" t="s">
        <v>1456</v>
      </c>
      <c r="C46" s="133"/>
      <c r="D46" s="220" t="n">
        <f aca="false">Cost_Financials!$F$28</f>
        <v>870407315.481</v>
      </c>
      <c r="E46" s="136" t="n">
        <f aca="false">Master_Tracker!$C$13-$D46</f>
        <v>-2440980.48099995</v>
      </c>
      <c r="F46" s="138" t="n">
        <f aca="false">IF(Master_Tracker!$C$13=0,0,$E46/Master_Tracker!$C$13)</f>
        <v>-0.00281229856800834</v>
      </c>
      <c r="G46" s="138" t="n">
        <f aca="false">IF(Master_Tracker!$C$12=0,0,(Master_Tracker!$C$12-$D46)/Master_Tracker!$C$12)</f>
        <v>0.121890218119426</v>
      </c>
      <c r="H46" s="215" t="str">
        <f aca="false">IF($D46&lt;=Master_Tracker!$C$13,"Within budget",IF(ABS($F46)&lt;=0.03,"Overrun within tolerance","Overrun beyond tolerance"))</f>
        <v>Overrun within tolerance</v>
      </c>
      <c r="I46" s="215"/>
      <c r="J46" s="215"/>
      <c r="K46" s="215"/>
      <c r="L46" s="215"/>
      <c r="M46" s="215"/>
      <c r="N46" s="215"/>
    </row>
    <row r="47" customFormat="false" ht="15" hidden="false" customHeight="true" outlineLevel="0" collapsed="false">
      <c r="A47" s="65" t="s">
        <v>584</v>
      </c>
      <c r="B47" s="126" t="s">
        <v>1457</v>
      </c>
      <c r="C47" s="126"/>
      <c r="D47" s="164" t="n">
        <f aca="false">Cost_Financials!$F$29</f>
        <v>922546331.432187</v>
      </c>
      <c r="E47" s="25" t="n">
        <f aca="false">Master_Tracker!$C$13-$D47</f>
        <v>-54579996.4321874</v>
      </c>
      <c r="F47" s="122" t="n">
        <f aca="false">IF(Master_Tracker!$C$13=0,0,$E47/Master_Tracker!$C$13)</f>
        <v>-0.0628826190962665</v>
      </c>
      <c r="G47" s="122" t="n">
        <f aca="false">IF(Master_Tracker!$C$12=0,0,(Master_Tracker!$C$12-$D47)/Master_Tracker!$C$12)</f>
        <v>0.0692898101149687</v>
      </c>
      <c r="H47" s="208" t="str">
        <f aca="false">IF($D47&lt;=Master_Tracker!$C$13,"Within budget",IF(ABS($F47)&lt;=0.03,"Overrun within tolerance","Overrun beyond tolerance"))</f>
        <v>Overrun beyond tolerance</v>
      </c>
      <c r="I47" s="208"/>
      <c r="J47" s="208"/>
      <c r="K47" s="208"/>
      <c r="L47" s="208"/>
      <c r="M47" s="208"/>
      <c r="N47" s="208"/>
    </row>
    <row r="48" customFormat="false" ht="15" hidden="false" customHeight="true" outlineLevel="0" collapsed="false">
      <c r="A48" s="128" t="s">
        <v>587</v>
      </c>
      <c r="B48" s="133" t="s">
        <v>1458</v>
      </c>
      <c r="C48" s="133"/>
      <c r="D48" s="220" t="n">
        <f aca="false">Cost_Financials!$F$30</f>
        <v>880822911.501</v>
      </c>
      <c r="E48" s="136" t="n">
        <f aca="false">Master_Tracker!$C$13-$D48</f>
        <v>-12856576.5009999</v>
      </c>
      <c r="F48" s="138" t="n">
        <f aca="false">IF(Master_Tracker!$C$13=0,0,$E48/Master_Tracker!$C$13)</f>
        <v>-0.0148122985680083</v>
      </c>
      <c r="G48" s="138" t="n">
        <f aca="false">IF(Master_Tracker!$C$12=0,0,(Master_Tracker!$C$12-$D48)/Master_Tracker!$C$12)</f>
        <v>0.111382451713276</v>
      </c>
      <c r="H48" s="215" t="str">
        <f aca="false">IF($D48&lt;=Master_Tracker!$C$13,"Within budget",IF(ABS($F48)&lt;=0.03,"Overrun within tolerance","Overrun beyond tolerance"))</f>
        <v>Overrun within tolerance</v>
      </c>
      <c r="I48" s="215"/>
      <c r="J48" s="215"/>
      <c r="K48" s="215"/>
      <c r="L48" s="215"/>
      <c r="M48" s="215"/>
      <c r="N48" s="215"/>
    </row>
    <row r="49" customFormat="false" ht="15" hidden="false" customHeight="true" outlineLevel="0" collapsed="false">
      <c r="A49" s="65" t="s">
        <v>1459</v>
      </c>
      <c r="B49" s="126" t="s">
        <v>1460</v>
      </c>
      <c r="C49" s="126"/>
      <c r="D49" s="164" t="n">
        <f aca="false">$C$31</f>
        <v>885835972.571469</v>
      </c>
      <c r="E49" s="25" t="n">
        <f aca="false">Master_Tracker!$C$13-$D49</f>
        <v>-17869637.5714692</v>
      </c>
      <c r="F49" s="122" t="n">
        <f aca="false">IF(Master_Tracker!$C$13=0,0,$E49/Master_Tracker!$C$13)</f>
        <v>-0.0205879385534799</v>
      </c>
      <c r="G49" s="122" t="n">
        <f aca="false">IF(Master_Tracker!$C$12=0,0,(Master_Tracker!$C$12-$D49)/Master_Tracker!$C$12)</f>
        <v>0.10632502872883</v>
      </c>
      <c r="H49" s="208" t="str">
        <f aca="false">IF($D49&lt;=Master_Tracker!$C$13,"Within budget",IF(ABS($F49)&lt;=0.03,"Overrun within tolerance","Overrun beyond tolerance"))</f>
        <v>Overrun within tolerance</v>
      </c>
      <c r="I49" s="208"/>
      <c r="J49" s="208"/>
      <c r="K49" s="208"/>
      <c r="L49" s="208"/>
      <c r="M49" s="208"/>
      <c r="N49" s="208"/>
    </row>
    <row r="50" customFormat="false" ht="15" hidden="false" customHeight="true" outlineLevel="0" collapsed="false">
      <c r="A50" s="128" t="s">
        <v>1461</v>
      </c>
      <c r="B50" s="133" t="s">
        <v>1462</v>
      </c>
      <c r="C50" s="133"/>
      <c r="D50" s="220" t="n">
        <f aca="false">$C$35</f>
        <v>859616833.662111</v>
      </c>
      <c r="E50" s="136" t="n">
        <f aca="false">Master_Tracker!$C$13-$D50</f>
        <v>8349501.33788872</v>
      </c>
      <c r="F50" s="138" t="n">
        <f aca="false">IF(Master_Tracker!$C$13=0,0,$E50/Master_Tracker!$C$13)</f>
        <v>0.00961961426521078</v>
      </c>
      <c r="G50" s="138" t="n">
        <f aca="false">IF(Master_Tracker!$C$12=0,0,(Master_Tracker!$C$12-$D50)/Master_Tracker!$C$12)</f>
        <v>0.13277618778885</v>
      </c>
      <c r="H50" s="215" t="str">
        <f aca="false">IF($D50&lt;=Master_Tracker!$C$13,"Within budget",IF(ABS($F50)&lt;=0.03,"Overrun within tolerance","Overrun beyond tolerance"))</f>
        <v>Within budget</v>
      </c>
      <c r="I50" s="215"/>
      <c r="J50" s="215"/>
      <c r="K50" s="215"/>
      <c r="L50" s="215"/>
      <c r="M50" s="215"/>
      <c r="N50" s="215"/>
    </row>
    <row r="51" customFormat="false" ht="15" hidden="false" customHeight="true" outlineLevel="0" collapsed="false">
      <c r="A51" s="5"/>
      <c r="B51" s="5"/>
      <c r="C51" s="5"/>
      <c r="D51" s="5"/>
      <c r="E51" s="5"/>
      <c r="F51" s="5"/>
      <c r="G51" s="5"/>
      <c r="H51" s="5"/>
      <c r="I51" s="5"/>
      <c r="J51" s="5"/>
      <c r="K51" s="5"/>
      <c r="L51" s="5"/>
      <c r="M51" s="5"/>
      <c r="N51" s="5"/>
    </row>
    <row r="52" customFormat="false" ht="15.75" hidden="false" customHeight="true" outlineLevel="0" collapsed="false">
      <c r="A52" s="53" t="s">
        <v>1463</v>
      </c>
      <c r="B52" s="53"/>
      <c r="C52" s="53"/>
      <c r="D52" s="222" t="n">
        <f aca="false">MIN($D$45:$D$50)</f>
        <v>859616833.662111</v>
      </c>
      <c r="E52" s="222"/>
      <c r="F52" s="160"/>
      <c r="G52" s="160"/>
      <c r="H52" s="160"/>
      <c r="I52" s="160"/>
      <c r="J52" s="160"/>
      <c r="K52" s="160"/>
      <c r="L52" s="160"/>
      <c r="M52" s="160"/>
      <c r="N52" s="160"/>
    </row>
    <row r="53" customFormat="false" ht="15.75" hidden="false" customHeight="true" outlineLevel="0" collapsed="false">
      <c r="A53" s="53" t="s">
        <v>1464</v>
      </c>
      <c r="B53" s="53"/>
      <c r="C53" s="53"/>
      <c r="D53" s="222" t="n">
        <f aca="false">MAX($D$45:$D$50)</f>
        <v>922546331.432187</v>
      </c>
      <c r="E53" s="222"/>
      <c r="F53" s="160"/>
      <c r="G53" s="160"/>
      <c r="H53" s="160"/>
      <c r="I53" s="160"/>
      <c r="J53" s="160"/>
      <c r="K53" s="160"/>
      <c r="L53" s="160"/>
      <c r="M53" s="160"/>
      <c r="N53" s="160"/>
    </row>
    <row r="54" customFormat="false" ht="15.75" hidden="false" customHeight="true" outlineLevel="0" collapsed="false">
      <c r="A54" s="53" t="s">
        <v>1465</v>
      </c>
      <c r="B54" s="53"/>
      <c r="C54" s="53"/>
      <c r="D54" s="222" t="n">
        <f aca="false">AVERAGE($D$45:$D$50)</f>
        <v>884132654.757588</v>
      </c>
      <c r="E54" s="222"/>
      <c r="F54" s="160"/>
      <c r="G54" s="160"/>
      <c r="H54" s="160"/>
      <c r="I54" s="160"/>
      <c r="J54" s="160"/>
      <c r="K54" s="160"/>
      <c r="L54" s="160"/>
      <c r="M54" s="160"/>
      <c r="N54" s="160"/>
    </row>
    <row r="55" customFormat="false" ht="15.75" hidden="false" customHeight="true" outlineLevel="0" collapsed="false">
      <c r="A55" s="53" t="s">
        <v>1466</v>
      </c>
      <c r="B55" s="53"/>
      <c r="C55" s="53"/>
      <c r="D55" s="222" t="n">
        <f aca="false">MAX($D$45:$D$50)-MIN($D$45:$D$50)</f>
        <v>62929497.7700762</v>
      </c>
      <c r="E55" s="222"/>
      <c r="F55" s="160"/>
      <c r="G55" s="160"/>
      <c r="H55" s="160"/>
      <c r="I55" s="160"/>
      <c r="J55" s="160"/>
      <c r="K55" s="160"/>
      <c r="L55" s="160"/>
      <c r="M55" s="160"/>
      <c r="N55" s="160"/>
    </row>
    <row r="56" customFormat="false" ht="15.75" hidden="false" customHeight="true" outlineLevel="0" collapsed="false">
      <c r="A56" s="53" t="s">
        <v>1467</v>
      </c>
      <c r="B56" s="53"/>
      <c r="C56" s="53"/>
      <c r="D56" s="223" t="n">
        <f aca="false">IF(Master_Tracker!$C$13=0,0,(MAX($D$45:$D$50)-MIN($D$45:$D$50))/Master_Tracker!$C$13)</f>
        <v>0.0725022333614773</v>
      </c>
      <c r="E56" s="223"/>
      <c r="F56" s="160"/>
      <c r="G56" s="160"/>
      <c r="H56" s="160"/>
      <c r="I56" s="160"/>
      <c r="J56" s="160"/>
      <c r="K56" s="160"/>
      <c r="L56" s="160"/>
      <c r="M56" s="160"/>
      <c r="N56" s="160"/>
    </row>
    <row r="57" customFormat="false" ht="15.75" hidden="false" customHeight="true" outlineLevel="0" collapsed="false">
      <c r="A57" s="53" t="s">
        <v>1468</v>
      </c>
      <c r="B57" s="53"/>
      <c r="C57" s="53"/>
      <c r="D57" s="224" t="str">
        <f aca="false">IF($D56&lt;=0.03,"Forecasts converge — report the mean with confidence",IF($D56&lt;=0.08,"Moderate divergence — report the mean and disclose the range","Forecasts diverge materially — report the conservative case and re-estimate bottom-up"))</f>
        <v>Moderate divergence — report the mean and disclose the range</v>
      </c>
      <c r="E57" s="224"/>
      <c r="F57" s="224"/>
      <c r="G57" s="224"/>
      <c r="H57" s="224"/>
      <c r="I57" s="224"/>
      <c r="J57" s="224"/>
      <c r="K57" s="224"/>
      <c r="L57" s="224"/>
      <c r="M57" s="224"/>
      <c r="N57" s="224"/>
    </row>
    <row r="58" customFormat="false" ht="15" hidden="false" customHeight="true" outlineLevel="0" collapsed="false">
      <c r="A58" s="5"/>
      <c r="B58" s="5"/>
      <c r="C58" s="5"/>
      <c r="D58" s="5"/>
      <c r="E58" s="5"/>
      <c r="F58" s="5"/>
      <c r="G58" s="5"/>
      <c r="H58" s="5"/>
      <c r="I58" s="5"/>
      <c r="J58" s="5"/>
      <c r="K58" s="5"/>
      <c r="L58" s="5"/>
      <c r="M58" s="5"/>
      <c r="N58" s="5"/>
    </row>
    <row r="59" customFormat="false" ht="19.5" hidden="false" customHeight="true" outlineLevel="0" collapsed="false">
      <c r="A59" s="13" t="s">
        <v>1469</v>
      </c>
      <c r="B59" s="13"/>
      <c r="C59" s="13"/>
      <c r="D59" s="13"/>
      <c r="E59" s="13"/>
      <c r="F59" s="13"/>
      <c r="G59" s="13"/>
      <c r="H59" s="13"/>
      <c r="I59" s="13"/>
      <c r="J59" s="13"/>
      <c r="K59" s="13"/>
      <c r="L59" s="13"/>
      <c r="M59" s="13"/>
      <c r="N59" s="13"/>
    </row>
    <row r="60" customFormat="false" ht="13.5" hidden="false" customHeight="true" outlineLevel="0" collapsed="false">
      <c r="A60" s="80" t="s">
        <v>1470</v>
      </c>
      <c r="B60" s="80"/>
      <c r="C60" s="80"/>
      <c r="D60" s="80"/>
      <c r="E60" s="80"/>
      <c r="F60" s="80"/>
      <c r="G60" s="80"/>
      <c r="H60" s="80"/>
      <c r="I60" s="80"/>
      <c r="J60" s="80"/>
      <c r="K60" s="80"/>
      <c r="L60" s="80"/>
      <c r="M60" s="80"/>
      <c r="N60" s="80"/>
    </row>
    <row r="61" customFormat="false" ht="31.5" hidden="false" customHeight="true" outlineLevel="0" collapsed="false">
      <c r="A61" s="23" t="s">
        <v>1471</v>
      </c>
      <c r="B61" s="23" t="s">
        <v>1304</v>
      </c>
      <c r="C61" s="23" t="s">
        <v>1472</v>
      </c>
      <c r="D61" s="23" t="s">
        <v>1473</v>
      </c>
      <c r="E61" s="23" t="s">
        <v>1474</v>
      </c>
      <c r="F61" s="23" t="s">
        <v>1475</v>
      </c>
      <c r="G61" s="23" t="s">
        <v>1476</v>
      </c>
      <c r="H61" s="23" t="s">
        <v>1477</v>
      </c>
      <c r="I61" s="23" t="s">
        <v>1478</v>
      </c>
      <c r="J61" s="23"/>
      <c r="K61" s="23"/>
      <c r="L61" s="23"/>
      <c r="M61" s="23"/>
      <c r="N61" s="23" t="s">
        <v>1479</v>
      </c>
    </row>
    <row r="62" customFormat="false" ht="15" hidden="false" customHeight="true" outlineLevel="0" collapsed="false">
      <c r="A62" s="225" t="n">
        <f aca="false">MIN(Dashboard!$H$7+1,24)</f>
        <v>6</v>
      </c>
      <c r="B62" s="226" t="str">
        <f aca="false">INDEX(Cumulative_Trend!$B$9:$B$32,MIN(Dashboard!$H$7+1,24))</f>
        <v>Sep-26</v>
      </c>
      <c r="C62" s="25" t="n">
        <f aca="false">INDEX(Cumulative_Trend!$D$9:$D$32,MIN(Dashboard!$H$7+1,24))</f>
        <v>177971238</v>
      </c>
      <c r="D62" s="25" t="n">
        <f aca="false">MIN(Master_Tracker!$C$13,$J$14+$I$14*$C62)</f>
        <v>169588503.903449</v>
      </c>
      <c r="E62" s="25" t="n">
        <f aca="false">$J$15+$I$15*$D62</f>
        <v>173114249.082852</v>
      </c>
      <c r="F62" s="124" t="n">
        <f aca="false">IF($C62=0,1,$D62/$C62)</f>
        <v>0.952898377340325</v>
      </c>
      <c r="G62" s="124" t="n">
        <f aca="false">IF($E62=0,1,$D62/$E62)</f>
        <v>0.979633420136803</v>
      </c>
      <c r="H62" s="122" t="n">
        <f aca="false">IF(Master_Tracker!$C$13=0,0,$D62/Master_Tracker!$C$13)</f>
        <v>0.195386038680232</v>
      </c>
      <c r="I62" s="25" t="n">
        <f aca="false">$D62-$C62</f>
        <v>-8382734.09655121</v>
      </c>
      <c r="J62" s="208" t="str">
        <f aca="false">IF($I62&gt;=0,"Ahead of baseline",IF($F62&gt;=0.95,"Marginally behind","Behind baseline"))</f>
        <v>Marginally behind</v>
      </c>
      <c r="K62" s="208"/>
      <c r="L62" s="208"/>
      <c r="M62" s="208"/>
      <c r="N62" s="208"/>
    </row>
    <row r="63" customFormat="false" ht="15" hidden="false" customHeight="true" outlineLevel="0" collapsed="false">
      <c r="A63" s="227" t="n">
        <f aca="false">MIN(Dashboard!$H$7+2,24)</f>
        <v>7</v>
      </c>
      <c r="B63" s="228" t="str">
        <f aca="false">INDEX(Cumulative_Trend!$B$9:$B$32,MIN(Dashboard!$H$7+2,24))</f>
        <v>Oct-26</v>
      </c>
      <c r="C63" s="136" t="n">
        <f aca="false">INDEX(Cumulative_Trend!$D$9:$D$32,MIN(Dashboard!$H$7+2,24))</f>
        <v>239857533</v>
      </c>
      <c r="D63" s="136" t="n">
        <f aca="false">MIN(Master_Tracker!$C$13,$J$14+$I$14*$C63)</f>
        <v>228474567.910084</v>
      </c>
      <c r="E63" s="136" t="n">
        <f aca="false">$J$15+$I$15*$D63</f>
        <v>233209766.379517</v>
      </c>
      <c r="F63" s="131" t="n">
        <f aca="false">IF($C63=0,1,$D63/$C63)</f>
        <v>0.952542807609397</v>
      </c>
      <c r="G63" s="131" t="n">
        <f aca="false">IF($E63=0,1,$D63/$E63)</f>
        <v>0.979695539586764</v>
      </c>
      <c r="H63" s="138" t="n">
        <f aca="false">IF(Master_Tracker!$C$13=0,0,$D63/Master_Tracker!$C$13)</f>
        <v>0.263229757534414</v>
      </c>
      <c r="I63" s="136" t="n">
        <f aca="false">$D63-$C63</f>
        <v>-11382965.0899164</v>
      </c>
      <c r="J63" s="215" t="str">
        <f aca="false">IF($I63&gt;=0,"Ahead of baseline",IF($F63&gt;=0.95,"Marginally behind","Behind baseline"))</f>
        <v>Marginally behind</v>
      </c>
      <c r="K63" s="215"/>
      <c r="L63" s="215"/>
      <c r="M63" s="215"/>
      <c r="N63" s="215"/>
    </row>
    <row r="64" customFormat="false" ht="15" hidden="false" customHeight="true" outlineLevel="0" collapsed="false">
      <c r="A64" s="225" t="n">
        <f aca="false">MIN(Dashboard!$H$7+3,24)</f>
        <v>8</v>
      </c>
      <c r="B64" s="226" t="str">
        <f aca="false">INDEX(Cumulative_Trend!$B$9:$B$32,MIN(Dashboard!$H$7+3,24))</f>
        <v>Nov-26</v>
      </c>
      <c r="C64" s="25" t="n">
        <f aca="false">INDEX(Cumulative_Trend!$D$9:$D$32,MIN(Dashboard!$H$7+3,24))</f>
        <v>310097917</v>
      </c>
      <c r="D64" s="25" t="n">
        <f aca="false">MIN(Master_Tracker!$C$13,$J$14+$I$14*$C64)</f>
        <v>295309716.92126</v>
      </c>
      <c r="E64" s="25" t="n">
        <f aca="false">$J$15+$I$15*$D64</f>
        <v>301417633.914588</v>
      </c>
      <c r="F64" s="124" t="n">
        <f aca="false">IF($C64=0,1,$D64/$C64)</f>
        <v>0.952311191826741</v>
      </c>
      <c r="G64" s="124" t="n">
        <f aca="false">IF($E64=0,1,$D64/$E64)</f>
        <v>0.979736032978552</v>
      </c>
      <c r="H64" s="122" t="n">
        <f aca="false">IF(Master_Tracker!$C$13=0,0,$D64/Master_Tracker!$C$13)</f>
        <v>0.340231763621638</v>
      </c>
      <c r="I64" s="25" t="n">
        <f aca="false">$D64-$C64</f>
        <v>-14788200.0787402</v>
      </c>
      <c r="J64" s="208" t="str">
        <f aca="false">IF($I64&gt;=0,"Ahead of baseline",IF($F64&gt;=0.95,"Marginally behind","Behind baseline"))</f>
        <v>Marginally behind</v>
      </c>
      <c r="K64" s="208"/>
      <c r="L64" s="208"/>
      <c r="M64" s="208"/>
      <c r="N64" s="208"/>
    </row>
    <row r="65" customFormat="false" ht="15" hidden="false" customHeight="true" outlineLevel="0" collapsed="false">
      <c r="A65" s="227" t="n">
        <f aca="false">MIN(Dashboard!$H$7+4,24)</f>
        <v>9</v>
      </c>
      <c r="B65" s="228" t="str">
        <f aca="false">INDEX(Cumulative_Trend!$B$9:$B$32,MIN(Dashboard!$H$7+4,24))</f>
        <v>Dec-26</v>
      </c>
      <c r="C65" s="136" t="n">
        <f aca="false">INDEX(Cumulative_Trend!$D$9:$D$32,MIN(Dashboard!$H$7+4,24))</f>
        <v>386378897</v>
      </c>
      <c r="D65" s="136" t="n">
        <f aca="false">MIN(Master_Tracker!$C$13,$J$14+$I$14*$C65)</f>
        <v>367892615.4575</v>
      </c>
      <c r="E65" s="136" t="n">
        <f aca="false">$J$15+$I$15*$D65</f>
        <v>375491303.262487</v>
      </c>
      <c r="F65" s="131" t="n">
        <f aca="false">IF($C65=0,1,$D65/$C65)</f>
        <v>0.952155043440429</v>
      </c>
      <c r="G65" s="131" t="n">
        <f aca="false">IF($E65=0,1,$D65/$E65)</f>
        <v>0.979763345411825</v>
      </c>
      <c r="H65" s="138" t="n">
        <f aca="false">IF(Master_Tracker!$C$13=0,0,$D65/Master_Tracker!$C$13)</f>
        <v>0.423855857793724</v>
      </c>
      <c r="I65" s="136" t="n">
        <f aca="false">$D65-$C65</f>
        <v>-18486281.5425001</v>
      </c>
      <c r="J65" s="215" t="str">
        <f aca="false">IF($I65&gt;=0,"Ahead of baseline",IF($F65&gt;=0.95,"Marginally behind","Behind baseline"))</f>
        <v>Marginally behind</v>
      </c>
      <c r="K65" s="215"/>
      <c r="L65" s="215"/>
      <c r="M65" s="215"/>
      <c r="N65" s="215"/>
    </row>
    <row r="66" customFormat="false" ht="15" hidden="false" customHeight="true" outlineLevel="0" collapsed="false">
      <c r="A66" s="225" t="n">
        <f aca="false">MIN(Dashboard!$H$7+5,24)</f>
        <v>10</v>
      </c>
      <c r="B66" s="226" t="str">
        <f aca="false">INDEX(Cumulative_Trend!$B$9:$B$32,MIN(Dashboard!$H$7+5,24))</f>
        <v>Jan-27</v>
      </c>
      <c r="C66" s="25" t="n">
        <f aca="false">INDEX(Cumulative_Trend!$D$9:$D$32,MIN(Dashboard!$H$7+5,24))</f>
        <v>465743847</v>
      </c>
      <c r="D66" s="25" t="n">
        <f aca="false">MIN(Master_Tracker!$C$13,$J$14+$I$14*$C66)</f>
        <v>443409973.954779</v>
      </c>
      <c r="E66" s="25" t="n">
        <f aca="false">$J$15+$I$15*$D66</f>
        <v>452559703.066901</v>
      </c>
      <c r="F66" s="124" t="n">
        <f aca="false">IF($C66=0,1,$D66/$C66)</f>
        <v>0.952046874716477</v>
      </c>
      <c r="G66" s="124" t="n">
        <f aca="false">IF($E66=0,1,$D66/$E66)</f>
        <v>0.979782271708869</v>
      </c>
      <c r="H66" s="122" t="n">
        <f aca="false">IF(Master_Tracker!$C$13=0,0,$D66/Master_Tracker!$C$13)</f>
        <v>0.510860797331246</v>
      </c>
      <c r="I66" s="25" t="n">
        <f aca="false">$D66-$C66</f>
        <v>-22333873.045221</v>
      </c>
      <c r="J66" s="208" t="str">
        <f aca="false">IF($I66&gt;=0,"Ahead of baseline",IF($F66&gt;=0.95,"Marginally behind","Behind baseline"))</f>
        <v>Marginally behind</v>
      </c>
      <c r="K66" s="208"/>
      <c r="L66" s="208"/>
      <c r="M66" s="208"/>
      <c r="N66" s="208"/>
    </row>
    <row r="67" customFormat="false" ht="15" hidden="false" customHeight="true" outlineLevel="0" collapsed="false">
      <c r="A67" s="227" t="n">
        <f aca="false">MIN(Dashboard!$H$7+6,24)</f>
        <v>11</v>
      </c>
      <c r="B67" s="228" t="str">
        <f aca="false">INDEX(Cumulative_Trend!$B$9:$B$32,MIN(Dashboard!$H$7+6,24))</f>
        <v>Feb-27</v>
      </c>
      <c r="C67" s="136" t="n">
        <f aca="false">INDEX(Cumulative_Trend!$D$9:$D$32,MIN(Dashboard!$H$7+6,24))</f>
        <v>542424130</v>
      </c>
      <c r="D67" s="136" t="n">
        <f aca="false">MIN(Master_Tracker!$C$13,$J$14+$I$14*$C67)</f>
        <v>516372817.38861</v>
      </c>
      <c r="E67" s="136" t="n">
        <f aca="false">$J$15+$I$15*$D67</f>
        <v>527021120.951743</v>
      </c>
      <c r="F67" s="131" t="n">
        <f aca="false">IF($C67=0,1,$D67/$C67)</f>
        <v>0.951972430482785</v>
      </c>
      <c r="G67" s="131" t="n">
        <f aca="false">IF($E67=0,1,$D67/$E67)</f>
        <v>0.979795300150584</v>
      </c>
      <c r="H67" s="138" t="n">
        <f aca="false">IF(Master_Tracker!$C$13=0,0,$D67/Master_Tracker!$C$13)</f>
        <v>0.594922633017339</v>
      </c>
      <c r="I67" s="136" t="n">
        <f aca="false">$D67-$C67</f>
        <v>-26051312.6113902</v>
      </c>
      <c r="J67" s="215" t="str">
        <f aca="false">IF($I67&gt;=0,"Ahead of baseline",IF($F67&gt;=0.95,"Marginally behind","Behind baseline"))</f>
        <v>Marginally behind</v>
      </c>
      <c r="K67" s="215"/>
      <c r="L67" s="215"/>
      <c r="M67" s="215"/>
      <c r="N67" s="215"/>
    </row>
    <row r="68" customFormat="false" ht="15" hidden="false" customHeight="true" outlineLevel="0" collapsed="false">
      <c r="A68" s="5"/>
      <c r="B68" s="5"/>
      <c r="C68" s="5"/>
      <c r="D68" s="5"/>
      <c r="E68" s="5"/>
      <c r="F68" s="5"/>
      <c r="G68" s="5"/>
      <c r="H68" s="5"/>
      <c r="I68" s="5"/>
      <c r="J68" s="5"/>
      <c r="K68" s="5"/>
      <c r="L68" s="5"/>
      <c r="M68" s="5"/>
      <c r="N68" s="5"/>
    </row>
    <row r="69" customFormat="false" ht="25.5" hidden="false" customHeight="true" outlineLevel="0" collapsed="false">
      <c r="A69" s="58" t="s">
        <v>1480</v>
      </c>
      <c r="B69" s="58"/>
      <c r="C69" s="58"/>
      <c r="D69" s="58"/>
      <c r="E69" s="58"/>
      <c r="F69" s="58"/>
      <c r="G69" s="58"/>
      <c r="H69" s="58"/>
      <c r="I69" s="58"/>
      <c r="J69" s="58"/>
      <c r="K69" s="58"/>
      <c r="L69" s="58"/>
      <c r="M69" s="58"/>
      <c r="N69" s="58"/>
    </row>
  </sheetData>
  <mergeCells count="113">
    <mergeCell ref="A1:N1"/>
    <mergeCell ref="A2:N2"/>
    <mergeCell ref="A3:N3"/>
    <mergeCell ref="A4:N4"/>
    <mergeCell ref="A6:N6"/>
    <mergeCell ref="A7:B7"/>
    <mergeCell ref="C7:D7"/>
    <mergeCell ref="E7:N9"/>
    <mergeCell ref="A8:B8"/>
    <mergeCell ref="C8:D8"/>
    <mergeCell ref="A9:B9"/>
    <mergeCell ref="C9:D9"/>
    <mergeCell ref="A11:N11"/>
    <mergeCell ref="A12:N12"/>
    <mergeCell ref="A21:N21"/>
    <mergeCell ref="A22:N22"/>
    <mergeCell ref="A23:B23"/>
    <mergeCell ref="C23:D23"/>
    <mergeCell ref="E23:N23"/>
    <mergeCell ref="A24:B24"/>
    <mergeCell ref="C24:D24"/>
    <mergeCell ref="E24:N24"/>
    <mergeCell ref="A25:B25"/>
    <mergeCell ref="C25:D25"/>
    <mergeCell ref="E25:N25"/>
    <mergeCell ref="A26:B26"/>
    <mergeCell ref="C26:D26"/>
    <mergeCell ref="E26:N26"/>
    <mergeCell ref="A27:B27"/>
    <mergeCell ref="C27:D27"/>
    <mergeCell ref="E27:N27"/>
    <mergeCell ref="A28:B28"/>
    <mergeCell ref="C28:D28"/>
    <mergeCell ref="E28:N28"/>
    <mergeCell ref="A29:B29"/>
    <mergeCell ref="C29:D29"/>
    <mergeCell ref="E29:N29"/>
    <mergeCell ref="A30:B30"/>
    <mergeCell ref="C30:D30"/>
    <mergeCell ref="E30:N30"/>
    <mergeCell ref="A31:B31"/>
    <mergeCell ref="C31:D31"/>
    <mergeCell ref="E31:N31"/>
    <mergeCell ref="A32:B32"/>
    <mergeCell ref="C32:D32"/>
    <mergeCell ref="E32:N32"/>
    <mergeCell ref="A33:B33"/>
    <mergeCell ref="C33:D33"/>
    <mergeCell ref="E33:N33"/>
    <mergeCell ref="A34:B34"/>
    <mergeCell ref="C34:D34"/>
    <mergeCell ref="E34:N34"/>
    <mergeCell ref="A35:B35"/>
    <mergeCell ref="C35:D35"/>
    <mergeCell ref="E35:N35"/>
    <mergeCell ref="A36:B36"/>
    <mergeCell ref="C36:D36"/>
    <mergeCell ref="E36:N36"/>
    <mergeCell ref="A37:B37"/>
    <mergeCell ref="C37:D37"/>
    <mergeCell ref="E37:N37"/>
    <mergeCell ref="A38:B38"/>
    <mergeCell ref="C38:D38"/>
    <mergeCell ref="E38:N38"/>
    <mergeCell ref="A39:B39"/>
    <mergeCell ref="C39:D39"/>
    <mergeCell ref="E39:N39"/>
    <mergeCell ref="A40:B40"/>
    <mergeCell ref="C40:D40"/>
    <mergeCell ref="E40:N40"/>
    <mergeCell ref="A42:N42"/>
    <mergeCell ref="A43:N43"/>
    <mergeCell ref="B44:C44"/>
    <mergeCell ref="H44:M44"/>
    <mergeCell ref="B45:C45"/>
    <mergeCell ref="H45:N45"/>
    <mergeCell ref="B46:C46"/>
    <mergeCell ref="H46:N46"/>
    <mergeCell ref="B47:C47"/>
    <mergeCell ref="H47:N47"/>
    <mergeCell ref="B48:C48"/>
    <mergeCell ref="H48:N48"/>
    <mergeCell ref="B49:C49"/>
    <mergeCell ref="H49:N49"/>
    <mergeCell ref="B50:C50"/>
    <mergeCell ref="H50:N50"/>
    <mergeCell ref="A52:C52"/>
    <mergeCell ref="D52:E52"/>
    <mergeCell ref="F52:N52"/>
    <mergeCell ref="A53:C53"/>
    <mergeCell ref="D53:E53"/>
    <mergeCell ref="F53:N53"/>
    <mergeCell ref="A54:C54"/>
    <mergeCell ref="D54:E54"/>
    <mergeCell ref="F54:N54"/>
    <mergeCell ref="A55:C55"/>
    <mergeCell ref="D55:E55"/>
    <mergeCell ref="F55:N55"/>
    <mergeCell ref="A56:C56"/>
    <mergeCell ref="D56:E56"/>
    <mergeCell ref="F56:N56"/>
    <mergeCell ref="A57:C57"/>
    <mergeCell ref="D57:N57"/>
    <mergeCell ref="A59:N59"/>
    <mergeCell ref="A60:N60"/>
    <mergeCell ref="J61:M61"/>
    <mergeCell ref="J62:N62"/>
    <mergeCell ref="J63:N63"/>
    <mergeCell ref="J64:N64"/>
    <mergeCell ref="J65:N65"/>
    <mergeCell ref="J66:N66"/>
    <mergeCell ref="J67:N67"/>
    <mergeCell ref="A69:N69"/>
  </mergeCells>
  <conditionalFormatting sqref="N14:N19">
    <cfRule type="cellIs" priority="2" operator="equal" aboveAverage="0" equalAverage="0" bottom="0" percent="0" rank="0" text="" dxfId="0">
      <formula>"Strong — usable for forecast"</formula>
    </cfRule>
    <cfRule type="cellIs" priority="3" operator="equal" aboveAverage="0" equalAverage="0" bottom="0" percent="0" rank="0" text="" dxfId="1">
      <formula>"Strong but short series"</formula>
    </cfRule>
    <cfRule type="cellIs" priority="4" operator="equal" aboveAverage="0" equalAverage="0" bottom="0" percent="0" rank="0" text="" dxfId="1">
      <formula>"Moderate — use with caution"</formula>
    </cfRule>
    <cfRule type="cellIs" priority="5" operator="equal" aboveAverage="0" equalAverage="0" bottom="0" percent="0" rank="0" text="" dxfId="2">
      <formula>"Weak — do not forecast"</formula>
    </cfRule>
    <cfRule type="cellIs" priority="6" operator="equal" aboveAverage="0" equalAverage="0" bottom="0" percent="0" rank="0" text="" dxfId="2">
      <formula>"Insufficient data"</formula>
    </cfRule>
  </conditionalFormatting>
  <conditionalFormatting sqref="H45:H50">
    <cfRule type="cellIs" priority="7" operator="equal" aboveAverage="0" equalAverage="0" bottom="0" percent="0" rank="0" text="" dxfId="0">
      <formula>"Within budget"</formula>
    </cfRule>
    <cfRule type="cellIs" priority="8" operator="equal" aboveAverage="0" equalAverage="0" bottom="0" percent="0" rank="0" text="" dxfId="1">
      <formula>"Overrun within tolerance"</formula>
    </cfRule>
    <cfRule type="cellIs" priority="9" operator="equal" aboveAverage="0" equalAverage="0" bottom="0" percent="0" rank="0" text="" dxfId="2">
      <formula>"Overrun beyond tolerance"</formula>
    </cfRule>
  </conditionalFormatting>
  <conditionalFormatting sqref="J62:J67">
    <cfRule type="cellIs" priority="10" operator="equal" aboveAverage="0" equalAverage="0" bottom="0" percent="0" rank="0" text="" dxfId="0">
      <formula>"Ahead of baseline"</formula>
    </cfRule>
    <cfRule type="cellIs" priority="11" operator="equal" aboveAverage="0" equalAverage="0" bottom="0" percent="0" rank="0" text="" dxfId="1">
      <formula>"Marginally behind"</formula>
    </cfRule>
    <cfRule type="cellIs" priority="12" operator="equal" aboveAverage="0" equalAverage="0" bottom="0" percent="0" rank="0" text="" dxfId="2">
      <formula>"Behind baseline"</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1481</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1482</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8</v>
      </c>
      <c r="E7" s="229"/>
      <c r="F7" s="229"/>
      <c r="G7" s="53" t="s">
        <v>5</v>
      </c>
      <c r="H7" s="53"/>
      <c r="I7" s="53"/>
      <c r="J7" s="229" t="s">
        <v>6</v>
      </c>
      <c r="K7" s="229"/>
      <c r="L7" s="229"/>
      <c r="M7" s="53" t="s">
        <v>258</v>
      </c>
      <c r="N7" s="53"/>
      <c r="O7" s="53"/>
      <c r="P7" s="229" t="s">
        <v>1485</v>
      </c>
      <c r="Q7" s="229"/>
      <c r="R7" s="229"/>
      <c r="S7" s="5"/>
      <c r="T7" s="230" t="n">
        <f aca="false">SUMIF($I$63:$I$65,"Approved",$F$63:$F$65)</f>
        <v>1831168</v>
      </c>
    </row>
    <row r="8" customFormat="false" ht="15.75" hidden="false" customHeight="true" outlineLevel="0" collapsed="false">
      <c r="A8" s="53" t="s">
        <v>257</v>
      </c>
      <c r="B8" s="53"/>
      <c r="C8" s="53"/>
      <c r="D8" s="229" t="s">
        <v>1482</v>
      </c>
      <c r="E8" s="229"/>
      <c r="F8" s="229"/>
      <c r="G8" s="53" t="s">
        <v>1486</v>
      </c>
      <c r="H8" s="53"/>
      <c r="I8" s="53"/>
      <c r="J8" s="229" t="s">
        <v>489</v>
      </c>
      <c r="K8" s="229"/>
      <c r="L8" s="229"/>
      <c r="M8" s="53" t="s">
        <v>260</v>
      </c>
      <c r="N8" s="53"/>
      <c r="O8" s="53"/>
      <c r="P8" s="229" t="s">
        <v>290</v>
      </c>
      <c r="Q8" s="229"/>
      <c r="R8" s="229"/>
      <c r="S8" s="5"/>
      <c r="T8" s="230" t="n">
        <f aca="false">SUMIF($I$63:$I$65,"Approved",$G$63:$G$65)</f>
        <v>1595173</v>
      </c>
    </row>
    <row r="9" customFormat="false" ht="15.75" hidden="false" customHeight="true" outlineLevel="0" collapsed="false">
      <c r="A9" s="53" t="s">
        <v>1487</v>
      </c>
      <c r="B9" s="53"/>
      <c r="C9" s="53"/>
      <c r="D9" s="229" t="s">
        <v>1488</v>
      </c>
      <c r="E9" s="229"/>
      <c r="F9" s="229"/>
      <c r="G9" s="53" t="s">
        <v>1489</v>
      </c>
      <c r="H9" s="53"/>
      <c r="I9" s="53"/>
      <c r="J9" s="229" t="s">
        <v>291</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46113</v>
      </c>
      <c r="E10" s="231"/>
      <c r="F10" s="231"/>
      <c r="G10" s="53" t="s">
        <v>1491</v>
      </c>
      <c r="H10" s="53"/>
      <c r="I10" s="53"/>
      <c r="J10" s="231" t="n">
        <v>46660</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30</v>
      </c>
      <c r="E11" s="163"/>
      <c r="F11" s="163"/>
      <c r="G11" s="53" t="s">
        <v>1493</v>
      </c>
      <c r="H11" s="53"/>
      <c r="I11" s="53"/>
      <c r="J11" s="232" t="n">
        <f aca="false">$P$10+$D$11</f>
        <v>46295</v>
      </c>
      <c r="K11" s="232"/>
      <c r="L11" s="232"/>
      <c r="M11" s="53" t="s">
        <v>78</v>
      </c>
      <c r="N11" s="53"/>
      <c r="O11" s="53"/>
      <c r="P11" s="229" t="s">
        <v>292</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97923423</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86172612</v>
      </c>
      <c r="E15" s="163"/>
      <c r="F15" s="163"/>
      <c r="G15" s="53" t="s">
        <v>1499</v>
      </c>
      <c r="H15" s="53"/>
      <c r="I15" s="53"/>
      <c r="J15" s="117" t="n">
        <f aca="false">$T$7</f>
        <v>1831168</v>
      </c>
      <c r="K15" s="117"/>
      <c r="L15" s="117"/>
      <c r="M15" s="53" t="s">
        <v>1500</v>
      </c>
      <c r="N15" s="53"/>
      <c r="O15" s="53"/>
      <c r="P15" s="117" t="n">
        <f aca="false">$T$8</f>
        <v>1595173</v>
      </c>
      <c r="Q15" s="117"/>
      <c r="R15" s="117"/>
      <c r="S15" s="5"/>
      <c r="T15" s="5"/>
    </row>
    <row r="16" customFormat="false" ht="15.75" hidden="false" customHeight="true" outlineLevel="0" collapsed="false">
      <c r="A16" s="53" t="s">
        <v>1501</v>
      </c>
      <c r="B16" s="53"/>
      <c r="C16" s="53"/>
      <c r="D16" s="117" t="n">
        <f aca="false">$D$14+$J$15</f>
        <v>99754591</v>
      </c>
      <c r="E16" s="117"/>
      <c r="F16" s="117"/>
      <c r="G16" s="53" t="s">
        <v>1502</v>
      </c>
      <c r="H16" s="53"/>
      <c r="I16" s="53"/>
      <c r="J16" s="117" t="n">
        <f aca="false">$D$15+$R$15</f>
        <v>86172612</v>
      </c>
      <c r="K16" s="117"/>
      <c r="L16" s="117"/>
      <c r="M16" s="53" t="s">
        <v>1503</v>
      </c>
      <c r="N16" s="53"/>
      <c r="O16" s="53"/>
      <c r="P16" s="117" t="n">
        <f aca="false">$D$16-$J$16</f>
        <v>13581979</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14715654.9405</v>
      </c>
      <c r="E19" s="117"/>
      <c r="F19" s="117"/>
      <c r="G19" s="53" t="s">
        <v>1506</v>
      </c>
      <c r="H19" s="53"/>
      <c r="I19" s="53"/>
      <c r="J19" s="117" t="n">
        <f aca="false">$Q$41</f>
        <v>13022068.497</v>
      </c>
      <c r="K19" s="117"/>
      <c r="L19" s="117"/>
      <c r="M19" s="53" t="s">
        <v>1507</v>
      </c>
      <c r="N19" s="53"/>
      <c r="O19" s="53"/>
      <c r="P19" s="117" t="n">
        <f aca="false">$R$41</f>
        <v>13927161</v>
      </c>
      <c r="Q19" s="117"/>
      <c r="R19" s="117"/>
      <c r="S19" s="5"/>
      <c r="T19" s="5"/>
    </row>
    <row r="20" customFormat="false" ht="15.75" hidden="false" customHeight="true" outlineLevel="0" collapsed="false">
      <c r="A20" s="53" t="s">
        <v>1508</v>
      </c>
      <c r="B20" s="53"/>
      <c r="C20" s="53"/>
      <c r="D20" s="117" t="n">
        <f aca="false">$S$41</f>
        <v>41184584</v>
      </c>
      <c r="E20" s="117"/>
      <c r="F20" s="117"/>
      <c r="G20" s="53" t="s">
        <v>1509</v>
      </c>
      <c r="H20" s="53"/>
      <c r="I20" s="53"/>
      <c r="J20" s="117" t="n">
        <f aca="false">$J$19-$D$19</f>
        <v>-1693586.4435</v>
      </c>
      <c r="K20" s="117"/>
      <c r="L20" s="117"/>
      <c r="M20" s="53" t="s">
        <v>1510</v>
      </c>
      <c r="N20" s="53"/>
      <c r="O20" s="53"/>
      <c r="P20" s="117" t="n">
        <f aca="false">$J$19-$P$19</f>
        <v>-905092.503000001</v>
      </c>
      <c r="Q20" s="117"/>
      <c r="R20" s="117"/>
      <c r="S20" s="5"/>
      <c r="T20" s="5"/>
    </row>
    <row r="21" customFormat="false" ht="15.75" hidden="false" customHeight="true" outlineLevel="0" collapsed="false">
      <c r="A21" s="53" t="s">
        <v>1511</v>
      </c>
      <c r="B21" s="53"/>
      <c r="C21" s="53"/>
      <c r="D21" s="120" t="n">
        <f aca="false">IF($D$19&lt;=0,1,$J$19/$D$19)</f>
        <v>0.884912601556118</v>
      </c>
      <c r="E21" s="120"/>
      <c r="F21" s="120"/>
      <c r="G21" s="53" t="s">
        <v>1512</v>
      </c>
      <c r="H21" s="53"/>
      <c r="I21" s="53"/>
      <c r="J21" s="120" t="n">
        <f aca="false">IF($P$19&lt;=0,1,$J$19/$P$19)</f>
        <v>0.935012419042187</v>
      </c>
      <c r="K21" s="120"/>
      <c r="L21" s="120"/>
      <c r="M21" s="53" t="s">
        <v>344</v>
      </c>
      <c r="N21" s="53"/>
      <c r="O21" s="53"/>
      <c r="P21" s="121" t="n">
        <f aca="false">IF($J$16=0,0,$J$19/$J$16)</f>
        <v>0.1511160935565</v>
      </c>
      <c r="Q21" s="121"/>
      <c r="R21" s="121"/>
      <c r="S21" s="5"/>
      <c r="T21" s="5"/>
    </row>
    <row r="22" customFormat="false" ht="15.75" hidden="false" customHeight="true" outlineLevel="0" collapsed="false">
      <c r="A22" s="53" t="s">
        <v>1513</v>
      </c>
      <c r="B22" s="53"/>
      <c r="C22" s="53"/>
      <c r="D22" s="117" t="n">
        <f aca="false">IF($J$21&lt;=0,$J$16,$J$16/$J$21)</f>
        <v>92161997.2580407</v>
      </c>
      <c r="E22" s="117"/>
      <c r="F22" s="117"/>
      <c r="G22" s="53" t="s">
        <v>1514</v>
      </c>
      <c r="H22" s="53"/>
      <c r="I22" s="53"/>
      <c r="J22" s="117" t="n">
        <f aca="false">$J$16-$D$22</f>
        <v>-5989385.25804068</v>
      </c>
      <c r="K22" s="117"/>
      <c r="L22" s="117"/>
      <c r="M22" s="53" t="s">
        <v>1515</v>
      </c>
      <c r="N22" s="53"/>
      <c r="O22" s="53"/>
      <c r="P22" s="117" t="n">
        <f aca="false">$D$22-$P$19</f>
        <v>78234836.2580407</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46173</v>
      </c>
      <c r="E27" s="169" t="n">
        <v>46234</v>
      </c>
      <c r="F27" s="92" t="n">
        <v>3877768</v>
      </c>
      <c r="G27" s="184" t="n">
        <v>1</v>
      </c>
      <c r="H27" s="184" t="n">
        <v>0.9608</v>
      </c>
      <c r="I27" s="31" t="n">
        <f aca="false">$F27*$G27</f>
        <v>3877768</v>
      </c>
      <c r="J27" s="31" t="n">
        <f aca="false">$F27*$H27</f>
        <v>3725759.4944</v>
      </c>
      <c r="K27" s="92" t="n">
        <v>3861092</v>
      </c>
      <c r="L27" s="92" t="n">
        <v>3877768</v>
      </c>
      <c r="M27" s="152" t="n">
        <f aca="false">IF($I27&lt;=0,1,$J27/$I27)</f>
        <v>0.9608</v>
      </c>
      <c r="N27" s="152" t="n">
        <f aca="false">IF($K27&lt;=0,1,$J27/$K27)</f>
        <v>0.964949681178278</v>
      </c>
      <c r="O27" s="93" t="s">
        <v>1520</v>
      </c>
      <c r="P27" s="46" t="str">
        <f aca="false">IF(AND($M27&gt;=0.95,$N27&gt;=0.95),"Green",IF(OR($M27&lt;0.85,$N27&lt;0.85),"Red","Amber"))</f>
        <v>Green</v>
      </c>
      <c r="Q27" s="31" t="n">
        <f aca="false">MAX(0,$E27-$D27)</f>
        <v>61</v>
      </c>
      <c r="R27" s="5"/>
      <c r="S27" s="5"/>
      <c r="T27" s="5"/>
    </row>
    <row r="28" customFormat="false" ht="13.5" hidden="false" customHeight="true" outlineLevel="0" collapsed="false">
      <c r="A28" s="47" t="s">
        <v>486</v>
      </c>
      <c r="B28" s="37" t="s">
        <v>487</v>
      </c>
      <c r="C28" s="37" t="s">
        <v>483</v>
      </c>
      <c r="D28" s="96" t="n">
        <v>46660</v>
      </c>
      <c r="E28" s="96" t="n">
        <v>46721</v>
      </c>
      <c r="F28" s="99" t="n">
        <v>6462946</v>
      </c>
      <c r="G28" s="102" t="n">
        <v>0.2778</v>
      </c>
      <c r="H28" s="102" t="n">
        <v>0.2518</v>
      </c>
      <c r="I28" s="49" t="n">
        <f aca="false">$F28*$G28</f>
        <v>1795406.3988</v>
      </c>
      <c r="J28" s="49" t="n">
        <f aca="false">$F28*$H28</f>
        <v>1627369.8028</v>
      </c>
      <c r="K28" s="99" t="n">
        <v>1754497</v>
      </c>
      <c r="L28" s="99" t="n">
        <v>5816651</v>
      </c>
      <c r="M28" s="157" t="n">
        <f aca="false">IF($I28&lt;=0,1,$J28/$I28)</f>
        <v>0.906407487401008</v>
      </c>
      <c r="N28" s="157" t="n">
        <f aca="false">IF($K28&lt;=0,1,$J28/$K28)</f>
        <v>0.927542083457538</v>
      </c>
      <c r="O28" s="103" t="s">
        <v>1520</v>
      </c>
      <c r="P28" s="52" t="str">
        <f aca="false">IF(AND($M28&gt;=0.95,$N28&gt;=0.95),"Green",IF(OR($M28&lt;0.85,$N28&lt;0.85),"Red","Amber"))</f>
        <v>Amber</v>
      </c>
      <c r="Q28" s="49" t="n">
        <f aca="false">MAX(0,$E28-$D28)</f>
        <v>61</v>
      </c>
      <c r="R28" s="5"/>
      <c r="S28" s="5"/>
      <c r="T28" s="5"/>
    </row>
    <row r="29" customFormat="false" ht="13.5" hidden="false" customHeight="true" outlineLevel="0" collapsed="false">
      <c r="A29" s="42" t="s">
        <v>490</v>
      </c>
      <c r="B29" s="30" t="s">
        <v>491</v>
      </c>
      <c r="C29" s="30" t="s">
        <v>492</v>
      </c>
      <c r="D29" s="169" t="n">
        <v>46356</v>
      </c>
      <c r="E29" s="169" t="n">
        <v>46418</v>
      </c>
      <c r="F29" s="92" t="n">
        <v>4739494</v>
      </c>
      <c r="G29" s="184" t="n">
        <v>0.6727</v>
      </c>
      <c r="H29" s="184" t="n">
        <v>0.5366</v>
      </c>
      <c r="I29" s="31" t="n">
        <f aca="false">$F29*$G29</f>
        <v>3188257.6138</v>
      </c>
      <c r="J29" s="31" t="n">
        <f aca="false">$F29*$H29</f>
        <v>2543212.4804</v>
      </c>
      <c r="K29" s="92" t="n">
        <v>2887803</v>
      </c>
      <c r="L29" s="92" t="n">
        <v>4028570</v>
      </c>
      <c r="M29" s="152" t="n">
        <f aca="false">IF($I29&lt;=0,1,$J29/$I29)</f>
        <v>0.797680987067043</v>
      </c>
      <c r="N29" s="152" t="n">
        <f aca="false">IF($K29&lt;=0,1,$J29/$K29)</f>
        <v>0.880673813414558</v>
      </c>
      <c r="O29" s="93" t="s">
        <v>292</v>
      </c>
      <c r="P29" s="46" t="str">
        <f aca="false">IF(AND($M29&gt;=0.95,$N29&gt;=0.95),"Green",IF(OR($M29&lt;0.85,$N29&lt;0.85),"Red","Amber"))</f>
        <v>Red</v>
      </c>
      <c r="Q29" s="31" t="n">
        <f aca="false">MAX(0,$E29-$D29)</f>
        <v>62</v>
      </c>
      <c r="R29" s="5"/>
      <c r="S29" s="5"/>
      <c r="T29" s="5"/>
    </row>
    <row r="30" customFormat="false" ht="13.5" hidden="false" customHeight="true" outlineLevel="0" collapsed="false">
      <c r="A30" s="47" t="s">
        <v>495</v>
      </c>
      <c r="B30" s="37" t="s">
        <v>496</v>
      </c>
      <c r="C30" s="37" t="s">
        <v>497</v>
      </c>
      <c r="D30" s="96" t="n">
        <v>46418</v>
      </c>
      <c r="E30" s="96" t="n">
        <v>46477</v>
      </c>
      <c r="F30" s="99" t="n">
        <v>15941933</v>
      </c>
      <c r="G30" s="102" t="n">
        <v>0.2894</v>
      </c>
      <c r="H30" s="102" t="n">
        <v>0.2492</v>
      </c>
      <c r="I30" s="49" t="n">
        <f aca="false">$F30*$G30</f>
        <v>4613595.4102</v>
      </c>
      <c r="J30" s="49" t="n">
        <f aca="false">$F30*$H30</f>
        <v>3972729.7036</v>
      </c>
      <c r="K30" s="99" t="n">
        <v>4156845</v>
      </c>
      <c r="L30" s="99" t="n">
        <v>9883998</v>
      </c>
      <c r="M30" s="157" t="n">
        <f aca="false">IF($I30&lt;=0,1,$J30/$I30)</f>
        <v>0.86109191430546</v>
      </c>
      <c r="N30" s="157" t="n">
        <f aca="false">IF($K30&lt;=0,1,$J30/$K30)</f>
        <v>0.955707923581466</v>
      </c>
      <c r="O30" s="103" t="s">
        <v>1520</v>
      </c>
      <c r="P30" s="52" t="str">
        <f aca="false">IF(AND($M30&gt;=0.95,$N30&gt;=0.95),"Green",IF(OR($M30&lt;0.85,$N30&lt;0.85),"Red","Amber"))</f>
        <v>Amber</v>
      </c>
      <c r="Q30" s="49" t="n">
        <f aca="false">MAX(0,$E30-$D30)</f>
        <v>59</v>
      </c>
      <c r="R30" s="5"/>
      <c r="S30" s="5"/>
      <c r="T30" s="5"/>
    </row>
    <row r="31" customFormat="false" ht="13.5" hidden="false" customHeight="true" outlineLevel="0" collapsed="false">
      <c r="A31" s="42" t="s">
        <v>498</v>
      </c>
      <c r="B31" s="30" t="s">
        <v>499</v>
      </c>
      <c r="C31" s="30" t="s">
        <v>500</v>
      </c>
      <c r="D31" s="169" t="n">
        <v>46538</v>
      </c>
      <c r="E31" s="169" t="n">
        <v>46599</v>
      </c>
      <c r="F31" s="92" t="n">
        <v>21112289</v>
      </c>
      <c r="G31" s="184" t="n">
        <v>0.0461</v>
      </c>
      <c r="H31" s="184" t="n">
        <v>0.0434</v>
      </c>
      <c r="I31" s="31" t="n">
        <f aca="false">$F31*$G31</f>
        <v>973276.5229</v>
      </c>
      <c r="J31" s="31" t="n">
        <f aca="false">$F31*$H31</f>
        <v>916273.3426</v>
      </c>
      <c r="K31" s="92" t="n">
        <v>1008633</v>
      </c>
      <c r="L31" s="92" t="n">
        <v>9500530</v>
      </c>
      <c r="M31" s="152" t="n">
        <f aca="false">IF($I31&lt;=0,1,$J31/$I31)</f>
        <v>0.941431670281996</v>
      </c>
      <c r="N31" s="152" t="n">
        <f aca="false">IF($K31&lt;=0,1,$J31/$K31)</f>
        <v>0.908430858994302</v>
      </c>
      <c r="O31" s="93" t="s">
        <v>1520</v>
      </c>
      <c r="P31" s="46" t="str">
        <f aca="false">IF(AND($M31&gt;=0.95,$N31&gt;=0.95),"Green",IF(OR($M31&lt;0.85,$N31&lt;0.85),"Red","Amber"))</f>
        <v>Amber</v>
      </c>
      <c r="Q31" s="31" t="n">
        <f aca="false">MAX(0,$E31-$D31)</f>
        <v>61</v>
      </c>
      <c r="R31" s="5"/>
      <c r="S31" s="5"/>
      <c r="T31" s="5"/>
    </row>
    <row r="32" customFormat="false" ht="13.5" hidden="false" customHeight="true" outlineLevel="0" collapsed="false">
      <c r="A32" s="47" t="s">
        <v>501</v>
      </c>
      <c r="B32" s="37" t="s">
        <v>502</v>
      </c>
      <c r="C32" s="37" t="s">
        <v>503</v>
      </c>
      <c r="D32" s="96" t="n">
        <v>46599</v>
      </c>
      <c r="E32" s="96" t="n">
        <v>46660</v>
      </c>
      <c r="F32" s="99" t="n">
        <v>15941933</v>
      </c>
      <c r="G32" s="102" t="n">
        <v>0</v>
      </c>
      <c r="H32" s="102" t="n">
        <v>0</v>
      </c>
      <c r="I32" s="49" t="n">
        <f aca="false">$F32*$G32</f>
        <v>0</v>
      </c>
      <c r="J32" s="49" t="n">
        <f aca="false">$F32*$H32</f>
        <v>0</v>
      </c>
      <c r="K32" s="99" t="n">
        <v>0</v>
      </c>
      <c r="L32" s="99" t="n">
        <v>4782580</v>
      </c>
      <c r="M32" s="157" t="n">
        <f aca="false">IF($I32&lt;=0,1,$J32/$I32)</f>
        <v>1</v>
      </c>
      <c r="N32" s="157" t="n">
        <f aca="false">IF($K32&lt;=0,1,$J32/$K32)</f>
        <v>1</v>
      </c>
      <c r="O32" s="103" t="s">
        <v>1521</v>
      </c>
      <c r="P32" s="52" t="str">
        <f aca="false">IF(AND($M32&gt;=0.95,$N32&gt;=0.95),"Green",IF(OR($M32&lt;0.85,$N32&lt;0.85),"Red","Amber"))</f>
        <v>Green</v>
      </c>
      <c r="Q32" s="49" t="n">
        <f aca="false">MAX(0,$E32-$D32)</f>
        <v>61</v>
      </c>
      <c r="R32" s="5"/>
      <c r="S32" s="5"/>
      <c r="T32" s="5"/>
    </row>
    <row r="33" customFormat="false" ht="13.5" hidden="false" customHeight="true" outlineLevel="0" collapsed="false">
      <c r="A33" s="42" t="s">
        <v>506</v>
      </c>
      <c r="B33" s="30" t="s">
        <v>507</v>
      </c>
      <c r="C33" s="30" t="s">
        <v>508</v>
      </c>
      <c r="D33" s="169" t="n">
        <v>46630</v>
      </c>
      <c r="E33" s="169" t="n">
        <v>46691</v>
      </c>
      <c r="F33" s="92" t="n">
        <v>11633303</v>
      </c>
      <c r="G33" s="184" t="n">
        <v>0</v>
      </c>
      <c r="H33" s="184" t="n">
        <v>0</v>
      </c>
      <c r="I33" s="31" t="n">
        <f aca="false">$F33*$G33</f>
        <v>0</v>
      </c>
      <c r="J33" s="31" t="n">
        <f aca="false">$F33*$H33</f>
        <v>0</v>
      </c>
      <c r="K33" s="92" t="n">
        <v>0</v>
      </c>
      <c r="L33" s="92" t="n">
        <v>2093995</v>
      </c>
      <c r="M33" s="152" t="n">
        <f aca="false">IF($I33&lt;=0,1,$J33/$I33)</f>
        <v>1</v>
      </c>
      <c r="N33" s="152" t="n">
        <f aca="false">IF($K33&lt;=0,1,$J33/$K33)</f>
        <v>1</v>
      </c>
      <c r="O33" s="93" t="s">
        <v>1521</v>
      </c>
      <c r="P33" s="46" t="str">
        <f aca="false">IF(AND($M33&gt;=0.95,$N33&gt;=0.95),"Green",IF(OR($M33&lt;0.85,$N33&lt;0.85),"Red","Amber"))</f>
        <v>Green</v>
      </c>
      <c r="Q33" s="31" t="n">
        <f aca="false">MAX(0,$E33-$D33)</f>
        <v>61</v>
      </c>
      <c r="R33" s="5"/>
      <c r="S33" s="5"/>
      <c r="T33" s="5"/>
    </row>
    <row r="34" customFormat="false" ht="13.5" hidden="false" customHeight="true" outlineLevel="0" collapsed="false">
      <c r="A34" s="47" t="s">
        <v>511</v>
      </c>
      <c r="B34" s="37" t="s">
        <v>512</v>
      </c>
      <c r="C34" s="37" t="s">
        <v>513</v>
      </c>
      <c r="D34" s="96" t="n">
        <v>46660</v>
      </c>
      <c r="E34" s="96" t="n">
        <v>46721</v>
      </c>
      <c r="F34" s="99" t="n">
        <v>6462946</v>
      </c>
      <c r="G34" s="102" t="n">
        <v>0</v>
      </c>
      <c r="H34" s="102" t="n">
        <v>0</v>
      </c>
      <c r="I34" s="49" t="n">
        <f aca="false">$F34*$G34</f>
        <v>0</v>
      </c>
      <c r="J34" s="49" t="n">
        <f aca="false">$F34*$H34</f>
        <v>0</v>
      </c>
      <c r="K34" s="99" t="n">
        <v>0</v>
      </c>
      <c r="L34" s="99" t="n">
        <v>323147</v>
      </c>
      <c r="M34" s="157" t="n">
        <f aca="false">IF($I34&lt;=0,1,$J34/$I34)</f>
        <v>1</v>
      </c>
      <c r="N34" s="157" t="n">
        <f aca="false">IF($K34&lt;=0,1,$J34/$K34)</f>
        <v>1</v>
      </c>
      <c r="O34" s="103" t="s">
        <v>1521</v>
      </c>
      <c r="P34" s="52" t="str">
        <f aca="false">IF(AND($M34&gt;=0.95,$N34&gt;=0.95),"Green",IF(OR($M34&lt;0.85,$N34&lt;0.85),"Red","Amber"))</f>
        <v>Green</v>
      </c>
      <c r="Q34" s="49" t="n">
        <f aca="false">MAX(0,$E34-$D34)</f>
        <v>61</v>
      </c>
      <c r="R34" s="5"/>
      <c r="S34" s="5"/>
      <c r="T34" s="5"/>
    </row>
    <row r="35" customFormat="false" ht="13.5" hidden="false" customHeight="true" outlineLevel="0" collapsed="false">
      <c r="A35" s="42" t="s">
        <v>516</v>
      </c>
      <c r="B35" s="30" t="s">
        <v>517</v>
      </c>
      <c r="C35" s="30" t="s">
        <v>518</v>
      </c>
      <c r="D35" s="169" t="n">
        <v>46630</v>
      </c>
      <c r="E35" s="169" t="n">
        <v>46660</v>
      </c>
      <c r="F35" s="158" t="n">
        <f aca="false">$T$8</f>
        <v>1595173</v>
      </c>
      <c r="G35" s="184" t="n">
        <v>0.1676</v>
      </c>
      <c r="H35" s="184" t="n">
        <v>0.1484</v>
      </c>
      <c r="I35" s="31" t="n">
        <f aca="false">$F35*$G35</f>
        <v>267350.9948</v>
      </c>
      <c r="J35" s="31" t="n">
        <f aca="false">$F35*$H35</f>
        <v>236723.6732</v>
      </c>
      <c r="K35" s="92" t="n">
        <v>258291</v>
      </c>
      <c r="L35" s="92" t="n">
        <v>877345</v>
      </c>
      <c r="M35" s="152" t="n">
        <f aca="false">IF($I35&lt;=0,1,$J35/$I35)</f>
        <v>0.885441527446301</v>
      </c>
      <c r="N35" s="152" t="n">
        <f aca="false">IF($K35&lt;=0,1,$J35/$K35)</f>
        <v>0.916499890433658</v>
      </c>
      <c r="O35" s="93" t="s">
        <v>1520</v>
      </c>
      <c r="P35" s="46" t="str">
        <f aca="false">IF(AND($M35&gt;=0.95,$N35&gt;=0.95),"Green",IF(OR($M35&lt;0.85,$N35&lt;0.85),"Red","Amber"))</f>
        <v>Amber</v>
      </c>
      <c r="Q35" s="31" t="n">
        <f aca="false">MAX(0,$E35-$D35)</f>
        <v>30</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87767785</v>
      </c>
      <c r="G41" s="104" t="n">
        <f aca="false">IF($F41=0,0,$I41/$F41)</f>
        <v>0.167665789224372</v>
      </c>
      <c r="H41" s="104" t="n">
        <f aca="false">IF($F41=0,0,$J41/$F41)</f>
        <v>0.148369569734499</v>
      </c>
      <c r="I41" s="28" t="n">
        <f aca="false">SUM($I$27:$I$35)</f>
        <v>14715654.9405</v>
      </c>
      <c r="J41" s="28" t="n">
        <f aca="false">SUM($J$27:$J$35)</f>
        <v>13022068.497</v>
      </c>
      <c r="K41" s="28" t="n">
        <f aca="false">SUM($K$27:$K$35)</f>
        <v>13927161</v>
      </c>
      <c r="L41" s="28" t="n">
        <f aca="false">SUM($L$27:$L$35)</f>
        <v>41184584</v>
      </c>
      <c r="M41" s="29" t="n">
        <f aca="false">IF($I41&lt;=0,1,$J41/$I41)</f>
        <v>0.884912601556118</v>
      </c>
      <c r="N41" s="29" t="n">
        <f aca="false">IF($K41&lt;=0,1,$J41/$K41)</f>
        <v>0.935012419042187</v>
      </c>
      <c r="O41" s="105"/>
      <c r="P41" s="234" t="n">
        <f aca="false">$I41</f>
        <v>14715654.9405</v>
      </c>
      <c r="Q41" s="234" t="n">
        <f aca="false">$J41</f>
        <v>13022068.497</v>
      </c>
      <c r="R41" s="147" t="n">
        <f aca="false">$K41</f>
        <v>13927161</v>
      </c>
      <c r="S41" s="147" t="n">
        <f aca="false">$L41</f>
        <v>41184584</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6032083</v>
      </c>
      <c r="F47" s="92" t="n">
        <v>0</v>
      </c>
      <c r="G47" s="92" t="n">
        <v>1337463</v>
      </c>
      <c r="H47" s="92" t="n">
        <v>3023043</v>
      </c>
      <c r="I47" s="31" t="n">
        <f aca="false">($E47+$F47)*1.012</f>
        <v>6104467.996</v>
      </c>
      <c r="J47" s="87" t="n">
        <f aca="false">IF(($E47+$F47)=0,0,(($E47+$F47)-$I47)/($E47+$F47))</f>
        <v>-0.012</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5342702</v>
      </c>
      <c r="F48" s="99" t="n">
        <v>0</v>
      </c>
      <c r="G48" s="99" t="n">
        <v>1136843</v>
      </c>
      <c r="H48" s="99" t="n">
        <v>2418434</v>
      </c>
      <c r="I48" s="49" t="n">
        <f aca="false">($E48+$F48)*1.012</f>
        <v>5406814.424</v>
      </c>
      <c r="J48" s="100" t="n">
        <f aca="false">IF(($E48+$F48)=0,0,(($E48+$F48)-$I48)/($E48+$F48))</f>
        <v>-0.0119999999999999</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4308631</v>
      </c>
      <c r="F49" s="92" t="n">
        <v>0</v>
      </c>
      <c r="G49" s="92" t="n">
        <v>294242</v>
      </c>
      <c r="H49" s="92" t="n">
        <v>1813826</v>
      </c>
      <c r="I49" s="31" t="n">
        <f aca="false">($E49+$F49)*1.012</f>
        <v>4360334.572</v>
      </c>
      <c r="J49" s="87" t="n">
        <f aca="false">IF(($E49+$F49)=0,0,(($E49+$F49)-$I49)/($E49+$F49))</f>
        <v>-0.0119999999999999</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6462946</v>
      </c>
      <c r="F50" s="99" t="n">
        <v>0</v>
      </c>
      <c r="G50" s="99" t="n">
        <v>829227</v>
      </c>
      <c r="H50" s="99" t="n">
        <v>2216898</v>
      </c>
      <c r="I50" s="49" t="n">
        <f aca="false">($E50+$F50)*1.012</f>
        <v>6540501.352</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36192497</v>
      </c>
      <c r="F51" s="92" t="n">
        <v>0</v>
      </c>
      <c r="G51" s="92" t="n">
        <v>6954807</v>
      </c>
      <c r="H51" s="92" t="n">
        <v>18944402</v>
      </c>
      <c r="I51" s="31" t="n">
        <f aca="false">($E51+$F51)*1.012</f>
        <v>36626806.964</v>
      </c>
      <c r="J51" s="87" t="n">
        <f aca="false">IF(($E51+$F51)=0,0,(($E51+$F51)-$I51)/($E51+$F51))</f>
        <v>-0.012</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17234522</v>
      </c>
      <c r="F52" s="99" t="n">
        <v>0</v>
      </c>
      <c r="G52" s="99" t="n">
        <v>2006194</v>
      </c>
      <c r="H52" s="99" t="n">
        <v>8666056</v>
      </c>
      <c r="I52" s="49" t="n">
        <f aca="false">($E52+$F52)*1.012</f>
        <v>17441336.264</v>
      </c>
      <c r="J52" s="100" t="n">
        <f aca="false">IF(($E52+$F52)=0,0,(($E52+$F52)-$I52)/($E52+$F52))</f>
        <v>-0.0119999999999999</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3877768</v>
      </c>
      <c r="F53" s="92" t="n">
        <v>0</v>
      </c>
      <c r="G53" s="92" t="n">
        <v>508236</v>
      </c>
      <c r="H53" s="92" t="n">
        <v>1612290</v>
      </c>
      <c r="I53" s="31" t="n">
        <f aca="false">($E53+$F53)*1.012</f>
        <v>3924301.216</v>
      </c>
      <c r="J53" s="87" t="n">
        <f aca="false">IF(($E53+$F53)=0,0,(($E53+$F53)-$I53)/($E53+$F53))</f>
        <v>-0.012</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1895797</v>
      </c>
      <c r="F54" s="99" t="n">
        <v>0</v>
      </c>
      <c r="G54" s="99" t="n">
        <v>294242</v>
      </c>
      <c r="H54" s="99" t="n">
        <v>806145</v>
      </c>
      <c r="I54" s="49" t="n">
        <f aca="false">($E54+$F54)*1.012</f>
        <v>1918546.564</v>
      </c>
      <c r="J54" s="100" t="n">
        <f aca="false">IF(($E54+$F54)=0,0,(($E54+$F54)-$I54)/($E54+$F54))</f>
        <v>-0.012</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2240488</v>
      </c>
      <c r="F55" s="92" t="n">
        <v>0</v>
      </c>
      <c r="G55" s="92" t="n">
        <v>307616</v>
      </c>
      <c r="H55" s="92" t="n">
        <v>806145</v>
      </c>
      <c r="I55" s="31" t="n">
        <f aca="false">($E55+$F55)*1.012</f>
        <v>2267373.856</v>
      </c>
      <c r="J55" s="87" t="n">
        <f aca="false">IF(($E55+$F55)=0,0,(($E55+$F55)-$I55)/($E55+$F55))</f>
        <v>-0.0120000000000001</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2585178</v>
      </c>
      <c r="F56" s="99" t="n">
        <v>0</v>
      </c>
      <c r="G56" s="99" t="n">
        <v>0</v>
      </c>
      <c r="H56" s="99" t="n">
        <v>0</v>
      </c>
      <c r="I56" s="49" t="n">
        <f aca="false">($E56+$F56)*1.012</f>
        <v>2616200.136</v>
      </c>
      <c r="J56" s="100" t="n">
        <f aca="false">IF(($E56+$F56)=0,0,(($E56+$F56)-$I56)/($E56+$F56))</f>
        <v>-0.012</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1595173</v>
      </c>
      <c r="G57" s="92" t="n">
        <v>258291</v>
      </c>
      <c r="H57" s="92" t="n">
        <v>877345</v>
      </c>
      <c r="I57" s="31" t="n">
        <f aca="false">($E57+$F57)*1.012</f>
        <v>1614315.076</v>
      </c>
      <c r="J57" s="87" t="n">
        <f aca="false">IF(($E57+$F57)=0,0,(($E57+$F57)-$I57)/($E57+$F57))</f>
        <v>-0.0120000000000001</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86172612</v>
      </c>
      <c r="F58" s="28" t="n">
        <f aca="false">SUM($F$47:$F$57)</f>
        <v>1595173</v>
      </c>
      <c r="G58" s="28" t="n">
        <f aca="false">SUM($G$47:$G$57)</f>
        <v>13927161</v>
      </c>
      <c r="H58" s="28" t="n">
        <f aca="false">SUM($H$47:$H$57)</f>
        <v>41184584</v>
      </c>
      <c r="I58" s="28" t="n">
        <f aca="false">SUM($I$47:$I$57)</f>
        <v>88820998.42</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670</v>
      </c>
      <c r="B63" s="30" t="s">
        <v>778</v>
      </c>
      <c r="C63" s="30"/>
      <c r="D63" s="30"/>
      <c r="E63" s="45" t="s">
        <v>779</v>
      </c>
      <c r="F63" s="92" t="n">
        <v>1321966</v>
      </c>
      <c r="G63" s="92" t="n">
        <v>1136891</v>
      </c>
      <c r="H63" s="92" t="n">
        <v>0</v>
      </c>
      <c r="I63" s="93" t="s">
        <v>1536</v>
      </c>
      <c r="J63" s="45" t="s">
        <v>666</v>
      </c>
      <c r="K63" s="5"/>
      <c r="L63" s="5"/>
      <c r="M63" s="5"/>
      <c r="N63" s="5"/>
      <c r="O63" s="5"/>
      <c r="P63" s="5"/>
      <c r="Q63" s="5"/>
      <c r="R63" s="5"/>
      <c r="S63" s="5"/>
      <c r="T63" s="5"/>
    </row>
    <row r="64" customFormat="false" ht="13.5" hidden="false" customHeight="true" outlineLevel="0" collapsed="false">
      <c r="A64" s="47" t="s">
        <v>677</v>
      </c>
      <c r="B64" s="37" t="s">
        <v>781</v>
      </c>
      <c r="C64" s="37"/>
      <c r="D64" s="37"/>
      <c r="E64" s="51" t="s">
        <v>674</v>
      </c>
      <c r="F64" s="99" t="n">
        <v>509202</v>
      </c>
      <c r="G64" s="99" t="n">
        <v>458282</v>
      </c>
      <c r="H64" s="99" t="n">
        <v>7</v>
      </c>
      <c r="I64" s="103" t="s">
        <v>1536</v>
      </c>
      <c r="J64" s="51" t="s">
        <v>672</v>
      </c>
      <c r="K64" s="5"/>
      <c r="L64" s="5"/>
      <c r="M64" s="5"/>
      <c r="N64" s="5"/>
      <c r="O64" s="5"/>
      <c r="P64" s="5"/>
      <c r="Q64" s="5"/>
      <c r="R64" s="5"/>
      <c r="S64" s="5"/>
      <c r="T64" s="5"/>
    </row>
    <row r="65" customFormat="false" ht="13.5" hidden="false" customHeight="true" outlineLevel="0" collapsed="false">
      <c r="A65" s="42" t="s">
        <v>683</v>
      </c>
      <c r="B65" s="30" t="s">
        <v>782</v>
      </c>
      <c r="C65" s="30"/>
      <c r="D65" s="30"/>
      <c r="E65" s="45" t="s">
        <v>783</v>
      </c>
      <c r="F65" s="92" t="n">
        <v>1938884</v>
      </c>
      <c r="G65" s="92" t="n">
        <v>1686829</v>
      </c>
      <c r="H65" s="92" t="n">
        <v>21</v>
      </c>
      <c r="I65" s="93" t="s">
        <v>1537</v>
      </c>
      <c r="J65" s="45" t="s">
        <v>679</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666</v>
      </c>
      <c r="B68" s="30" t="s">
        <v>668</v>
      </c>
      <c r="C68" s="30"/>
      <c r="D68" s="30"/>
      <c r="E68" s="45" t="s">
        <v>95</v>
      </c>
      <c r="F68" s="92" t="n">
        <v>1136891</v>
      </c>
      <c r="G68" s="92" t="n">
        <v>0</v>
      </c>
      <c r="H68" s="93" t="s">
        <v>1539</v>
      </c>
      <c r="I68" s="45" t="s">
        <v>670</v>
      </c>
      <c r="J68" s="5"/>
      <c r="K68" s="5"/>
      <c r="L68" s="5"/>
      <c r="M68" s="5"/>
      <c r="N68" s="5"/>
      <c r="O68" s="5"/>
      <c r="P68" s="5"/>
      <c r="Q68" s="5"/>
      <c r="R68" s="5"/>
      <c r="S68" s="5"/>
      <c r="T68" s="5"/>
    </row>
    <row r="69" customFormat="false" ht="13.5" hidden="false" customHeight="true" outlineLevel="0" collapsed="false">
      <c r="A69" s="47" t="s">
        <v>672</v>
      </c>
      <c r="B69" s="37" t="s">
        <v>675</v>
      </c>
      <c r="C69" s="37"/>
      <c r="D69" s="37"/>
      <c r="E69" s="51" t="s">
        <v>674</v>
      </c>
      <c r="F69" s="99" t="n">
        <v>458282</v>
      </c>
      <c r="G69" s="99" t="n">
        <v>7</v>
      </c>
      <c r="H69" s="103" t="s">
        <v>1539</v>
      </c>
      <c r="I69" s="51" t="s">
        <v>677</v>
      </c>
      <c r="J69" s="5"/>
      <c r="K69" s="5"/>
      <c r="L69" s="5"/>
      <c r="M69" s="5"/>
      <c r="N69" s="5"/>
      <c r="O69" s="5"/>
      <c r="P69" s="5"/>
      <c r="Q69" s="5"/>
      <c r="R69" s="5"/>
      <c r="S69" s="5"/>
      <c r="T69" s="5"/>
    </row>
    <row r="70" customFormat="false" ht="13.5" hidden="false" customHeight="true" outlineLevel="0" collapsed="false">
      <c r="A70" s="42" t="s">
        <v>679</v>
      </c>
      <c r="B70" s="30" t="s">
        <v>681</v>
      </c>
      <c r="C70" s="30"/>
      <c r="D70" s="30"/>
      <c r="E70" s="45" t="s">
        <v>356</v>
      </c>
      <c r="F70" s="92" t="n">
        <v>1686829</v>
      </c>
      <c r="G70" s="92" t="n">
        <v>21</v>
      </c>
      <c r="H70" s="93" t="s">
        <v>1540</v>
      </c>
      <c r="I70" s="45" t="s">
        <v>683</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822</v>
      </c>
      <c r="B75" s="30" t="s">
        <v>823</v>
      </c>
      <c r="C75" s="30"/>
      <c r="D75" s="30"/>
      <c r="E75" s="30" t="s">
        <v>824</v>
      </c>
      <c r="F75" s="92" t="n">
        <v>14198896</v>
      </c>
      <c r="G75" s="92" t="n">
        <v>14198896</v>
      </c>
      <c r="H75" s="169" t="n">
        <v>46177</v>
      </c>
      <c r="I75" s="169"/>
      <c r="J75" s="184" t="n">
        <v>0.059</v>
      </c>
      <c r="K75" s="93" t="s">
        <v>1520</v>
      </c>
      <c r="L75" s="5"/>
      <c r="M75" s="5"/>
      <c r="N75" s="5"/>
      <c r="O75" s="5"/>
      <c r="P75" s="5"/>
      <c r="Q75" s="5"/>
      <c r="R75" s="5"/>
      <c r="S75" s="5"/>
      <c r="T75" s="5"/>
    </row>
    <row r="76" customFormat="false" ht="13.5" hidden="false" customHeight="true" outlineLevel="0" collapsed="false">
      <c r="A76" s="47" t="s">
        <v>825</v>
      </c>
      <c r="B76" s="37" t="s">
        <v>826</v>
      </c>
      <c r="C76" s="37"/>
      <c r="D76" s="37"/>
      <c r="E76" s="37" t="s">
        <v>824</v>
      </c>
      <c r="F76" s="99" t="n">
        <v>8323491</v>
      </c>
      <c r="G76" s="99" t="n">
        <v>8323491</v>
      </c>
      <c r="H76" s="96" t="n">
        <v>46200</v>
      </c>
      <c r="I76" s="96"/>
      <c r="J76" s="102" t="n">
        <v>0.059</v>
      </c>
      <c r="K76" s="103" t="s">
        <v>1520</v>
      </c>
      <c r="L76" s="5"/>
      <c r="M76" s="5"/>
      <c r="N76" s="5"/>
      <c r="O76" s="5"/>
      <c r="P76" s="5"/>
      <c r="Q76" s="5"/>
      <c r="R76" s="5"/>
      <c r="S76" s="5"/>
      <c r="T76" s="5"/>
    </row>
    <row r="77" customFormat="false" ht="13.5" hidden="false" customHeight="true" outlineLevel="0" collapsed="false">
      <c r="A77" s="42" t="s">
        <v>827</v>
      </c>
      <c r="B77" s="30" t="s">
        <v>828</v>
      </c>
      <c r="C77" s="30"/>
      <c r="D77" s="30"/>
      <c r="E77" s="30" t="s">
        <v>829</v>
      </c>
      <c r="F77" s="92" t="n">
        <v>5092018</v>
      </c>
      <c r="G77" s="92" t="n">
        <v>0</v>
      </c>
      <c r="H77" s="169"/>
      <c r="I77" s="169" t="n">
        <v>46470</v>
      </c>
      <c r="J77" s="184" t="n">
        <v>0</v>
      </c>
      <c r="K77" s="93" t="s">
        <v>1544</v>
      </c>
      <c r="L77" s="5"/>
      <c r="M77" s="5"/>
      <c r="N77" s="5"/>
      <c r="O77" s="5"/>
      <c r="P77" s="5"/>
      <c r="Q77" s="5"/>
      <c r="R77" s="5"/>
      <c r="S77" s="5"/>
      <c r="T77" s="5"/>
    </row>
    <row r="78" customFormat="false" ht="13.5" hidden="false" customHeight="true" outlineLevel="0" collapsed="false">
      <c r="A78" s="47" t="s">
        <v>830</v>
      </c>
      <c r="B78" s="37" t="s">
        <v>831</v>
      </c>
      <c r="C78" s="37"/>
      <c r="D78" s="37"/>
      <c r="E78" s="37" t="s">
        <v>829</v>
      </c>
      <c r="F78" s="99" t="n">
        <v>6854640</v>
      </c>
      <c r="G78" s="99" t="n">
        <v>0</v>
      </c>
      <c r="H78" s="96"/>
      <c r="I78" s="96"/>
      <c r="J78" s="102" t="n">
        <v>0</v>
      </c>
      <c r="K78" s="103" t="s">
        <v>1544</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2</v>
      </c>
      <c r="F83" s="92" t="n">
        <v>2</v>
      </c>
      <c r="G83" s="87" t="n">
        <f aca="false">IF($E83=0,1,$F83/$E83)</f>
        <v>1</v>
      </c>
      <c r="H83" s="92" t="n">
        <v>1394</v>
      </c>
      <c r="I83" s="92" t="n">
        <v>1340</v>
      </c>
      <c r="J83" s="87" t="n">
        <f aca="false">IF($H83=0,0,$I83/$H83)</f>
        <v>0.961262553802009</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1</v>
      </c>
      <c r="G84" s="100" t="n">
        <f aca="false">IF($E84=0,1,$F84/$E84)</f>
        <v>1</v>
      </c>
      <c r="H84" s="99" t="n">
        <v>650</v>
      </c>
      <c r="I84" s="99" t="n">
        <v>625</v>
      </c>
      <c r="J84" s="100" t="n">
        <f aca="false">IF($H84=0,0,$I84/$H84)</f>
        <v>0.961538461538462</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2</v>
      </c>
      <c r="F85" s="92" t="n">
        <v>2</v>
      </c>
      <c r="G85" s="87" t="n">
        <f aca="false">IF($E85=0,1,$F85/$E85)</f>
        <v>1</v>
      </c>
      <c r="H85" s="92" t="n">
        <v>1994</v>
      </c>
      <c r="I85" s="92" t="n">
        <v>1813</v>
      </c>
      <c r="J85" s="87" t="n">
        <f aca="false">IF($H85=0,0,$I85/$H85)</f>
        <v>0.909227683049148</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7</v>
      </c>
      <c r="F86" s="99" t="n">
        <v>7</v>
      </c>
      <c r="G86" s="100" t="n">
        <f aca="false">IF($E86=0,1,$F86/$E86)</f>
        <v>1</v>
      </c>
      <c r="H86" s="99" t="n">
        <v>6729</v>
      </c>
      <c r="I86" s="99" t="n">
        <v>6117</v>
      </c>
      <c r="J86" s="100" t="n">
        <f aca="false">IF($H86=0,0,$I86/$H86)</f>
        <v>0.909050378956754</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28</v>
      </c>
      <c r="F87" s="92" t="n">
        <v>27</v>
      </c>
      <c r="G87" s="87" t="n">
        <f aca="false">IF($E87=0,1,$F87/$E87)</f>
        <v>0.964285714285714</v>
      </c>
      <c r="H87" s="92" t="n">
        <v>26450</v>
      </c>
      <c r="I87" s="92" t="n">
        <v>24045</v>
      </c>
      <c r="J87" s="87" t="n">
        <f aca="false">IF($H87=0,0,$I87/$H87)</f>
        <v>0.909073724007562</v>
      </c>
      <c r="K87" s="46" t="str">
        <f aca="false">IF(AND($G87&gt;=0.95,$J87&gt;=0.85),"Green",IF(OR($G87&lt;0.8,$J87&lt;0.7),"Red","Amber"))</f>
        <v>Green</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13</v>
      </c>
      <c r="F88" s="99" t="n">
        <v>13</v>
      </c>
      <c r="G88" s="100" t="n">
        <f aca="false">IF($E88=0,1,$F88/$E88)</f>
        <v>1</v>
      </c>
      <c r="H88" s="99" t="n">
        <v>12511</v>
      </c>
      <c r="I88" s="99" t="n">
        <v>11374</v>
      </c>
      <c r="J88" s="100" t="n">
        <f aca="false">IF($H88=0,0,$I88/$H88)</f>
        <v>0.909119974422508</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268</v>
      </c>
      <c r="E91" s="163"/>
      <c r="F91" s="163"/>
      <c r="G91" s="53" t="s">
        <v>1554</v>
      </c>
      <c r="H91" s="53"/>
      <c r="I91" s="53"/>
      <c r="J91" s="163" t="n">
        <v>155</v>
      </c>
      <c r="K91" s="163"/>
      <c r="L91" s="163"/>
      <c r="M91" s="53" t="s">
        <v>1555</v>
      </c>
      <c r="N91" s="53"/>
      <c r="O91" s="53"/>
      <c r="P91" s="163" t="n">
        <v>54</v>
      </c>
      <c r="Q91" s="163"/>
      <c r="R91" s="163"/>
      <c r="S91" s="5"/>
      <c r="T91" s="5"/>
    </row>
    <row r="92" customFormat="false" ht="15.75" hidden="false" customHeight="true" outlineLevel="0" collapsed="false">
      <c r="A92" s="53" t="s">
        <v>1556</v>
      </c>
      <c r="B92" s="53"/>
      <c r="C92" s="53"/>
      <c r="D92" s="163" t="n">
        <v>75</v>
      </c>
      <c r="E92" s="163"/>
      <c r="F92" s="163"/>
      <c r="G92" s="53" t="s">
        <v>1557</v>
      </c>
      <c r="H92" s="53"/>
      <c r="I92" s="53"/>
      <c r="J92" s="163" t="n">
        <v>58</v>
      </c>
      <c r="K92" s="163"/>
      <c r="L92" s="163"/>
      <c r="M92" s="53" t="s">
        <v>1558</v>
      </c>
      <c r="N92" s="53"/>
      <c r="O92" s="53"/>
      <c r="P92" s="121" t="n">
        <f aca="false">IF(($D$91+$D$92)=0,0,($J$91+$J$92)/($D$91+$D$92))</f>
        <v>0.620991253644315</v>
      </c>
      <c r="Q92" s="121"/>
      <c r="R92" s="121"/>
      <c r="S92" s="5"/>
      <c r="T92" s="5"/>
    </row>
    <row r="93" customFormat="false" ht="15.75" hidden="false" customHeight="true" outlineLevel="0" collapsed="false">
      <c r="A93" s="53" t="s">
        <v>1559</v>
      </c>
      <c r="B93" s="53"/>
      <c r="C93" s="53"/>
      <c r="D93" s="163" t="n">
        <v>49728</v>
      </c>
      <c r="E93" s="163"/>
      <c r="F93" s="163"/>
      <c r="G93" s="53" t="s">
        <v>1560</v>
      </c>
      <c r="H93" s="53"/>
      <c r="I93" s="53"/>
      <c r="J93" s="163" t="n">
        <v>0</v>
      </c>
      <c r="K93" s="163"/>
      <c r="L93" s="163"/>
      <c r="M93" s="53" t="s">
        <v>1561</v>
      </c>
      <c r="N93" s="53"/>
      <c r="O93" s="53"/>
      <c r="P93" s="233" t="n">
        <v>0.68</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84</v>
      </c>
      <c r="K94" s="163"/>
      <c r="L94" s="163"/>
      <c r="M94" s="53" t="s">
        <v>1564</v>
      </c>
      <c r="N94" s="53"/>
      <c r="O94" s="53"/>
      <c r="P94" s="163" t="n">
        <v>69</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1013</v>
      </c>
      <c r="B97" s="30" t="s">
        <v>1014</v>
      </c>
      <c r="C97" s="30"/>
      <c r="D97" s="30"/>
      <c r="E97" s="93" t="s">
        <v>1015</v>
      </c>
      <c r="F97" s="30" t="s">
        <v>1016</v>
      </c>
      <c r="G97" s="92" t="n">
        <v>152084</v>
      </c>
      <c r="H97" s="93" t="s">
        <v>1017</v>
      </c>
      <c r="I97" s="5"/>
      <c r="J97" s="5"/>
      <c r="K97" s="5"/>
      <c r="L97" s="5"/>
      <c r="M97" s="5"/>
      <c r="N97" s="5"/>
      <c r="O97" s="5"/>
      <c r="P97" s="5"/>
      <c r="Q97" s="5"/>
      <c r="R97" s="5"/>
      <c r="S97" s="5"/>
      <c r="T97" s="5"/>
    </row>
    <row r="98" customFormat="false" ht="13.5" hidden="false" customHeight="true" outlineLevel="0" collapsed="false">
      <c r="A98" s="47" t="s">
        <v>1018</v>
      </c>
      <c r="B98" s="37" t="s">
        <v>1020</v>
      </c>
      <c r="C98" s="37"/>
      <c r="D98" s="37"/>
      <c r="E98" s="103" t="s">
        <v>1021</v>
      </c>
      <c r="F98" s="37" t="s">
        <v>1022</v>
      </c>
      <c r="G98" s="99" t="n">
        <v>38021</v>
      </c>
      <c r="H98" s="103" t="s">
        <v>1023</v>
      </c>
      <c r="I98" s="5"/>
      <c r="J98" s="5"/>
      <c r="K98" s="5"/>
      <c r="L98" s="5"/>
      <c r="M98" s="5"/>
      <c r="N98" s="5"/>
      <c r="O98" s="5"/>
      <c r="P98" s="5"/>
      <c r="Q98" s="5"/>
      <c r="R98" s="5"/>
      <c r="S98" s="5"/>
      <c r="T98" s="5"/>
    </row>
    <row r="99" customFormat="false" ht="13.5" hidden="false" customHeight="true" outlineLevel="0" collapsed="false">
      <c r="A99" s="42" t="s">
        <v>1024</v>
      </c>
      <c r="B99" s="30" t="s">
        <v>1026</v>
      </c>
      <c r="C99" s="30"/>
      <c r="D99" s="30"/>
      <c r="E99" s="93" t="s">
        <v>1015</v>
      </c>
      <c r="F99" s="30" t="s">
        <v>1027</v>
      </c>
      <c r="G99" s="92" t="n">
        <v>102365</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669</v>
      </c>
      <c r="B104" s="30" t="s">
        <v>1143</v>
      </c>
      <c r="C104" s="30"/>
      <c r="D104" s="30"/>
      <c r="E104" s="84" t="n">
        <v>4</v>
      </c>
      <c r="F104" s="84" t="n">
        <v>4</v>
      </c>
      <c r="G104" s="43" t="n">
        <f aca="false">$E104*$F104</f>
        <v>16</v>
      </c>
      <c r="H104" s="92" t="n">
        <v>3335176</v>
      </c>
      <c r="I104" s="31" t="n">
        <f aca="false">(($E104*2-1)/10)*$H104</f>
        <v>2334623.2</v>
      </c>
      <c r="J104" s="93" t="s">
        <v>1145</v>
      </c>
      <c r="K104" s="30" t="s">
        <v>1147</v>
      </c>
      <c r="L104" s="93" t="s">
        <v>1023</v>
      </c>
      <c r="M104" s="5"/>
      <c r="N104" s="5"/>
      <c r="O104" s="5"/>
      <c r="P104" s="5"/>
      <c r="Q104" s="5"/>
      <c r="R104" s="5"/>
      <c r="S104" s="5"/>
      <c r="T104" s="5"/>
    </row>
    <row r="105" customFormat="false" ht="13.5" hidden="false" customHeight="true" outlineLevel="0" collapsed="false">
      <c r="A105" s="47" t="s">
        <v>676</v>
      </c>
      <c r="B105" s="37" t="s">
        <v>1149</v>
      </c>
      <c r="C105" s="37"/>
      <c r="D105" s="37"/>
      <c r="E105" s="97" t="n">
        <v>4</v>
      </c>
      <c r="F105" s="97" t="n">
        <v>4</v>
      </c>
      <c r="G105" s="48" t="n">
        <f aca="false">$E105*$F105</f>
        <v>16</v>
      </c>
      <c r="H105" s="99" t="n">
        <v>2720801</v>
      </c>
      <c r="I105" s="49" t="n">
        <f aca="false">(($E105*2-1)/10)*$H105</f>
        <v>1904560.7</v>
      </c>
      <c r="J105" s="103" t="s">
        <v>1145</v>
      </c>
      <c r="K105" s="37" t="s">
        <v>1152</v>
      </c>
      <c r="L105" s="103" t="s">
        <v>1023</v>
      </c>
      <c r="M105" s="5"/>
      <c r="N105" s="5"/>
      <c r="O105" s="5"/>
      <c r="P105" s="5"/>
      <c r="Q105" s="5"/>
      <c r="R105" s="5"/>
      <c r="S105" s="5"/>
      <c r="T105" s="5"/>
    </row>
    <row r="106" customFormat="false" ht="13.5" hidden="false" customHeight="true" outlineLevel="0" collapsed="false">
      <c r="A106" s="42" t="s">
        <v>682</v>
      </c>
      <c r="B106" s="30" t="s">
        <v>1153</v>
      </c>
      <c r="C106" s="30"/>
      <c r="D106" s="30"/>
      <c r="E106" s="84" t="n">
        <v>3</v>
      </c>
      <c r="F106" s="84" t="n">
        <v>4</v>
      </c>
      <c r="G106" s="43" t="n">
        <f aca="false">$E106*$F106</f>
        <v>12</v>
      </c>
      <c r="H106" s="92" t="n">
        <v>1930891</v>
      </c>
      <c r="I106" s="31" t="n">
        <f aca="false">(($E106*2-1)/10)*$H106</f>
        <v>965445.5</v>
      </c>
      <c r="J106" s="93" t="s">
        <v>1145</v>
      </c>
      <c r="K106" s="30" t="s">
        <v>667</v>
      </c>
      <c r="L106" s="93" t="s">
        <v>1023</v>
      </c>
      <c r="M106" s="5"/>
      <c r="N106" s="5"/>
      <c r="O106" s="5"/>
      <c r="P106" s="5"/>
      <c r="Q106" s="5"/>
      <c r="R106" s="5"/>
      <c r="S106" s="5"/>
      <c r="T106" s="5"/>
    </row>
    <row r="107" customFormat="false" ht="13.5" hidden="false" customHeight="true" outlineLevel="0" collapsed="false">
      <c r="A107" s="47" t="s">
        <v>1156</v>
      </c>
      <c r="B107" s="37" t="s">
        <v>1157</v>
      </c>
      <c r="C107" s="37"/>
      <c r="D107" s="37"/>
      <c r="E107" s="97" t="n">
        <v>4</v>
      </c>
      <c r="F107" s="97" t="n">
        <v>3</v>
      </c>
      <c r="G107" s="48" t="n">
        <f aca="false">$E107*$F107</f>
        <v>12</v>
      </c>
      <c r="H107" s="99" t="n">
        <v>2194195</v>
      </c>
      <c r="I107" s="49" t="n">
        <f aca="false">(($E107*2-1)/10)*$H107</f>
        <v>1535936.5</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1189</v>
      </c>
      <c r="B110" s="30" t="s">
        <v>1190</v>
      </c>
      <c r="C110" s="30"/>
      <c r="D110" s="30"/>
      <c r="E110" s="93" t="s">
        <v>1570</v>
      </c>
      <c r="F110" s="92" t="n">
        <v>0</v>
      </c>
      <c r="G110" s="92" t="n">
        <v>18</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1194</v>
      </c>
      <c r="B111" s="37" t="s">
        <v>1195</v>
      </c>
      <c r="C111" s="37"/>
      <c r="D111" s="37"/>
      <c r="E111" s="103" t="s">
        <v>1571</v>
      </c>
      <c r="F111" s="99" t="n">
        <v>0</v>
      </c>
      <c r="G111" s="99" t="n">
        <v>34</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1198</v>
      </c>
      <c r="B112" s="30" t="s">
        <v>1199</v>
      </c>
      <c r="C112" s="30"/>
      <c r="D112" s="30"/>
      <c r="E112" s="93" t="s">
        <v>1097</v>
      </c>
      <c r="F112" s="92" t="n">
        <v>0</v>
      </c>
      <c r="G112" s="92" t="n">
        <v>21</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1203</v>
      </c>
      <c r="B113" s="37" t="s">
        <v>1204</v>
      </c>
      <c r="C113" s="37"/>
      <c r="D113" s="37"/>
      <c r="E113" s="103" t="s">
        <v>1570</v>
      </c>
      <c r="F113" s="99" t="n">
        <v>526607</v>
      </c>
      <c r="G113" s="99" t="n">
        <v>0</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1573</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1574</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293</v>
      </c>
      <c r="E7" s="229"/>
      <c r="F7" s="229"/>
      <c r="G7" s="53" t="s">
        <v>5</v>
      </c>
      <c r="H7" s="53"/>
      <c r="I7" s="53"/>
      <c r="J7" s="229" t="s">
        <v>6</v>
      </c>
      <c r="K7" s="229"/>
      <c r="L7" s="229"/>
      <c r="M7" s="53" t="s">
        <v>258</v>
      </c>
      <c r="N7" s="53"/>
      <c r="O7" s="53"/>
      <c r="P7" s="229" t="s">
        <v>1575</v>
      </c>
      <c r="Q7" s="229"/>
      <c r="R7" s="229"/>
      <c r="S7" s="5"/>
      <c r="T7" s="230" t="n">
        <f aca="false">SUMIF($I$63:$I$65,"Approved",$F$63:$F$65)</f>
        <v>291840</v>
      </c>
    </row>
    <row r="8" customFormat="false" ht="15.75" hidden="false" customHeight="true" outlineLevel="0" collapsed="false">
      <c r="A8" s="53" t="s">
        <v>257</v>
      </c>
      <c r="B8" s="53"/>
      <c r="C8" s="53"/>
      <c r="D8" s="229" t="s">
        <v>1574</v>
      </c>
      <c r="E8" s="229"/>
      <c r="F8" s="229"/>
      <c r="G8" s="53" t="s">
        <v>1486</v>
      </c>
      <c r="H8" s="53"/>
      <c r="I8" s="53"/>
      <c r="J8" s="229" t="s">
        <v>520</v>
      </c>
      <c r="K8" s="229"/>
      <c r="L8" s="229"/>
      <c r="M8" s="53" t="s">
        <v>260</v>
      </c>
      <c r="N8" s="53"/>
      <c r="O8" s="53"/>
      <c r="P8" s="229" t="s">
        <v>294</v>
      </c>
      <c r="Q8" s="229"/>
      <c r="R8" s="229"/>
      <c r="S8" s="5"/>
      <c r="T8" s="230" t="n">
        <f aca="false">SUMIF($I$63:$I$65,"Approved",$G$63:$G$65)</f>
        <v>253645</v>
      </c>
    </row>
    <row r="9" customFormat="false" ht="15.75" hidden="false" customHeight="true" outlineLevel="0" collapsed="false">
      <c r="A9" s="53" t="s">
        <v>1487</v>
      </c>
      <c r="B9" s="53"/>
      <c r="C9" s="53"/>
      <c r="D9" s="229" t="s">
        <v>1488</v>
      </c>
      <c r="E9" s="229"/>
      <c r="F9" s="229"/>
      <c r="G9" s="53" t="s">
        <v>1489</v>
      </c>
      <c r="H9" s="53"/>
      <c r="I9" s="53"/>
      <c r="J9" s="229" t="s">
        <v>295</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46174</v>
      </c>
      <c r="E10" s="231"/>
      <c r="F10" s="231"/>
      <c r="G10" s="53" t="s">
        <v>1491</v>
      </c>
      <c r="H10" s="53"/>
      <c r="I10" s="53"/>
      <c r="J10" s="231" t="n">
        <v>46660</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30</v>
      </c>
      <c r="E11" s="163"/>
      <c r="F11" s="163"/>
      <c r="G11" s="53" t="s">
        <v>1493</v>
      </c>
      <c r="H11" s="53"/>
      <c r="I11" s="53"/>
      <c r="J11" s="232" t="n">
        <f aca="false">$P$10+$D$11</f>
        <v>46295</v>
      </c>
      <c r="K11" s="232"/>
      <c r="L11" s="232"/>
      <c r="M11" s="53" t="s">
        <v>78</v>
      </c>
      <c r="N11" s="53"/>
      <c r="O11" s="53"/>
      <c r="P11" s="229" t="s">
        <v>292</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51200000</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43264000</v>
      </c>
      <c r="E15" s="163"/>
      <c r="F15" s="163"/>
      <c r="G15" s="53" t="s">
        <v>1499</v>
      </c>
      <c r="H15" s="53"/>
      <c r="I15" s="53"/>
      <c r="J15" s="117" t="n">
        <f aca="false">$T$7</f>
        <v>291840</v>
      </c>
      <c r="K15" s="117"/>
      <c r="L15" s="117"/>
      <c r="M15" s="53" t="s">
        <v>1500</v>
      </c>
      <c r="N15" s="53"/>
      <c r="O15" s="53"/>
      <c r="P15" s="117" t="n">
        <f aca="false">$T$8</f>
        <v>253645</v>
      </c>
      <c r="Q15" s="117"/>
      <c r="R15" s="117"/>
      <c r="S15" s="5"/>
      <c r="T15" s="5"/>
    </row>
    <row r="16" customFormat="false" ht="15.75" hidden="false" customHeight="true" outlineLevel="0" collapsed="false">
      <c r="A16" s="53" t="s">
        <v>1501</v>
      </c>
      <c r="B16" s="53"/>
      <c r="C16" s="53"/>
      <c r="D16" s="117" t="n">
        <f aca="false">$D$14+$J$15</f>
        <v>51491840</v>
      </c>
      <c r="E16" s="117"/>
      <c r="F16" s="117"/>
      <c r="G16" s="53" t="s">
        <v>1502</v>
      </c>
      <c r="H16" s="53"/>
      <c r="I16" s="53"/>
      <c r="J16" s="117" t="n">
        <f aca="false">$D$15+$R$15</f>
        <v>43264000</v>
      </c>
      <c r="K16" s="117"/>
      <c r="L16" s="117"/>
      <c r="M16" s="53" t="s">
        <v>1503</v>
      </c>
      <c r="N16" s="53"/>
      <c r="O16" s="53"/>
      <c r="P16" s="117" t="n">
        <f aca="false">$D$16-$J$16</f>
        <v>8227840</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4124412.778</v>
      </c>
      <c r="E19" s="117"/>
      <c r="F19" s="117"/>
      <c r="G19" s="53" t="s">
        <v>1506</v>
      </c>
      <c r="H19" s="53"/>
      <c r="I19" s="53"/>
      <c r="J19" s="117" t="n">
        <f aca="false">$Q$41</f>
        <v>3221214.274</v>
      </c>
      <c r="K19" s="117"/>
      <c r="L19" s="117"/>
      <c r="M19" s="53" t="s">
        <v>1507</v>
      </c>
      <c r="N19" s="53"/>
      <c r="O19" s="53"/>
      <c r="P19" s="117" t="n">
        <f aca="false">$R$41</f>
        <v>3643447</v>
      </c>
      <c r="Q19" s="117"/>
      <c r="R19" s="117"/>
      <c r="S19" s="5"/>
      <c r="T19" s="5"/>
    </row>
    <row r="20" customFormat="false" ht="15.75" hidden="false" customHeight="true" outlineLevel="0" collapsed="false">
      <c r="A20" s="53" t="s">
        <v>1508</v>
      </c>
      <c r="B20" s="53"/>
      <c r="C20" s="53"/>
      <c r="D20" s="117" t="n">
        <f aca="false">$S$41</f>
        <v>20376241</v>
      </c>
      <c r="E20" s="117"/>
      <c r="F20" s="117"/>
      <c r="G20" s="53" t="s">
        <v>1509</v>
      </c>
      <c r="H20" s="53"/>
      <c r="I20" s="53"/>
      <c r="J20" s="117" t="n">
        <f aca="false">$J$19-$D$19</f>
        <v>-903198.504</v>
      </c>
      <c r="K20" s="117"/>
      <c r="L20" s="117"/>
      <c r="M20" s="53" t="s">
        <v>1510</v>
      </c>
      <c r="N20" s="53"/>
      <c r="O20" s="53"/>
      <c r="P20" s="117" t="n">
        <f aca="false">$J$19-$P$19</f>
        <v>-422232.726</v>
      </c>
      <c r="Q20" s="117"/>
      <c r="R20" s="117"/>
      <c r="S20" s="5"/>
      <c r="T20" s="5"/>
    </row>
    <row r="21" customFormat="false" ht="15.75" hidden="false" customHeight="true" outlineLevel="0" collapsed="false">
      <c r="A21" s="53" t="s">
        <v>1511</v>
      </c>
      <c r="B21" s="53"/>
      <c r="C21" s="53"/>
      <c r="D21" s="120" t="n">
        <f aca="false">IF($D$19&lt;=0,1,$J$19/$D$19)</f>
        <v>0.781011612412379</v>
      </c>
      <c r="E21" s="120"/>
      <c r="F21" s="120"/>
      <c r="G21" s="53" t="s">
        <v>1512</v>
      </c>
      <c r="H21" s="53"/>
      <c r="I21" s="53"/>
      <c r="J21" s="120" t="n">
        <f aca="false">IF($P$19&lt;=0,1,$J$19/$P$19)</f>
        <v>0.884111741984994</v>
      </c>
      <c r="K21" s="120"/>
      <c r="L21" s="120"/>
      <c r="M21" s="53" t="s">
        <v>344</v>
      </c>
      <c r="N21" s="53"/>
      <c r="O21" s="53"/>
      <c r="P21" s="121" t="n">
        <f aca="false">IF($J$16=0,0,$J$19/$J$16)</f>
        <v>0.0744548417622041</v>
      </c>
      <c r="Q21" s="121"/>
      <c r="R21" s="121"/>
      <c r="S21" s="5"/>
      <c r="T21" s="5"/>
    </row>
    <row r="22" customFormat="false" ht="15.75" hidden="false" customHeight="true" outlineLevel="0" collapsed="false">
      <c r="A22" s="53" t="s">
        <v>1513</v>
      </c>
      <c r="B22" s="53"/>
      <c r="C22" s="53"/>
      <c r="D22" s="117" t="n">
        <f aca="false">IF($J$21&lt;=0,$J$16,$J$16/$J$21)</f>
        <v>48934990.8450083</v>
      </c>
      <c r="E22" s="117"/>
      <c r="F22" s="117"/>
      <c r="G22" s="53" t="s">
        <v>1514</v>
      </c>
      <c r="H22" s="53"/>
      <c r="I22" s="53"/>
      <c r="J22" s="117" t="n">
        <f aca="false">$J$16-$D$22</f>
        <v>-5670990.84500828</v>
      </c>
      <c r="K22" s="117"/>
      <c r="L22" s="117"/>
      <c r="M22" s="53" t="s">
        <v>1515</v>
      </c>
      <c r="N22" s="53"/>
      <c r="O22" s="53"/>
      <c r="P22" s="117" t="n">
        <f aca="false">$D$22-$P$19</f>
        <v>45291543.8450083</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46203</v>
      </c>
      <c r="E27" s="169" t="n">
        <v>46265</v>
      </c>
      <c r="F27" s="92" t="n">
        <v>1946880</v>
      </c>
      <c r="G27" s="184" t="n">
        <v>1</v>
      </c>
      <c r="H27" s="184" t="n">
        <v>0.8325</v>
      </c>
      <c r="I27" s="31" t="n">
        <f aca="false">$F27*$G27</f>
        <v>1946880</v>
      </c>
      <c r="J27" s="31" t="n">
        <f aca="false">$F27*$H27</f>
        <v>1620777.6</v>
      </c>
      <c r="K27" s="92" t="n">
        <v>1786860</v>
      </c>
      <c r="L27" s="92" t="n">
        <v>1946880</v>
      </c>
      <c r="M27" s="152" t="n">
        <f aca="false">IF($I27&lt;=0,1,$J27/$I27)</f>
        <v>0.8325</v>
      </c>
      <c r="N27" s="152" t="n">
        <f aca="false">IF($K27&lt;=0,1,$J27/$K27)</f>
        <v>0.907053490480508</v>
      </c>
      <c r="O27" s="93" t="s">
        <v>292</v>
      </c>
      <c r="P27" s="46" t="str">
        <f aca="false">IF(AND($M27&gt;=0.95,$N27&gt;=0.95),"Green",IF(OR($M27&lt;0.85,$N27&lt;0.85),"Red","Amber"))</f>
        <v>Red</v>
      </c>
      <c r="Q27" s="31" t="n">
        <f aca="false">MAX(0,$E27-$D27)</f>
        <v>62</v>
      </c>
      <c r="R27" s="5"/>
      <c r="S27" s="5"/>
      <c r="T27" s="5"/>
    </row>
    <row r="28" customFormat="false" ht="13.5" hidden="false" customHeight="true" outlineLevel="0" collapsed="false">
      <c r="A28" s="47" t="s">
        <v>486</v>
      </c>
      <c r="B28" s="37" t="s">
        <v>487</v>
      </c>
      <c r="C28" s="37" t="s">
        <v>483</v>
      </c>
      <c r="D28" s="96" t="n">
        <v>46660</v>
      </c>
      <c r="E28" s="96" t="n">
        <v>46721</v>
      </c>
      <c r="F28" s="99" t="n">
        <v>3244800</v>
      </c>
      <c r="G28" s="102" t="n">
        <v>0.1875</v>
      </c>
      <c r="H28" s="102" t="n">
        <v>0.1473</v>
      </c>
      <c r="I28" s="49" t="n">
        <f aca="false">$F28*$G28</f>
        <v>608400</v>
      </c>
      <c r="J28" s="49" t="n">
        <f aca="false">$F28*$H28</f>
        <v>477959.04</v>
      </c>
      <c r="K28" s="99" t="n">
        <v>548071</v>
      </c>
      <c r="L28" s="99" t="n">
        <v>2920320</v>
      </c>
      <c r="M28" s="157" t="n">
        <f aca="false">IF($I28&lt;=0,1,$J28/$I28)</f>
        <v>0.7856</v>
      </c>
      <c r="N28" s="157" t="n">
        <f aca="false">IF($K28&lt;=0,1,$J28/$K28)</f>
        <v>0.872075041372377</v>
      </c>
      <c r="O28" s="103" t="s">
        <v>292</v>
      </c>
      <c r="P28" s="52" t="str">
        <f aca="false">IF(AND($M28&gt;=0.95,$N28&gt;=0.95),"Green",IF(OR($M28&lt;0.85,$N28&lt;0.85),"Red","Amber"))</f>
        <v>Red</v>
      </c>
      <c r="Q28" s="49" t="n">
        <f aca="false">MAX(0,$E28-$D28)</f>
        <v>61</v>
      </c>
      <c r="R28" s="5"/>
      <c r="S28" s="5"/>
      <c r="T28" s="5"/>
    </row>
    <row r="29" customFormat="false" ht="13.5" hidden="false" customHeight="true" outlineLevel="0" collapsed="false">
      <c r="A29" s="42" t="s">
        <v>490</v>
      </c>
      <c r="B29" s="30" t="s">
        <v>491</v>
      </c>
      <c r="C29" s="30" t="s">
        <v>492</v>
      </c>
      <c r="D29" s="169" t="n">
        <v>46387</v>
      </c>
      <c r="E29" s="169" t="n">
        <v>46446</v>
      </c>
      <c r="F29" s="92" t="n">
        <v>2379520</v>
      </c>
      <c r="G29" s="184" t="n">
        <v>0.3762</v>
      </c>
      <c r="H29" s="184" t="n">
        <v>0.26</v>
      </c>
      <c r="I29" s="31" t="n">
        <f aca="false">$F29*$G29</f>
        <v>895175.424</v>
      </c>
      <c r="J29" s="31" t="n">
        <f aca="false">$F29*$H29</f>
        <v>618675.2</v>
      </c>
      <c r="K29" s="92" t="n">
        <v>747303</v>
      </c>
      <c r="L29" s="92" t="n">
        <v>2022592</v>
      </c>
      <c r="M29" s="152" t="n">
        <f aca="false">IF($I29&lt;=0,1,$J29/$I29)</f>
        <v>0.691121743753323</v>
      </c>
      <c r="N29" s="152" t="n">
        <f aca="false">IF($K29&lt;=0,1,$J29/$K29)</f>
        <v>0.827877313485962</v>
      </c>
      <c r="O29" s="93" t="s">
        <v>292</v>
      </c>
      <c r="P29" s="46" t="str">
        <f aca="false">IF(AND($M29&gt;=0.95,$N29&gt;=0.95),"Green",IF(OR($M29&lt;0.85,$N29&lt;0.85),"Red","Amber"))</f>
        <v>Red</v>
      </c>
      <c r="Q29" s="31" t="n">
        <f aca="false">MAX(0,$E29-$D29)</f>
        <v>59</v>
      </c>
      <c r="R29" s="5"/>
      <c r="S29" s="5"/>
      <c r="T29" s="5"/>
    </row>
    <row r="30" customFormat="false" ht="13.5" hidden="false" customHeight="true" outlineLevel="0" collapsed="false">
      <c r="A30" s="47" t="s">
        <v>495</v>
      </c>
      <c r="B30" s="37" t="s">
        <v>496</v>
      </c>
      <c r="C30" s="37" t="s">
        <v>497</v>
      </c>
      <c r="D30" s="96" t="n">
        <v>46446</v>
      </c>
      <c r="E30" s="96" t="n">
        <v>46507</v>
      </c>
      <c r="F30" s="99" t="n">
        <v>8003840</v>
      </c>
      <c r="G30" s="102" t="n">
        <v>0.0812</v>
      </c>
      <c r="H30" s="102" t="n">
        <v>0.0606</v>
      </c>
      <c r="I30" s="49" t="n">
        <f aca="false">$F30*$G30</f>
        <v>649911.808</v>
      </c>
      <c r="J30" s="49" t="n">
        <f aca="false">$F30*$H30</f>
        <v>485032.704</v>
      </c>
      <c r="K30" s="99" t="n">
        <v>539544</v>
      </c>
      <c r="L30" s="99" t="n">
        <v>4962381</v>
      </c>
      <c r="M30" s="157" t="n">
        <f aca="false">IF($I30&lt;=0,1,$J30/$I30)</f>
        <v>0.746305418719212</v>
      </c>
      <c r="N30" s="157" t="n">
        <f aca="false">IF($K30&lt;=0,1,$J30/$K30)</f>
        <v>0.898967839508919</v>
      </c>
      <c r="O30" s="103" t="s">
        <v>292</v>
      </c>
      <c r="P30" s="52" t="str">
        <f aca="false">IF(AND($M30&gt;=0.95,$N30&gt;=0.95),"Green",IF(OR($M30&lt;0.85,$N30&lt;0.85),"Red","Amber"))</f>
        <v>Red</v>
      </c>
      <c r="Q30" s="49" t="n">
        <f aca="false">MAX(0,$E30-$D30)</f>
        <v>61</v>
      </c>
      <c r="R30" s="5"/>
      <c r="S30" s="5"/>
      <c r="T30" s="5"/>
    </row>
    <row r="31" customFormat="false" ht="13.5" hidden="false" customHeight="true" outlineLevel="0" collapsed="false">
      <c r="A31" s="42" t="s">
        <v>498</v>
      </c>
      <c r="B31" s="30" t="s">
        <v>499</v>
      </c>
      <c r="C31" s="30" t="s">
        <v>500</v>
      </c>
      <c r="D31" s="169" t="n">
        <v>46538</v>
      </c>
      <c r="E31" s="169" t="n">
        <v>46599</v>
      </c>
      <c r="F31" s="92" t="n">
        <v>10599680</v>
      </c>
      <c r="G31" s="184" t="n">
        <v>0</v>
      </c>
      <c r="H31" s="184" t="n">
        <v>0</v>
      </c>
      <c r="I31" s="31" t="n">
        <f aca="false">$F31*$G31</f>
        <v>0</v>
      </c>
      <c r="J31" s="31" t="n">
        <f aca="false">$F31*$H31</f>
        <v>0</v>
      </c>
      <c r="K31" s="92" t="n">
        <v>0</v>
      </c>
      <c r="L31" s="92" t="n">
        <v>4769856</v>
      </c>
      <c r="M31" s="152" t="n">
        <f aca="false">IF($I31&lt;=0,1,$J31/$I31)</f>
        <v>1</v>
      </c>
      <c r="N31" s="152" t="n">
        <f aca="false">IF($K31&lt;=0,1,$J31/$K31)</f>
        <v>1</v>
      </c>
      <c r="O31" s="93" t="s">
        <v>1521</v>
      </c>
      <c r="P31" s="46" t="str">
        <f aca="false">IF(AND($M31&gt;=0.95,$N31&gt;=0.95),"Green",IF(OR($M31&lt;0.85,$N31&lt;0.85),"Red","Amber"))</f>
        <v>Green</v>
      </c>
      <c r="Q31" s="31" t="n">
        <f aca="false">MAX(0,$E31-$D31)</f>
        <v>61</v>
      </c>
      <c r="R31" s="5"/>
      <c r="S31" s="5"/>
      <c r="T31" s="5"/>
    </row>
    <row r="32" customFormat="false" ht="13.5" hidden="false" customHeight="true" outlineLevel="0" collapsed="false">
      <c r="A32" s="47" t="s">
        <v>501</v>
      </c>
      <c r="B32" s="37" t="s">
        <v>502</v>
      </c>
      <c r="C32" s="37" t="s">
        <v>503</v>
      </c>
      <c r="D32" s="96" t="n">
        <v>46599</v>
      </c>
      <c r="E32" s="96" t="n">
        <v>46660</v>
      </c>
      <c r="F32" s="99" t="n">
        <v>8003840</v>
      </c>
      <c r="G32" s="102" t="n">
        <v>0</v>
      </c>
      <c r="H32" s="102" t="n">
        <v>0</v>
      </c>
      <c r="I32" s="49" t="n">
        <f aca="false">$F32*$G32</f>
        <v>0</v>
      </c>
      <c r="J32" s="49" t="n">
        <f aca="false">$F32*$H32</f>
        <v>0</v>
      </c>
      <c r="K32" s="99" t="n">
        <v>0</v>
      </c>
      <c r="L32" s="99" t="n">
        <v>2401152</v>
      </c>
      <c r="M32" s="157" t="n">
        <f aca="false">IF($I32&lt;=0,1,$J32/$I32)</f>
        <v>1</v>
      </c>
      <c r="N32" s="157" t="n">
        <f aca="false">IF($K32&lt;=0,1,$J32/$K32)</f>
        <v>1</v>
      </c>
      <c r="O32" s="103" t="s">
        <v>1521</v>
      </c>
      <c r="P32" s="52" t="str">
        <f aca="false">IF(AND($M32&gt;=0.95,$N32&gt;=0.95),"Green",IF(OR($M32&lt;0.85,$N32&lt;0.85),"Red","Amber"))</f>
        <v>Green</v>
      </c>
      <c r="Q32" s="49" t="n">
        <f aca="false">MAX(0,$E32-$D32)</f>
        <v>61</v>
      </c>
      <c r="R32" s="5"/>
      <c r="S32" s="5"/>
      <c r="T32" s="5"/>
    </row>
    <row r="33" customFormat="false" ht="13.5" hidden="false" customHeight="true" outlineLevel="0" collapsed="false">
      <c r="A33" s="42" t="s">
        <v>506</v>
      </c>
      <c r="B33" s="30" t="s">
        <v>507</v>
      </c>
      <c r="C33" s="30" t="s">
        <v>508</v>
      </c>
      <c r="D33" s="169" t="n">
        <v>46630</v>
      </c>
      <c r="E33" s="169" t="n">
        <v>46691</v>
      </c>
      <c r="F33" s="92" t="n">
        <v>5840640</v>
      </c>
      <c r="G33" s="184" t="n">
        <v>0</v>
      </c>
      <c r="H33" s="184" t="n">
        <v>0</v>
      </c>
      <c r="I33" s="31" t="n">
        <f aca="false">$F33*$G33</f>
        <v>0</v>
      </c>
      <c r="J33" s="31" t="n">
        <f aca="false">$F33*$H33</f>
        <v>0</v>
      </c>
      <c r="K33" s="92" t="n">
        <v>0</v>
      </c>
      <c r="L33" s="92" t="n">
        <v>1051315</v>
      </c>
      <c r="M33" s="152" t="n">
        <f aca="false">IF($I33&lt;=0,1,$J33/$I33)</f>
        <v>1</v>
      </c>
      <c r="N33" s="152" t="n">
        <f aca="false">IF($K33&lt;=0,1,$J33/$K33)</f>
        <v>1</v>
      </c>
      <c r="O33" s="93" t="s">
        <v>1521</v>
      </c>
      <c r="P33" s="46" t="str">
        <f aca="false">IF(AND($M33&gt;=0.95,$N33&gt;=0.95),"Green",IF(OR($M33&lt;0.85,$N33&lt;0.85),"Red","Amber"))</f>
        <v>Green</v>
      </c>
      <c r="Q33" s="31" t="n">
        <f aca="false">MAX(0,$E33-$D33)</f>
        <v>61</v>
      </c>
      <c r="R33" s="5"/>
      <c r="S33" s="5"/>
      <c r="T33" s="5"/>
    </row>
    <row r="34" customFormat="false" ht="13.5" hidden="false" customHeight="true" outlineLevel="0" collapsed="false">
      <c r="A34" s="47" t="s">
        <v>511</v>
      </c>
      <c r="B34" s="37" t="s">
        <v>512</v>
      </c>
      <c r="C34" s="37" t="s">
        <v>513</v>
      </c>
      <c r="D34" s="96" t="n">
        <v>46660</v>
      </c>
      <c r="E34" s="96" t="n">
        <v>46721</v>
      </c>
      <c r="F34" s="99" t="n">
        <v>3244800</v>
      </c>
      <c r="G34" s="102" t="n">
        <v>0</v>
      </c>
      <c r="H34" s="102" t="n">
        <v>0</v>
      </c>
      <c r="I34" s="49" t="n">
        <f aca="false">$F34*$G34</f>
        <v>0</v>
      </c>
      <c r="J34" s="49" t="n">
        <f aca="false">$F34*$H34</f>
        <v>0</v>
      </c>
      <c r="K34" s="99" t="n">
        <v>0</v>
      </c>
      <c r="L34" s="99" t="n">
        <v>162240</v>
      </c>
      <c r="M34" s="157" t="n">
        <f aca="false">IF($I34&lt;=0,1,$J34/$I34)</f>
        <v>1</v>
      </c>
      <c r="N34" s="157" t="n">
        <f aca="false">IF($K34&lt;=0,1,$J34/$K34)</f>
        <v>1</v>
      </c>
      <c r="O34" s="103" t="s">
        <v>1521</v>
      </c>
      <c r="P34" s="52" t="str">
        <f aca="false">IF(AND($M34&gt;=0.95,$N34&gt;=0.95),"Green",IF(OR($M34&lt;0.85,$N34&lt;0.85),"Red","Amber"))</f>
        <v>Green</v>
      </c>
      <c r="Q34" s="49" t="n">
        <f aca="false">MAX(0,$E34-$D34)</f>
        <v>61</v>
      </c>
      <c r="R34" s="5"/>
      <c r="S34" s="5"/>
      <c r="T34" s="5"/>
    </row>
    <row r="35" customFormat="false" ht="13.5" hidden="false" customHeight="true" outlineLevel="0" collapsed="false">
      <c r="A35" s="42" t="s">
        <v>516</v>
      </c>
      <c r="B35" s="30" t="s">
        <v>517</v>
      </c>
      <c r="C35" s="30" t="s">
        <v>518</v>
      </c>
      <c r="D35" s="169" t="n">
        <v>46630</v>
      </c>
      <c r="E35" s="169" t="n">
        <v>46660</v>
      </c>
      <c r="F35" s="158" t="n">
        <f aca="false">$T$8</f>
        <v>253645</v>
      </c>
      <c r="G35" s="184" t="n">
        <v>0.0948</v>
      </c>
      <c r="H35" s="184" t="n">
        <v>0.074</v>
      </c>
      <c r="I35" s="31" t="n">
        <f aca="false">$F35*$G35</f>
        <v>24045.546</v>
      </c>
      <c r="J35" s="31" t="n">
        <f aca="false">$F35*$H35</f>
        <v>18769.73</v>
      </c>
      <c r="K35" s="92" t="n">
        <v>21669</v>
      </c>
      <c r="L35" s="92" t="n">
        <v>139505</v>
      </c>
      <c r="M35" s="152" t="n">
        <f aca="false">IF($I35&lt;=0,1,$J35/$I35)</f>
        <v>0.780590717299578</v>
      </c>
      <c r="N35" s="152" t="n">
        <f aca="false">IF($K35&lt;=0,1,$J35/$K35)</f>
        <v>0.866201947482579</v>
      </c>
      <c r="O35" s="93" t="s">
        <v>1520</v>
      </c>
      <c r="P35" s="46" t="str">
        <f aca="false">IF(AND($M35&gt;=0.95,$N35&gt;=0.95),"Green",IF(OR($M35&lt;0.85,$N35&lt;0.85),"Red","Amber"))</f>
        <v>Red</v>
      </c>
      <c r="Q35" s="31" t="n">
        <f aca="false">MAX(0,$E35-$D35)</f>
        <v>30</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43517645</v>
      </c>
      <c r="G41" s="104" t="n">
        <f aca="false">IF($F41=0,0,$I41/$F41)</f>
        <v>0.0947756427996046</v>
      </c>
      <c r="H41" s="104" t="n">
        <f aca="false">IF($F41=0,0,$J41/$F41)</f>
        <v>0.0740208776003389</v>
      </c>
      <c r="I41" s="28" t="n">
        <f aca="false">SUM($I$27:$I$35)</f>
        <v>4124412.778</v>
      </c>
      <c r="J41" s="28" t="n">
        <f aca="false">SUM($J$27:$J$35)</f>
        <v>3221214.274</v>
      </c>
      <c r="K41" s="28" t="n">
        <f aca="false">SUM($K$27:$K$35)</f>
        <v>3643447</v>
      </c>
      <c r="L41" s="28" t="n">
        <f aca="false">SUM($L$27:$L$35)</f>
        <v>20376241</v>
      </c>
      <c r="M41" s="29" t="n">
        <f aca="false">IF($I41&lt;=0,1,$J41/$I41)</f>
        <v>0.781011612412379</v>
      </c>
      <c r="N41" s="29" t="n">
        <f aca="false">IF($K41&lt;=0,1,$J41/$K41)</f>
        <v>0.884111741984994</v>
      </c>
      <c r="O41" s="105"/>
      <c r="P41" s="234" t="n">
        <f aca="false">$I41</f>
        <v>4124412.778</v>
      </c>
      <c r="Q41" s="234" t="n">
        <f aca="false">$J41</f>
        <v>3221214.274</v>
      </c>
      <c r="R41" s="147" t="n">
        <f aca="false">$K41</f>
        <v>3643447</v>
      </c>
      <c r="S41" s="147" t="n">
        <f aca="false">$L41</f>
        <v>20376241</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3028480</v>
      </c>
      <c r="F47" s="92" t="n">
        <v>0</v>
      </c>
      <c r="G47" s="92" t="n">
        <v>354382</v>
      </c>
      <c r="H47" s="92" t="n">
        <v>1517755</v>
      </c>
      <c r="I47" s="31" t="n">
        <f aca="false">($E47+$F47)*1.012</f>
        <v>3064821.76</v>
      </c>
      <c r="J47" s="87" t="n">
        <f aca="false">IF(($E47+$F47)=0,0,(($E47+$F47)-$I47)/($E47+$F47))</f>
        <v>-0.0120000000000001</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2682368</v>
      </c>
      <c r="F48" s="99" t="n">
        <v>0</v>
      </c>
      <c r="G48" s="99" t="n">
        <v>301224</v>
      </c>
      <c r="H48" s="99" t="n">
        <v>1214204</v>
      </c>
      <c r="I48" s="49" t="n">
        <f aca="false">($E48+$F48)*1.012</f>
        <v>2714556.416</v>
      </c>
      <c r="J48" s="100" t="n">
        <f aca="false">IF(($E48+$F48)=0,0,(($E48+$F48)-$I48)/($E48+$F48))</f>
        <v>-0.0120000000000001</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2163200</v>
      </c>
      <c r="F49" s="92" t="n">
        <v>0</v>
      </c>
      <c r="G49" s="92" t="n">
        <v>77964</v>
      </c>
      <c r="H49" s="92" t="n">
        <v>910653</v>
      </c>
      <c r="I49" s="31" t="n">
        <f aca="false">($E49+$F49)*1.012</f>
        <v>2189158.4</v>
      </c>
      <c r="J49" s="87" t="n">
        <f aca="false">IF(($E49+$F49)=0,0,(($E49+$F49)-$I49)/($E49+$F49))</f>
        <v>-0.012</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3244800</v>
      </c>
      <c r="F50" s="99" t="n">
        <v>0</v>
      </c>
      <c r="G50" s="99" t="n">
        <v>219716</v>
      </c>
      <c r="H50" s="99" t="n">
        <v>1113020</v>
      </c>
      <c r="I50" s="49" t="n">
        <f aca="false">($E50+$F50)*1.012</f>
        <v>3283737.6</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18170880</v>
      </c>
      <c r="F51" s="92" t="n">
        <v>0</v>
      </c>
      <c r="G51" s="92" t="n">
        <v>1842783</v>
      </c>
      <c r="H51" s="92" t="n">
        <v>9511267</v>
      </c>
      <c r="I51" s="31" t="n">
        <f aca="false">($E51+$F51)*1.012</f>
        <v>18388930.56</v>
      </c>
      <c r="J51" s="87" t="n">
        <f aca="false">IF(($E51+$F51)=0,0,(($E51+$F51)-$I51)/($E51+$F51))</f>
        <v>-0.0119999999999999</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8652800</v>
      </c>
      <c r="F52" s="99" t="n">
        <v>0</v>
      </c>
      <c r="G52" s="99" t="n">
        <v>531572</v>
      </c>
      <c r="H52" s="99" t="n">
        <v>4350898</v>
      </c>
      <c r="I52" s="49" t="n">
        <f aca="false">($E52+$F52)*1.012</f>
        <v>8756633.6</v>
      </c>
      <c r="J52" s="100" t="n">
        <f aca="false">IF(($E52+$F52)=0,0,(($E52+$F52)-$I52)/($E52+$F52))</f>
        <v>-0.012</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1946880</v>
      </c>
      <c r="F53" s="92" t="n">
        <v>0</v>
      </c>
      <c r="G53" s="92" t="n">
        <v>134665</v>
      </c>
      <c r="H53" s="92" t="n">
        <v>809469</v>
      </c>
      <c r="I53" s="31" t="n">
        <f aca="false">($E53+$F53)*1.012</f>
        <v>1970242.56</v>
      </c>
      <c r="J53" s="87" t="n">
        <f aca="false">IF(($E53+$F53)=0,0,(($E53+$F53)-$I53)/($E53+$F53))</f>
        <v>-0.012</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951808</v>
      </c>
      <c r="F54" s="99" t="n">
        <v>0</v>
      </c>
      <c r="G54" s="99" t="n">
        <v>77964</v>
      </c>
      <c r="H54" s="99" t="n">
        <v>404735</v>
      </c>
      <c r="I54" s="49" t="n">
        <f aca="false">($E54+$F54)*1.012</f>
        <v>963229.696</v>
      </c>
      <c r="J54" s="100" t="n">
        <f aca="false">IF(($E54+$F54)=0,0,(($E54+$F54)-$I54)/($E54+$F54))</f>
        <v>-0.012</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1124864</v>
      </c>
      <c r="F55" s="92" t="n">
        <v>0</v>
      </c>
      <c r="G55" s="92" t="n">
        <v>81508</v>
      </c>
      <c r="H55" s="92" t="n">
        <v>404735</v>
      </c>
      <c r="I55" s="31" t="n">
        <f aca="false">($E55+$F55)*1.012</f>
        <v>1138362.368</v>
      </c>
      <c r="J55" s="87" t="n">
        <f aca="false">IF(($E55+$F55)=0,0,(($E55+$F55)-$I55)/($E55+$F55))</f>
        <v>-0.012</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1297920</v>
      </c>
      <c r="F56" s="99" t="n">
        <v>0</v>
      </c>
      <c r="G56" s="99" t="n">
        <v>0</v>
      </c>
      <c r="H56" s="99" t="n">
        <v>0</v>
      </c>
      <c r="I56" s="49" t="n">
        <f aca="false">($E56+$F56)*1.012</f>
        <v>1313495.04</v>
      </c>
      <c r="J56" s="100" t="n">
        <f aca="false">IF(($E56+$F56)=0,0,(($E56+$F56)-$I56)/($E56+$F56))</f>
        <v>-0.012</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253645</v>
      </c>
      <c r="G57" s="92" t="n">
        <v>21669</v>
      </c>
      <c r="H57" s="92" t="n">
        <v>139505</v>
      </c>
      <c r="I57" s="31" t="n">
        <f aca="false">($E57+$F57)*1.012</f>
        <v>256688.74</v>
      </c>
      <c r="J57" s="87" t="n">
        <f aca="false">IF(($E57+$F57)=0,0,(($E57+$F57)-$I57)/($E57+$F57))</f>
        <v>-0.012</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43264000</v>
      </c>
      <c r="F58" s="28" t="n">
        <f aca="false">SUM($F$47:$F$57)</f>
        <v>253645</v>
      </c>
      <c r="G58" s="28" t="n">
        <f aca="false">SUM($G$47:$G$57)</f>
        <v>3643447</v>
      </c>
      <c r="H58" s="28" t="n">
        <f aca="false">SUM($H$47:$H$57)</f>
        <v>20376241</v>
      </c>
      <c r="I58" s="28" t="n">
        <f aca="false">SUM($I$47:$I$57)</f>
        <v>44039856.74</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686</v>
      </c>
      <c r="B63" s="30" t="s">
        <v>785</v>
      </c>
      <c r="C63" s="30"/>
      <c r="D63" s="30"/>
      <c r="E63" s="45" t="s">
        <v>779</v>
      </c>
      <c r="F63" s="92" t="n">
        <v>450560</v>
      </c>
      <c r="G63" s="92" t="n">
        <v>396493</v>
      </c>
      <c r="H63" s="92" t="n">
        <v>0</v>
      </c>
      <c r="I63" s="93" t="s">
        <v>1536</v>
      </c>
      <c r="J63" s="45" t="s">
        <v>684</v>
      </c>
      <c r="K63" s="5"/>
      <c r="L63" s="5"/>
      <c r="M63" s="5"/>
      <c r="N63" s="5"/>
      <c r="O63" s="5"/>
      <c r="P63" s="5"/>
      <c r="Q63" s="5"/>
      <c r="R63" s="5"/>
      <c r="S63" s="5"/>
      <c r="T63" s="5"/>
    </row>
    <row r="64" customFormat="false" ht="13.5" hidden="false" customHeight="true" outlineLevel="0" collapsed="false">
      <c r="A64" s="47" t="s">
        <v>689</v>
      </c>
      <c r="B64" s="37" t="s">
        <v>786</v>
      </c>
      <c r="C64" s="37"/>
      <c r="D64" s="37"/>
      <c r="E64" s="51" t="s">
        <v>787</v>
      </c>
      <c r="F64" s="99" t="n">
        <v>-158720</v>
      </c>
      <c r="G64" s="99" t="n">
        <v>-142848</v>
      </c>
      <c r="H64" s="99" t="n">
        <v>0</v>
      </c>
      <c r="I64" s="103" t="s">
        <v>1536</v>
      </c>
      <c r="J64" s="51" t="s">
        <v>687</v>
      </c>
      <c r="K64" s="5"/>
      <c r="L64" s="5"/>
      <c r="M64" s="5"/>
      <c r="N64" s="5"/>
      <c r="O64" s="5"/>
      <c r="P64" s="5"/>
      <c r="Q64" s="5"/>
      <c r="R64" s="5"/>
      <c r="S64" s="5"/>
      <c r="T64" s="5"/>
    </row>
    <row r="65" customFormat="false" ht="13.5" hidden="false" customHeight="true" outlineLevel="0" collapsed="false">
      <c r="A65" s="42" t="s">
        <v>692</v>
      </c>
      <c r="B65" s="30" t="s">
        <v>788</v>
      </c>
      <c r="C65" s="30"/>
      <c r="D65" s="30"/>
      <c r="E65" s="45" t="s">
        <v>787</v>
      </c>
      <c r="F65" s="92" t="n">
        <v>727040</v>
      </c>
      <c r="G65" s="92" t="n">
        <v>603443</v>
      </c>
      <c r="H65" s="92" t="n">
        <v>0</v>
      </c>
      <c r="I65" s="93" t="s">
        <v>1576</v>
      </c>
      <c r="J65" s="45" t="s">
        <v>690</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684</v>
      </c>
      <c r="B68" s="30" t="s">
        <v>668</v>
      </c>
      <c r="C68" s="30"/>
      <c r="D68" s="30"/>
      <c r="E68" s="45" t="s">
        <v>95</v>
      </c>
      <c r="F68" s="92" t="n">
        <v>396493</v>
      </c>
      <c r="G68" s="92" t="n">
        <v>0</v>
      </c>
      <c r="H68" s="93" t="s">
        <v>1539</v>
      </c>
      <c r="I68" s="45" t="s">
        <v>686</v>
      </c>
      <c r="J68" s="5"/>
      <c r="K68" s="5"/>
      <c r="L68" s="5"/>
      <c r="M68" s="5"/>
      <c r="N68" s="5"/>
      <c r="O68" s="5"/>
      <c r="P68" s="5"/>
      <c r="Q68" s="5"/>
      <c r="R68" s="5"/>
      <c r="S68" s="5"/>
      <c r="T68" s="5"/>
    </row>
    <row r="69" customFormat="false" ht="13.5" hidden="false" customHeight="true" outlineLevel="0" collapsed="false">
      <c r="A69" s="47" t="s">
        <v>687</v>
      </c>
      <c r="B69" s="37" t="s">
        <v>675</v>
      </c>
      <c r="C69" s="37"/>
      <c r="D69" s="37"/>
      <c r="E69" s="51" t="s">
        <v>674</v>
      </c>
      <c r="F69" s="99" t="n">
        <v>-142848</v>
      </c>
      <c r="G69" s="99" t="n">
        <v>0</v>
      </c>
      <c r="H69" s="103" t="s">
        <v>1539</v>
      </c>
      <c r="I69" s="51" t="s">
        <v>689</v>
      </c>
      <c r="J69" s="5"/>
      <c r="K69" s="5"/>
      <c r="L69" s="5"/>
      <c r="M69" s="5"/>
      <c r="N69" s="5"/>
      <c r="O69" s="5"/>
      <c r="P69" s="5"/>
      <c r="Q69" s="5"/>
      <c r="R69" s="5"/>
      <c r="S69" s="5"/>
      <c r="T69" s="5"/>
    </row>
    <row r="70" customFormat="false" ht="13.5" hidden="false" customHeight="true" outlineLevel="0" collapsed="false">
      <c r="A70" s="42" t="s">
        <v>690</v>
      </c>
      <c r="B70" s="30" t="s">
        <v>681</v>
      </c>
      <c r="C70" s="30"/>
      <c r="D70" s="30"/>
      <c r="E70" s="45" t="s">
        <v>356</v>
      </c>
      <c r="F70" s="92" t="n">
        <v>603443</v>
      </c>
      <c r="G70" s="92" t="n">
        <v>0</v>
      </c>
      <c r="H70" s="93" t="s">
        <v>1023</v>
      </c>
      <c r="I70" s="45" t="s">
        <v>692</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832</v>
      </c>
      <c r="B75" s="30" t="s">
        <v>823</v>
      </c>
      <c r="C75" s="30"/>
      <c r="D75" s="30"/>
      <c r="E75" s="30" t="s">
        <v>824</v>
      </c>
      <c r="F75" s="92" t="n">
        <v>7424000</v>
      </c>
      <c r="G75" s="92" t="n">
        <v>7424000</v>
      </c>
      <c r="H75" s="169" t="n">
        <v>46238</v>
      </c>
      <c r="I75" s="169"/>
      <c r="J75" s="184" t="n">
        <v>0.033</v>
      </c>
      <c r="K75" s="93" t="s">
        <v>1520</v>
      </c>
      <c r="L75" s="5"/>
      <c r="M75" s="5"/>
      <c r="N75" s="5"/>
      <c r="O75" s="5"/>
      <c r="P75" s="5"/>
      <c r="Q75" s="5"/>
      <c r="R75" s="5"/>
      <c r="S75" s="5"/>
      <c r="T75" s="5"/>
    </row>
    <row r="76" customFormat="false" ht="13.5" hidden="false" customHeight="true" outlineLevel="0" collapsed="false">
      <c r="A76" s="47" t="s">
        <v>833</v>
      </c>
      <c r="B76" s="37" t="s">
        <v>826</v>
      </c>
      <c r="C76" s="37"/>
      <c r="D76" s="37"/>
      <c r="E76" s="37" t="s">
        <v>824</v>
      </c>
      <c r="F76" s="99" t="n">
        <v>4352000</v>
      </c>
      <c r="G76" s="99" t="n">
        <v>4352000</v>
      </c>
      <c r="H76" s="96" t="n">
        <v>46262</v>
      </c>
      <c r="I76" s="96"/>
      <c r="J76" s="102" t="n">
        <v>0.033</v>
      </c>
      <c r="K76" s="103" t="s">
        <v>1520</v>
      </c>
      <c r="L76" s="5"/>
      <c r="M76" s="5"/>
      <c r="N76" s="5"/>
      <c r="O76" s="5"/>
      <c r="P76" s="5"/>
      <c r="Q76" s="5"/>
      <c r="R76" s="5"/>
      <c r="S76" s="5"/>
      <c r="T76" s="5"/>
    </row>
    <row r="77" customFormat="false" ht="13.5" hidden="false" customHeight="true" outlineLevel="0" collapsed="false">
      <c r="A77" s="42" t="s">
        <v>834</v>
      </c>
      <c r="B77" s="30" t="s">
        <v>828</v>
      </c>
      <c r="C77" s="30"/>
      <c r="D77" s="30"/>
      <c r="E77" s="30" t="s">
        <v>829</v>
      </c>
      <c r="F77" s="92" t="n">
        <v>2662400</v>
      </c>
      <c r="G77" s="92" t="n">
        <v>0</v>
      </c>
      <c r="H77" s="169"/>
      <c r="I77" s="169" t="n">
        <v>46531</v>
      </c>
      <c r="J77" s="184" t="n">
        <v>0</v>
      </c>
      <c r="K77" s="93" t="s">
        <v>1544</v>
      </c>
      <c r="L77" s="5"/>
      <c r="M77" s="5"/>
      <c r="N77" s="5"/>
      <c r="O77" s="5"/>
      <c r="P77" s="5"/>
      <c r="Q77" s="5"/>
      <c r="R77" s="5"/>
      <c r="S77" s="5"/>
      <c r="T77" s="5"/>
    </row>
    <row r="78" customFormat="false" ht="13.5" hidden="false" customHeight="true" outlineLevel="0" collapsed="false">
      <c r="A78" s="47" t="s">
        <v>835</v>
      </c>
      <c r="B78" s="37" t="s">
        <v>831</v>
      </c>
      <c r="C78" s="37"/>
      <c r="D78" s="37"/>
      <c r="E78" s="37" t="s">
        <v>829</v>
      </c>
      <c r="F78" s="99" t="n">
        <v>3584000</v>
      </c>
      <c r="G78" s="99" t="n">
        <v>0</v>
      </c>
      <c r="H78" s="96"/>
      <c r="I78" s="96"/>
      <c r="J78" s="102" t="n">
        <v>0</v>
      </c>
      <c r="K78" s="103" t="s">
        <v>1544</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1</v>
      </c>
      <c r="F83" s="92" t="n">
        <v>1</v>
      </c>
      <c r="G83" s="87" t="n">
        <f aca="false">IF($E83=0,1,$F83/$E83)</f>
        <v>1</v>
      </c>
      <c r="H83" s="92" t="n">
        <v>366</v>
      </c>
      <c r="I83" s="92" t="n">
        <v>352</v>
      </c>
      <c r="J83" s="87" t="n">
        <f aca="false">IF($H83=0,0,$I83/$H83)</f>
        <v>0.961748633879781</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0</v>
      </c>
      <c r="G84" s="100" t="n">
        <f aca="false">IF($E84=0,1,$F84/$E84)</f>
        <v>0</v>
      </c>
      <c r="H84" s="99" t="n">
        <v>171</v>
      </c>
      <c r="I84" s="99" t="n">
        <v>164</v>
      </c>
      <c r="J84" s="100" t="n">
        <f aca="false">IF($H84=0,0,$I84/$H84)</f>
        <v>0.95906432748538</v>
      </c>
      <c r="K84" s="52" t="str">
        <f aca="false">IF(AND($G84&gt;=0.95,$J84&gt;=0.85),"Green",IF(OR($G84&lt;0.8,$J84&lt;0.7),"Red","Amber"))</f>
        <v>Red</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1</v>
      </c>
      <c r="F85" s="92" t="n">
        <v>1</v>
      </c>
      <c r="G85" s="87" t="n">
        <f aca="false">IF($E85=0,1,$F85/$E85)</f>
        <v>1</v>
      </c>
      <c r="H85" s="92" t="n">
        <v>541</v>
      </c>
      <c r="I85" s="92" t="n">
        <v>492</v>
      </c>
      <c r="J85" s="87" t="n">
        <f aca="false">IF($H85=0,0,$I85/$H85)</f>
        <v>0.909426987060998</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3</v>
      </c>
      <c r="F86" s="99" t="n">
        <v>3</v>
      </c>
      <c r="G86" s="100" t="n">
        <f aca="false">IF($E86=0,1,$F86/$E86)</f>
        <v>1</v>
      </c>
      <c r="H86" s="99" t="n">
        <v>1826</v>
      </c>
      <c r="I86" s="99" t="n">
        <v>1660</v>
      </c>
      <c r="J86" s="100" t="n">
        <f aca="false">IF($H86=0,0,$I86/$H86)</f>
        <v>0.909090909090909</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13</v>
      </c>
      <c r="F87" s="92" t="n">
        <v>12</v>
      </c>
      <c r="G87" s="87" t="n">
        <f aca="false">IF($E87=0,1,$F87/$E87)</f>
        <v>0.923076923076923</v>
      </c>
      <c r="H87" s="92" t="n">
        <v>7197</v>
      </c>
      <c r="I87" s="92" t="n">
        <v>6543</v>
      </c>
      <c r="J87" s="87" t="n">
        <f aca="false">IF($H87=0,0,$I87/$H87)</f>
        <v>0.909128803668195</v>
      </c>
      <c r="K87" s="46" t="str">
        <f aca="false">IF(AND($G87&gt;=0.95,$J87&gt;=0.85),"Green",IF(OR($G87&lt;0.8,$J87&lt;0.7),"Red","Amber"))</f>
        <v>Amber</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6</v>
      </c>
      <c r="F88" s="99" t="n">
        <v>6</v>
      </c>
      <c r="G88" s="100" t="n">
        <f aca="false">IF($E88=0,1,$F88/$E88)</f>
        <v>1</v>
      </c>
      <c r="H88" s="99" t="n">
        <v>3396</v>
      </c>
      <c r="I88" s="99" t="n">
        <v>3087</v>
      </c>
      <c r="J88" s="100" t="n">
        <f aca="false">IF($H88=0,0,$I88/$H88)</f>
        <v>0.909010600706714</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164</v>
      </c>
      <c r="E91" s="163"/>
      <c r="F91" s="163"/>
      <c r="G91" s="53" t="s">
        <v>1554</v>
      </c>
      <c r="H91" s="53"/>
      <c r="I91" s="53"/>
      <c r="J91" s="163" t="n">
        <v>95</v>
      </c>
      <c r="K91" s="163"/>
      <c r="L91" s="163"/>
      <c r="M91" s="53" t="s">
        <v>1555</v>
      </c>
      <c r="N91" s="53"/>
      <c r="O91" s="53"/>
      <c r="P91" s="163" t="n">
        <v>33</v>
      </c>
      <c r="Q91" s="163"/>
      <c r="R91" s="163"/>
      <c r="S91" s="5"/>
      <c r="T91" s="5"/>
    </row>
    <row r="92" customFormat="false" ht="15.75" hidden="false" customHeight="true" outlineLevel="0" collapsed="false">
      <c r="A92" s="53" t="s">
        <v>1556</v>
      </c>
      <c r="B92" s="53"/>
      <c r="C92" s="53"/>
      <c r="D92" s="163" t="n">
        <v>46</v>
      </c>
      <c r="E92" s="163"/>
      <c r="F92" s="163"/>
      <c r="G92" s="53" t="s">
        <v>1557</v>
      </c>
      <c r="H92" s="53"/>
      <c r="I92" s="53"/>
      <c r="J92" s="163" t="n">
        <v>35</v>
      </c>
      <c r="K92" s="163"/>
      <c r="L92" s="163"/>
      <c r="M92" s="53" t="s">
        <v>1558</v>
      </c>
      <c r="N92" s="53"/>
      <c r="O92" s="53"/>
      <c r="P92" s="121" t="n">
        <f aca="false">IF(($D$91+$D$92)=0,0,($J$91+$J$92)/($D$91+$D$92))</f>
        <v>0.619047619047619</v>
      </c>
      <c r="Q92" s="121"/>
      <c r="R92" s="121"/>
      <c r="S92" s="5"/>
      <c r="T92" s="5"/>
    </row>
    <row r="93" customFormat="false" ht="15.75" hidden="false" customHeight="true" outlineLevel="0" collapsed="false">
      <c r="A93" s="53" t="s">
        <v>1559</v>
      </c>
      <c r="B93" s="53"/>
      <c r="C93" s="53"/>
      <c r="D93" s="163" t="n">
        <v>13497</v>
      </c>
      <c r="E93" s="163"/>
      <c r="F93" s="163"/>
      <c r="G93" s="53" t="s">
        <v>1560</v>
      </c>
      <c r="H93" s="53"/>
      <c r="I93" s="53"/>
      <c r="J93" s="163" t="n">
        <v>0</v>
      </c>
      <c r="K93" s="163"/>
      <c r="L93" s="163"/>
      <c r="M93" s="53" t="s">
        <v>1561</v>
      </c>
      <c r="N93" s="53"/>
      <c r="O93" s="53"/>
      <c r="P93" s="233" t="n">
        <v>0.72</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65</v>
      </c>
      <c r="K94" s="163"/>
      <c r="L94" s="163"/>
      <c r="M94" s="53" t="s">
        <v>1564</v>
      </c>
      <c r="N94" s="53"/>
      <c r="O94" s="53"/>
      <c r="P94" s="163" t="n">
        <v>54</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1029</v>
      </c>
      <c r="B97" s="30" t="s">
        <v>1014</v>
      </c>
      <c r="C97" s="30"/>
      <c r="D97" s="30"/>
      <c r="E97" s="93" t="s">
        <v>1015</v>
      </c>
      <c r="F97" s="30" t="s">
        <v>1016</v>
      </c>
      <c r="G97" s="92" t="n">
        <v>39786</v>
      </c>
      <c r="H97" s="93" t="s">
        <v>1017</v>
      </c>
      <c r="I97" s="5"/>
      <c r="J97" s="5"/>
      <c r="K97" s="5"/>
      <c r="L97" s="5"/>
      <c r="M97" s="5"/>
      <c r="N97" s="5"/>
      <c r="O97" s="5"/>
      <c r="P97" s="5"/>
      <c r="Q97" s="5"/>
      <c r="R97" s="5"/>
      <c r="S97" s="5"/>
      <c r="T97" s="5"/>
    </row>
    <row r="98" customFormat="false" ht="13.5" hidden="false" customHeight="true" outlineLevel="0" collapsed="false">
      <c r="A98" s="47" t="s">
        <v>1030</v>
      </c>
      <c r="B98" s="37" t="s">
        <v>1020</v>
      </c>
      <c r="C98" s="37"/>
      <c r="D98" s="37"/>
      <c r="E98" s="103" t="s">
        <v>1021</v>
      </c>
      <c r="F98" s="37" t="s">
        <v>1022</v>
      </c>
      <c r="G98" s="99" t="n">
        <v>9947</v>
      </c>
      <c r="H98" s="103" t="s">
        <v>1023</v>
      </c>
      <c r="I98" s="5"/>
      <c r="J98" s="5"/>
      <c r="K98" s="5"/>
      <c r="L98" s="5"/>
      <c r="M98" s="5"/>
      <c r="N98" s="5"/>
      <c r="O98" s="5"/>
      <c r="P98" s="5"/>
      <c r="Q98" s="5"/>
      <c r="R98" s="5"/>
      <c r="S98" s="5"/>
      <c r="T98" s="5"/>
    </row>
    <row r="99" customFormat="false" ht="13.5" hidden="false" customHeight="true" outlineLevel="0" collapsed="false">
      <c r="A99" s="42" t="s">
        <v>1031</v>
      </c>
      <c r="B99" s="30" t="s">
        <v>1026</v>
      </c>
      <c r="C99" s="30"/>
      <c r="D99" s="30"/>
      <c r="E99" s="93" t="s">
        <v>1015</v>
      </c>
      <c r="F99" s="30" t="s">
        <v>1027</v>
      </c>
      <c r="G99" s="92" t="n">
        <v>26779</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685</v>
      </c>
      <c r="B104" s="30" t="s">
        <v>1143</v>
      </c>
      <c r="C104" s="30"/>
      <c r="D104" s="30"/>
      <c r="E104" s="84" t="n">
        <v>4</v>
      </c>
      <c r="F104" s="84" t="n">
        <v>4</v>
      </c>
      <c r="G104" s="43" t="n">
        <f aca="false">$E104*$F104</f>
        <v>16</v>
      </c>
      <c r="H104" s="92" t="n">
        <v>1653671</v>
      </c>
      <c r="I104" s="31" t="n">
        <f aca="false">(($E104*2-1)/10)*$H104</f>
        <v>1157569.7</v>
      </c>
      <c r="J104" s="93" t="s">
        <v>1145</v>
      </c>
      <c r="K104" s="30" t="s">
        <v>1147</v>
      </c>
      <c r="L104" s="93" t="s">
        <v>1023</v>
      </c>
      <c r="M104" s="5"/>
      <c r="N104" s="5"/>
      <c r="O104" s="5"/>
      <c r="P104" s="5"/>
      <c r="Q104" s="5"/>
      <c r="R104" s="5"/>
      <c r="S104" s="5"/>
      <c r="T104" s="5"/>
    </row>
    <row r="105" customFormat="false" ht="13.5" hidden="false" customHeight="true" outlineLevel="0" collapsed="false">
      <c r="A105" s="47" t="s">
        <v>688</v>
      </c>
      <c r="B105" s="37" t="s">
        <v>1149</v>
      </c>
      <c r="C105" s="37"/>
      <c r="D105" s="37"/>
      <c r="E105" s="97" t="n">
        <v>4</v>
      </c>
      <c r="F105" s="97" t="n">
        <v>4</v>
      </c>
      <c r="G105" s="48" t="n">
        <f aca="false">$E105*$F105</f>
        <v>16</v>
      </c>
      <c r="H105" s="99" t="n">
        <v>1349047</v>
      </c>
      <c r="I105" s="49" t="n">
        <f aca="false">(($E105*2-1)/10)*$H105</f>
        <v>944332.9</v>
      </c>
      <c r="J105" s="103" t="s">
        <v>1145</v>
      </c>
      <c r="K105" s="37" t="s">
        <v>1152</v>
      </c>
      <c r="L105" s="103" t="s">
        <v>1023</v>
      </c>
      <c r="M105" s="5"/>
      <c r="N105" s="5"/>
      <c r="O105" s="5"/>
      <c r="P105" s="5"/>
      <c r="Q105" s="5"/>
      <c r="R105" s="5"/>
      <c r="S105" s="5"/>
      <c r="T105" s="5"/>
    </row>
    <row r="106" customFormat="false" ht="13.5" hidden="false" customHeight="true" outlineLevel="0" collapsed="false">
      <c r="A106" s="42" t="s">
        <v>691</v>
      </c>
      <c r="B106" s="30" t="s">
        <v>1153</v>
      </c>
      <c r="C106" s="30"/>
      <c r="D106" s="30"/>
      <c r="E106" s="84" t="n">
        <v>3</v>
      </c>
      <c r="F106" s="84" t="n">
        <v>4</v>
      </c>
      <c r="G106" s="43" t="n">
        <f aca="false">$E106*$F106</f>
        <v>12</v>
      </c>
      <c r="H106" s="92" t="n">
        <v>957388</v>
      </c>
      <c r="I106" s="31" t="n">
        <f aca="false">(($E106*2-1)/10)*$H106</f>
        <v>478694</v>
      </c>
      <c r="J106" s="93" t="s">
        <v>1145</v>
      </c>
      <c r="K106" s="30" t="s">
        <v>667</v>
      </c>
      <c r="L106" s="93" t="s">
        <v>1023</v>
      </c>
      <c r="M106" s="5"/>
      <c r="N106" s="5"/>
      <c r="O106" s="5"/>
      <c r="P106" s="5"/>
      <c r="Q106" s="5"/>
      <c r="R106" s="5"/>
      <c r="S106" s="5"/>
      <c r="T106" s="5"/>
    </row>
    <row r="107" customFormat="false" ht="13.5" hidden="false" customHeight="true" outlineLevel="0" collapsed="false">
      <c r="A107" s="47" t="s">
        <v>1162</v>
      </c>
      <c r="B107" s="37" t="s">
        <v>1157</v>
      </c>
      <c r="C107" s="37"/>
      <c r="D107" s="37"/>
      <c r="E107" s="97" t="n">
        <v>4</v>
      </c>
      <c r="F107" s="97" t="n">
        <v>3</v>
      </c>
      <c r="G107" s="48" t="n">
        <f aca="false">$E107*$F107</f>
        <v>12</v>
      </c>
      <c r="H107" s="99" t="n">
        <v>1087941</v>
      </c>
      <c r="I107" s="49" t="n">
        <f aca="false">(($E107*2-1)/10)*$H107</f>
        <v>761558.7</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1206</v>
      </c>
      <c r="B110" s="30" t="s">
        <v>1195</v>
      </c>
      <c r="C110" s="30"/>
      <c r="D110" s="30"/>
      <c r="E110" s="93" t="s">
        <v>1571</v>
      </c>
      <c r="F110" s="92" t="n">
        <v>0</v>
      </c>
      <c r="G110" s="92" t="n">
        <v>34</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1207</v>
      </c>
      <c r="B111" s="37" t="s">
        <v>1199</v>
      </c>
      <c r="C111" s="37"/>
      <c r="D111" s="37"/>
      <c r="E111" s="103" t="s">
        <v>1097</v>
      </c>
      <c r="F111" s="99" t="n">
        <v>0</v>
      </c>
      <c r="G111" s="99" t="n">
        <v>21</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1208</v>
      </c>
      <c r="B112" s="30" t="s">
        <v>1204</v>
      </c>
      <c r="C112" s="30"/>
      <c r="D112" s="30"/>
      <c r="E112" s="93" t="s">
        <v>1570</v>
      </c>
      <c r="F112" s="92" t="n">
        <v>0</v>
      </c>
      <c r="G112" s="92" t="n">
        <v>0</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1209</v>
      </c>
      <c r="B113" s="37" t="s">
        <v>1190</v>
      </c>
      <c r="C113" s="37"/>
      <c r="D113" s="37"/>
      <c r="E113" s="103" t="s">
        <v>1570</v>
      </c>
      <c r="F113" s="99" t="n">
        <v>261106</v>
      </c>
      <c r="G113" s="99" t="n">
        <v>18</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1577</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1578</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296</v>
      </c>
      <c r="E7" s="229"/>
      <c r="F7" s="229"/>
      <c r="G7" s="53" t="s">
        <v>5</v>
      </c>
      <c r="H7" s="53"/>
      <c r="I7" s="53"/>
      <c r="J7" s="229" t="s">
        <v>369</v>
      </c>
      <c r="K7" s="229"/>
      <c r="L7" s="229"/>
      <c r="M7" s="53" t="s">
        <v>258</v>
      </c>
      <c r="N7" s="53"/>
      <c r="O7" s="53"/>
      <c r="P7" s="229" t="s">
        <v>1485</v>
      </c>
      <c r="Q7" s="229"/>
      <c r="R7" s="229"/>
      <c r="S7" s="5"/>
      <c r="T7" s="230" t="n">
        <f aca="false">SUMIF($I$63:$I$65,"Approved",$F$63:$F$65)</f>
        <v>3934480</v>
      </c>
    </row>
    <row r="8" customFormat="false" ht="15.75" hidden="false" customHeight="true" outlineLevel="0" collapsed="false">
      <c r="A8" s="53" t="s">
        <v>257</v>
      </c>
      <c r="B8" s="53"/>
      <c r="C8" s="53"/>
      <c r="D8" s="229" t="s">
        <v>1578</v>
      </c>
      <c r="E8" s="229"/>
      <c r="F8" s="229"/>
      <c r="G8" s="53" t="s">
        <v>1486</v>
      </c>
      <c r="H8" s="53"/>
      <c r="I8" s="53"/>
      <c r="J8" s="229" t="s">
        <v>521</v>
      </c>
      <c r="K8" s="229"/>
      <c r="L8" s="229"/>
      <c r="M8" s="53" t="s">
        <v>260</v>
      </c>
      <c r="N8" s="53"/>
      <c r="O8" s="53"/>
      <c r="P8" s="229" t="s">
        <v>290</v>
      </c>
      <c r="Q8" s="229"/>
      <c r="R8" s="229"/>
      <c r="S8" s="5"/>
      <c r="T8" s="230" t="n">
        <f aca="false">SUMIF($I$63:$I$65,"Approved",$G$63:$G$65)</f>
        <v>3427416</v>
      </c>
    </row>
    <row r="9" customFormat="false" ht="15.75" hidden="false" customHeight="true" outlineLevel="0" collapsed="false">
      <c r="A9" s="53" t="s">
        <v>1487</v>
      </c>
      <c r="B9" s="53"/>
      <c r="C9" s="53"/>
      <c r="D9" s="229" t="s">
        <v>1488</v>
      </c>
      <c r="E9" s="229"/>
      <c r="F9" s="229"/>
      <c r="G9" s="53" t="s">
        <v>1489</v>
      </c>
      <c r="H9" s="53"/>
      <c r="I9" s="53"/>
      <c r="J9" s="229" t="s">
        <v>291</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46113</v>
      </c>
      <c r="E10" s="231"/>
      <c r="F10" s="231"/>
      <c r="G10" s="53" t="s">
        <v>1491</v>
      </c>
      <c r="H10" s="53"/>
      <c r="I10" s="53"/>
      <c r="J10" s="231" t="n">
        <v>46660</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0</v>
      </c>
      <c r="E11" s="163"/>
      <c r="F11" s="163"/>
      <c r="G11" s="53" t="s">
        <v>1493</v>
      </c>
      <c r="H11" s="53"/>
      <c r="I11" s="53"/>
      <c r="J11" s="232" t="n">
        <f aca="false">$P$10+$D$11</f>
        <v>46265</v>
      </c>
      <c r="K11" s="232"/>
      <c r="L11" s="232"/>
      <c r="M11" s="53" t="s">
        <v>78</v>
      </c>
      <c r="N11" s="53"/>
      <c r="O11" s="53"/>
      <c r="P11" s="229" t="s">
        <v>297</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210400000</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187256000</v>
      </c>
      <c r="E15" s="163"/>
      <c r="F15" s="163"/>
      <c r="G15" s="53" t="s">
        <v>1499</v>
      </c>
      <c r="H15" s="53"/>
      <c r="I15" s="53"/>
      <c r="J15" s="117" t="n">
        <f aca="false">$T$7</f>
        <v>3934480</v>
      </c>
      <c r="K15" s="117"/>
      <c r="L15" s="117"/>
      <c r="M15" s="53" t="s">
        <v>1500</v>
      </c>
      <c r="N15" s="53"/>
      <c r="O15" s="53"/>
      <c r="P15" s="117" t="n">
        <f aca="false">$T$8</f>
        <v>3427416</v>
      </c>
      <c r="Q15" s="117"/>
      <c r="R15" s="117"/>
      <c r="S15" s="5"/>
      <c r="T15" s="5"/>
    </row>
    <row r="16" customFormat="false" ht="15.75" hidden="false" customHeight="true" outlineLevel="0" collapsed="false">
      <c r="A16" s="53" t="s">
        <v>1501</v>
      </c>
      <c r="B16" s="53"/>
      <c r="C16" s="53"/>
      <c r="D16" s="117" t="n">
        <f aca="false">$D$14+$J$15</f>
        <v>214334480</v>
      </c>
      <c r="E16" s="117"/>
      <c r="F16" s="117"/>
      <c r="G16" s="53" t="s">
        <v>1502</v>
      </c>
      <c r="H16" s="53"/>
      <c r="I16" s="53"/>
      <c r="J16" s="117" t="n">
        <f aca="false">$D$15+$R$15</f>
        <v>187256000</v>
      </c>
      <c r="K16" s="117"/>
      <c r="L16" s="117"/>
      <c r="M16" s="53" t="s">
        <v>1503</v>
      </c>
      <c r="N16" s="53"/>
      <c r="O16" s="53"/>
      <c r="P16" s="117" t="n">
        <f aca="false">$D$16-$J$16</f>
        <v>27078480</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31971086.6736</v>
      </c>
      <c r="E19" s="117"/>
      <c r="F19" s="117"/>
      <c r="G19" s="53" t="s">
        <v>1506</v>
      </c>
      <c r="H19" s="53"/>
      <c r="I19" s="53"/>
      <c r="J19" s="117" t="n">
        <f aca="false">$Q$41</f>
        <v>30525137.9216</v>
      </c>
      <c r="K19" s="117"/>
      <c r="L19" s="117"/>
      <c r="M19" s="53" t="s">
        <v>1507</v>
      </c>
      <c r="N19" s="53"/>
      <c r="O19" s="53"/>
      <c r="P19" s="117" t="n">
        <f aca="false">$R$41</f>
        <v>30801610</v>
      </c>
      <c r="Q19" s="117"/>
      <c r="R19" s="117"/>
      <c r="S19" s="5"/>
      <c r="T19" s="5"/>
    </row>
    <row r="20" customFormat="false" ht="15.75" hidden="false" customHeight="true" outlineLevel="0" collapsed="false">
      <c r="A20" s="53" t="s">
        <v>1508</v>
      </c>
      <c r="B20" s="53"/>
      <c r="C20" s="53"/>
      <c r="D20" s="117" t="n">
        <f aca="false">$S$41</f>
        <v>89474073</v>
      </c>
      <c r="E20" s="117"/>
      <c r="F20" s="117"/>
      <c r="G20" s="53" t="s">
        <v>1509</v>
      </c>
      <c r="H20" s="53"/>
      <c r="I20" s="53"/>
      <c r="J20" s="117" t="n">
        <f aca="false">$J$19-$D$19</f>
        <v>-1445948.75199999</v>
      </c>
      <c r="K20" s="117"/>
      <c r="L20" s="117"/>
      <c r="M20" s="53" t="s">
        <v>1510</v>
      </c>
      <c r="N20" s="53"/>
      <c r="O20" s="53"/>
      <c r="P20" s="117" t="n">
        <f aca="false">$J$19-$P$19</f>
        <v>-276472.078399997</v>
      </c>
      <c r="Q20" s="117"/>
      <c r="R20" s="117"/>
      <c r="S20" s="5"/>
      <c r="T20" s="5"/>
    </row>
    <row r="21" customFormat="false" ht="15.75" hidden="false" customHeight="true" outlineLevel="0" collapsed="false">
      <c r="A21" s="53" t="s">
        <v>1511</v>
      </c>
      <c r="B21" s="53"/>
      <c r="C21" s="53"/>
      <c r="D21" s="120" t="n">
        <f aca="false">IF($D$19&lt;=0,1,$J$19/$D$19)</f>
        <v>0.954773237245202</v>
      </c>
      <c r="E21" s="120"/>
      <c r="F21" s="120"/>
      <c r="G21" s="53" t="s">
        <v>1512</v>
      </c>
      <c r="H21" s="53"/>
      <c r="I21" s="53"/>
      <c r="J21" s="120" t="n">
        <f aca="false">IF($P$19&lt;=0,1,$J$19/$P$19)</f>
        <v>0.991024103012797</v>
      </c>
      <c r="K21" s="120"/>
      <c r="L21" s="120"/>
      <c r="M21" s="53" t="s">
        <v>344</v>
      </c>
      <c r="N21" s="53"/>
      <c r="O21" s="53"/>
      <c r="P21" s="121" t="n">
        <f aca="false">IF($J$16=0,0,$J$19/$J$16)</f>
        <v>0.163012869662921</v>
      </c>
      <c r="Q21" s="121"/>
      <c r="R21" s="121"/>
      <c r="S21" s="5"/>
      <c r="T21" s="5"/>
    </row>
    <row r="22" customFormat="false" ht="15.75" hidden="false" customHeight="true" outlineLevel="0" collapsed="false">
      <c r="A22" s="53" t="s">
        <v>1513</v>
      </c>
      <c r="B22" s="53"/>
      <c r="C22" s="53"/>
      <c r="D22" s="117" t="n">
        <f aca="false">IF($J$21&lt;=0,$J$16,$J$16/$J$21)</f>
        <v>188952013.811497</v>
      </c>
      <c r="E22" s="117"/>
      <c r="F22" s="117"/>
      <c r="G22" s="53" t="s">
        <v>1514</v>
      </c>
      <c r="H22" s="53"/>
      <c r="I22" s="53"/>
      <c r="J22" s="117" t="n">
        <f aca="false">$J$16-$D$22</f>
        <v>-1696013.81149653</v>
      </c>
      <c r="K22" s="117"/>
      <c r="L22" s="117"/>
      <c r="M22" s="53" t="s">
        <v>1515</v>
      </c>
      <c r="N22" s="53"/>
      <c r="O22" s="53"/>
      <c r="P22" s="117" t="n">
        <f aca="false">$D$22-$P$19</f>
        <v>158150403.811497</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46173</v>
      </c>
      <c r="E27" s="169" t="n">
        <v>46173</v>
      </c>
      <c r="F27" s="92" t="n">
        <v>8426520</v>
      </c>
      <c r="G27" s="184" t="n">
        <v>1</v>
      </c>
      <c r="H27" s="184" t="n">
        <v>1</v>
      </c>
      <c r="I27" s="31" t="n">
        <f aca="false">$F27*$G27</f>
        <v>8426520</v>
      </c>
      <c r="J27" s="31" t="n">
        <f aca="false">$F27*$H27</f>
        <v>8426520</v>
      </c>
      <c r="K27" s="92" t="n">
        <v>8235281</v>
      </c>
      <c r="L27" s="92" t="n">
        <v>8426520</v>
      </c>
      <c r="M27" s="152" t="n">
        <f aca="false">IF($I27&lt;=0,1,$J27/$I27)</f>
        <v>1</v>
      </c>
      <c r="N27" s="152" t="n">
        <f aca="false">IF($K27&lt;=0,1,$J27/$K27)</f>
        <v>1.02322191556062</v>
      </c>
      <c r="O27" s="93" t="s">
        <v>1579</v>
      </c>
      <c r="P27" s="46" t="str">
        <f aca="false">IF(AND($M27&gt;=0.95,$N27&gt;=0.95),"Green",IF(OR($M27&lt;0.85,$N27&lt;0.85),"Red","Amber"))</f>
        <v>Green</v>
      </c>
      <c r="Q27" s="31" t="n">
        <f aca="false">MAX(0,$E27-$D27)</f>
        <v>0</v>
      </c>
      <c r="R27" s="5"/>
      <c r="S27" s="5"/>
      <c r="T27" s="5"/>
    </row>
    <row r="28" customFormat="false" ht="13.5" hidden="false" customHeight="true" outlineLevel="0" collapsed="false">
      <c r="A28" s="47" t="s">
        <v>486</v>
      </c>
      <c r="B28" s="37" t="s">
        <v>487</v>
      </c>
      <c r="C28" s="37" t="s">
        <v>483</v>
      </c>
      <c r="D28" s="96" t="n">
        <v>46660</v>
      </c>
      <c r="E28" s="96" t="n">
        <v>46660</v>
      </c>
      <c r="F28" s="99" t="n">
        <v>14044200</v>
      </c>
      <c r="G28" s="102" t="n">
        <v>0.2778</v>
      </c>
      <c r="H28" s="102" t="n">
        <v>0.2756</v>
      </c>
      <c r="I28" s="49" t="n">
        <f aca="false">$F28*$G28</f>
        <v>3901478.76</v>
      </c>
      <c r="J28" s="49" t="n">
        <f aca="false">$F28*$H28</f>
        <v>3870581.52</v>
      </c>
      <c r="K28" s="99" t="n">
        <v>3935792</v>
      </c>
      <c r="L28" s="99" t="n">
        <v>12639780</v>
      </c>
      <c r="M28" s="157" t="n">
        <f aca="false">IF($I28&lt;=0,1,$J28/$I28)</f>
        <v>0.992080633549316</v>
      </c>
      <c r="N28" s="157" t="n">
        <f aca="false">IF($K28&lt;=0,1,$J28/$K28)</f>
        <v>0.983431421172664</v>
      </c>
      <c r="O28" s="103" t="s">
        <v>1520</v>
      </c>
      <c r="P28" s="52" t="str">
        <f aca="false">IF(AND($M28&gt;=0.95,$N28&gt;=0.95),"Green",IF(OR($M28&lt;0.85,$N28&lt;0.85),"Red","Amber"))</f>
        <v>Green</v>
      </c>
      <c r="Q28" s="49" t="n">
        <f aca="false">MAX(0,$E28-$D28)</f>
        <v>0</v>
      </c>
      <c r="R28" s="5"/>
      <c r="S28" s="5"/>
      <c r="T28" s="5"/>
    </row>
    <row r="29" customFormat="false" ht="13.5" hidden="false" customHeight="true" outlineLevel="0" collapsed="false">
      <c r="A29" s="42" t="s">
        <v>490</v>
      </c>
      <c r="B29" s="30" t="s">
        <v>491</v>
      </c>
      <c r="C29" s="30" t="s">
        <v>492</v>
      </c>
      <c r="D29" s="169" t="n">
        <v>46356</v>
      </c>
      <c r="E29" s="169" t="n">
        <v>46356</v>
      </c>
      <c r="F29" s="92" t="n">
        <v>10299080</v>
      </c>
      <c r="G29" s="184" t="n">
        <v>0.6727</v>
      </c>
      <c r="H29" s="184" t="n">
        <v>0.5874</v>
      </c>
      <c r="I29" s="31" t="n">
        <f aca="false">$F29*$G29</f>
        <v>6928191.116</v>
      </c>
      <c r="J29" s="31" t="n">
        <f aca="false">$F29*$H29</f>
        <v>6049679.592</v>
      </c>
      <c r="K29" s="92" t="n">
        <v>6478091</v>
      </c>
      <c r="L29" s="92" t="n">
        <v>8754218</v>
      </c>
      <c r="M29" s="152" t="n">
        <f aca="false">IF($I29&lt;=0,1,$J29/$I29)</f>
        <v>0.873197562063327</v>
      </c>
      <c r="N29" s="152" t="n">
        <f aca="false">IF($K29&lt;=0,1,$J29/$K29)</f>
        <v>0.933867645885184</v>
      </c>
      <c r="O29" s="93" t="s">
        <v>1520</v>
      </c>
      <c r="P29" s="46" t="str">
        <f aca="false">IF(AND($M29&gt;=0.95,$N29&gt;=0.95),"Green",IF(OR($M29&lt;0.85,$N29&lt;0.85),"Red","Amber"))</f>
        <v>Amber</v>
      </c>
      <c r="Q29" s="31" t="n">
        <f aca="false">MAX(0,$E29-$D29)</f>
        <v>0</v>
      </c>
      <c r="R29" s="5"/>
      <c r="S29" s="5"/>
      <c r="T29" s="5"/>
    </row>
    <row r="30" customFormat="false" ht="13.5" hidden="false" customHeight="true" outlineLevel="0" collapsed="false">
      <c r="A30" s="47" t="s">
        <v>495</v>
      </c>
      <c r="B30" s="37" t="s">
        <v>522</v>
      </c>
      <c r="C30" s="37" t="s">
        <v>497</v>
      </c>
      <c r="D30" s="96" t="n">
        <v>46418</v>
      </c>
      <c r="E30" s="96" t="n">
        <v>46418</v>
      </c>
      <c r="F30" s="99" t="n">
        <v>34642360</v>
      </c>
      <c r="G30" s="102" t="n">
        <v>0.2894</v>
      </c>
      <c r="H30" s="102" t="n">
        <v>0.2728</v>
      </c>
      <c r="I30" s="49" t="n">
        <f aca="false">$F30*$G30</f>
        <v>10025498.984</v>
      </c>
      <c r="J30" s="49" t="n">
        <f aca="false">$F30*$H30</f>
        <v>9450435.808</v>
      </c>
      <c r="K30" s="99" t="n">
        <v>9324882</v>
      </c>
      <c r="L30" s="99" t="n">
        <v>21478263</v>
      </c>
      <c r="M30" s="157" t="n">
        <f aca="false">IF($I30&lt;=0,1,$J30/$I30)</f>
        <v>0.9426399447132</v>
      </c>
      <c r="N30" s="157" t="n">
        <f aca="false">IF($K30&lt;=0,1,$J30/$K30)</f>
        <v>1.01346438571555</v>
      </c>
      <c r="O30" s="103" t="s">
        <v>1520</v>
      </c>
      <c r="P30" s="52" t="str">
        <f aca="false">IF(AND($M30&gt;=0.95,$N30&gt;=0.95),"Green",IF(OR($M30&lt;0.85,$N30&lt;0.85),"Red","Amber"))</f>
        <v>Amber</v>
      </c>
      <c r="Q30" s="49" t="n">
        <f aca="false">MAX(0,$E30-$D30)</f>
        <v>0</v>
      </c>
      <c r="R30" s="5"/>
      <c r="S30" s="5"/>
      <c r="T30" s="5"/>
    </row>
    <row r="31" customFormat="false" ht="13.5" hidden="false" customHeight="true" outlineLevel="0" collapsed="false">
      <c r="A31" s="42" t="s">
        <v>498</v>
      </c>
      <c r="B31" s="30" t="s">
        <v>523</v>
      </c>
      <c r="C31" s="30" t="s">
        <v>500</v>
      </c>
      <c r="D31" s="169" t="n">
        <v>46538</v>
      </c>
      <c r="E31" s="169" t="n">
        <v>46538</v>
      </c>
      <c r="F31" s="92" t="n">
        <v>45877720</v>
      </c>
      <c r="G31" s="184" t="n">
        <v>0.0461</v>
      </c>
      <c r="H31" s="184" t="n">
        <v>0.0475</v>
      </c>
      <c r="I31" s="31" t="n">
        <f aca="false">$F31*$G31</f>
        <v>2114962.892</v>
      </c>
      <c r="J31" s="31" t="n">
        <f aca="false">$F31*$H31</f>
        <v>2179191.7</v>
      </c>
      <c r="K31" s="92" t="n">
        <v>2262625</v>
      </c>
      <c r="L31" s="92" t="n">
        <v>20644974</v>
      </c>
      <c r="M31" s="152" t="n">
        <f aca="false">IF($I31&lt;=0,1,$J31/$I31)</f>
        <v>1.03036876355748</v>
      </c>
      <c r="N31" s="152" t="n">
        <f aca="false">IF($K31&lt;=0,1,$J31/$K31)</f>
        <v>0.963125440583393</v>
      </c>
      <c r="O31" s="93" t="s">
        <v>1520</v>
      </c>
      <c r="P31" s="46" t="str">
        <f aca="false">IF(AND($M31&gt;=0.95,$N31&gt;=0.95),"Green",IF(OR($M31&lt;0.85,$N31&lt;0.85),"Red","Amber"))</f>
        <v>Green</v>
      </c>
      <c r="Q31" s="31" t="n">
        <f aca="false">MAX(0,$E31-$D31)</f>
        <v>0</v>
      </c>
      <c r="R31" s="5"/>
      <c r="S31" s="5"/>
      <c r="T31" s="5"/>
    </row>
    <row r="32" customFormat="false" ht="13.5" hidden="false" customHeight="true" outlineLevel="0" collapsed="false">
      <c r="A32" s="47" t="s">
        <v>501</v>
      </c>
      <c r="B32" s="37" t="s">
        <v>524</v>
      </c>
      <c r="C32" s="37" t="s">
        <v>503</v>
      </c>
      <c r="D32" s="96" t="n">
        <v>46599</v>
      </c>
      <c r="E32" s="96" t="n">
        <v>46599</v>
      </c>
      <c r="F32" s="99" t="n">
        <v>34642360</v>
      </c>
      <c r="G32" s="102" t="n">
        <v>0</v>
      </c>
      <c r="H32" s="102" t="n">
        <v>0</v>
      </c>
      <c r="I32" s="49" t="n">
        <f aca="false">$F32*$G32</f>
        <v>0</v>
      </c>
      <c r="J32" s="49" t="n">
        <f aca="false">$F32*$H32</f>
        <v>0</v>
      </c>
      <c r="K32" s="99" t="n">
        <v>0</v>
      </c>
      <c r="L32" s="99" t="n">
        <v>10392708</v>
      </c>
      <c r="M32" s="157" t="n">
        <f aca="false">IF($I32&lt;=0,1,$J32/$I32)</f>
        <v>1</v>
      </c>
      <c r="N32" s="157" t="n">
        <f aca="false">IF($K32&lt;=0,1,$J32/$K32)</f>
        <v>1</v>
      </c>
      <c r="O32" s="103" t="s">
        <v>1521</v>
      </c>
      <c r="P32" s="52" t="str">
        <f aca="false">IF(AND($M32&gt;=0.95,$N32&gt;=0.95),"Green",IF(OR($M32&lt;0.85,$N32&lt;0.85),"Red","Amber"))</f>
        <v>Green</v>
      </c>
      <c r="Q32" s="49" t="n">
        <f aca="false">MAX(0,$E32-$D32)</f>
        <v>0</v>
      </c>
      <c r="R32" s="5"/>
      <c r="S32" s="5"/>
      <c r="T32" s="5"/>
    </row>
    <row r="33" customFormat="false" ht="13.5" hidden="false" customHeight="true" outlineLevel="0" collapsed="false">
      <c r="A33" s="42" t="s">
        <v>506</v>
      </c>
      <c r="B33" s="30" t="s">
        <v>525</v>
      </c>
      <c r="C33" s="30" t="s">
        <v>508</v>
      </c>
      <c r="D33" s="169" t="n">
        <v>46630</v>
      </c>
      <c r="E33" s="169" t="n">
        <v>46630</v>
      </c>
      <c r="F33" s="92" t="n">
        <v>25279560</v>
      </c>
      <c r="G33" s="184" t="n">
        <v>0</v>
      </c>
      <c r="H33" s="184" t="n">
        <v>0</v>
      </c>
      <c r="I33" s="31" t="n">
        <f aca="false">$F33*$G33</f>
        <v>0</v>
      </c>
      <c r="J33" s="31" t="n">
        <f aca="false">$F33*$H33</f>
        <v>0</v>
      </c>
      <c r="K33" s="92" t="n">
        <v>0</v>
      </c>
      <c r="L33" s="92" t="n">
        <v>4550321</v>
      </c>
      <c r="M33" s="152" t="n">
        <f aca="false">IF($I33&lt;=0,1,$J33/$I33)</f>
        <v>1</v>
      </c>
      <c r="N33" s="152" t="n">
        <f aca="false">IF($K33&lt;=0,1,$J33/$K33)</f>
        <v>1</v>
      </c>
      <c r="O33" s="93" t="s">
        <v>1521</v>
      </c>
      <c r="P33" s="46" t="str">
        <f aca="false">IF(AND($M33&gt;=0.95,$N33&gt;=0.95),"Green",IF(OR($M33&lt;0.85,$N33&lt;0.85),"Red","Amber"))</f>
        <v>Green</v>
      </c>
      <c r="Q33" s="31" t="n">
        <f aca="false">MAX(0,$E33-$D33)</f>
        <v>0</v>
      </c>
      <c r="R33" s="5"/>
      <c r="S33" s="5"/>
      <c r="T33" s="5"/>
    </row>
    <row r="34" customFormat="false" ht="13.5" hidden="false" customHeight="true" outlineLevel="0" collapsed="false">
      <c r="A34" s="47" t="s">
        <v>511</v>
      </c>
      <c r="B34" s="37" t="s">
        <v>512</v>
      </c>
      <c r="C34" s="37" t="s">
        <v>513</v>
      </c>
      <c r="D34" s="96" t="n">
        <v>46660</v>
      </c>
      <c r="E34" s="96" t="n">
        <v>46660</v>
      </c>
      <c r="F34" s="99" t="n">
        <v>14044200</v>
      </c>
      <c r="G34" s="102" t="n">
        <v>0</v>
      </c>
      <c r="H34" s="102" t="n">
        <v>0</v>
      </c>
      <c r="I34" s="49" t="n">
        <f aca="false">$F34*$G34</f>
        <v>0</v>
      </c>
      <c r="J34" s="49" t="n">
        <f aca="false">$F34*$H34</f>
        <v>0</v>
      </c>
      <c r="K34" s="99" t="n">
        <v>0</v>
      </c>
      <c r="L34" s="99" t="n">
        <v>702210</v>
      </c>
      <c r="M34" s="157" t="n">
        <f aca="false">IF($I34&lt;=0,1,$J34/$I34)</f>
        <v>1</v>
      </c>
      <c r="N34" s="157" t="n">
        <f aca="false">IF($K34&lt;=0,1,$J34/$K34)</f>
        <v>1</v>
      </c>
      <c r="O34" s="103" t="s">
        <v>1521</v>
      </c>
      <c r="P34" s="52" t="str">
        <f aca="false">IF(AND($M34&gt;=0.95,$N34&gt;=0.95),"Green",IF(OR($M34&lt;0.85,$N34&lt;0.85),"Red","Amber"))</f>
        <v>Green</v>
      </c>
      <c r="Q34" s="49" t="n">
        <f aca="false">MAX(0,$E34-$D34)</f>
        <v>0</v>
      </c>
      <c r="R34" s="5"/>
      <c r="S34" s="5"/>
      <c r="T34" s="5"/>
    </row>
    <row r="35" customFormat="false" ht="13.5" hidden="false" customHeight="true" outlineLevel="0" collapsed="false">
      <c r="A35" s="42" t="s">
        <v>516</v>
      </c>
      <c r="B35" s="30" t="s">
        <v>517</v>
      </c>
      <c r="C35" s="30" t="s">
        <v>518</v>
      </c>
      <c r="D35" s="169" t="n">
        <v>46630</v>
      </c>
      <c r="E35" s="169" t="n">
        <v>46660</v>
      </c>
      <c r="F35" s="158" t="n">
        <f aca="false">$T$8</f>
        <v>3427416</v>
      </c>
      <c r="G35" s="184" t="n">
        <v>0.1676</v>
      </c>
      <c r="H35" s="184" t="n">
        <v>0.1601</v>
      </c>
      <c r="I35" s="31" t="n">
        <f aca="false">$F35*$G35</f>
        <v>574434.9216</v>
      </c>
      <c r="J35" s="31" t="n">
        <f aca="false">$F35*$H35</f>
        <v>548729.3016</v>
      </c>
      <c r="K35" s="92" t="n">
        <v>564939</v>
      </c>
      <c r="L35" s="92" t="n">
        <v>1885079</v>
      </c>
      <c r="M35" s="152" t="n">
        <f aca="false">IF($I35&lt;=0,1,$J35/$I35)</f>
        <v>0.955250596658711</v>
      </c>
      <c r="N35" s="152" t="n">
        <f aca="false">IF($K35&lt;=0,1,$J35/$K35)</f>
        <v>0.971307170508674</v>
      </c>
      <c r="O35" s="93" t="s">
        <v>1520</v>
      </c>
      <c r="P35" s="46" t="str">
        <f aca="false">IF(AND($M35&gt;=0.95,$N35&gt;=0.95),"Green",IF(OR($M35&lt;0.85,$N35&lt;0.85),"Red","Amber"))</f>
        <v>Green</v>
      </c>
      <c r="Q35" s="31" t="n">
        <f aca="false">MAX(0,$E35-$D35)</f>
        <v>30</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190683416</v>
      </c>
      <c r="G41" s="104" t="n">
        <f aca="false">IF($F41=0,0,$I41/$F41)</f>
        <v>0.167665795716603</v>
      </c>
      <c r="H41" s="104" t="n">
        <f aca="false">IF($F41=0,0,$J41/$F41)</f>
        <v>0.160082814551634</v>
      </c>
      <c r="I41" s="28" t="n">
        <f aca="false">SUM($I$27:$I$35)</f>
        <v>31971086.6736</v>
      </c>
      <c r="J41" s="28" t="n">
        <f aca="false">SUM($J$27:$J$35)</f>
        <v>30525137.9216</v>
      </c>
      <c r="K41" s="28" t="n">
        <f aca="false">SUM($K$27:$K$35)</f>
        <v>30801610</v>
      </c>
      <c r="L41" s="28" t="n">
        <f aca="false">SUM($L$27:$L$35)</f>
        <v>89474073</v>
      </c>
      <c r="M41" s="29" t="n">
        <f aca="false">IF($I41&lt;=0,1,$J41/$I41)</f>
        <v>0.954773237245202</v>
      </c>
      <c r="N41" s="29" t="n">
        <f aca="false">IF($K41&lt;=0,1,$J41/$K41)</f>
        <v>0.991024103012797</v>
      </c>
      <c r="O41" s="105"/>
      <c r="P41" s="234" t="n">
        <f aca="false">$I41</f>
        <v>31971086.6736</v>
      </c>
      <c r="Q41" s="234" t="n">
        <f aca="false">$J41</f>
        <v>30525137.9216</v>
      </c>
      <c r="R41" s="147" t="n">
        <f aca="false">$K41</f>
        <v>30801610</v>
      </c>
      <c r="S41" s="147" t="n">
        <f aca="false">$L41</f>
        <v>89474073</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13107920</v>
      </c>
      <c r="F47" s="92" t="n">
        <v>0</v>
      </c>
      <c r="G47" s="92" t="n">
        <v>2958577</v>
      </c>
      <c r="H47" s="92" t="n">
        <v>6569175</v>
      </c>
      <c r="I47" s="31" t="n">
        <f aca="false">($E47+$F47)*1.012</f>
        <v>13265215.04</v>
      </c>
      <c r="J47" s="87" t="n">
        <f aca="false">IF(($E47+$F47)=0,0,(($E47+$F47)-$I47)/($E47+$F47))</f>
        <v>-0.0120000000000001</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11609872</v>
      </c>
      <c r="F48" s="99" t="n">
        <v>0</v>
      </c>
      <c r="G48" s="99" t="n">
        <v>2514792</v>
      </c>
      <c r="H48" s="99" t="n">
        <v>5255340</v>
      </c>
      <c r="I48" s="49" t="n">
        <f aca="false">($E48+$F48)*1.012</f>
        <v>11749190.464</v>
      </c>
      <c r="J48" s="100" t="n">
        <f aca="false">IF(($E48+$F48)=0,0,(($E48+$F48)-$I48)/($E48+$F48))</f>
        <v>-0.012</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9362800</v>
      </c>
      <c r="F49" s="92" t="n">
        <v>0</v>
      </c>
      <c r="G49" s="92" t="n">
        <v>650887</v>
      </c>
      <c r="H49" s="92" t="n">
        <v>3941505</v>
      </c>
      <c r="I49" s="31" t="n">
        <f aca="false">($E49+$F49)*1.012</f>
        <v>9475153.6</v>
      </c>
      <c r="J49" s="87" t="n">
        <f aca="false">IF(($E49+$F49)=0,0,(($E49+$F49)-$I49)/($E49+$F49))</f>
        <v>-0.012</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14044200</v>
      </c>
      <c r="F50" s="99" t="n">
        <v>0</v>
      </c>
      <c r="G50" s="99" t="n">
        <v>1834319</v>
      </c>
      <c r="H50" s="99" t="n">
        <v>4817395</v>
      </c>
      <c r="I50" s="49" t="n">
        <f aca="false">($E50+$F50)*1.012</f>
        <v>14212730.4</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78647520</v>
      </c>
      <c r="F51" s="92" t="n">
        <v>0</v>
      </c>
      <c r="G51" s="92" t="n">
        <v>15384608</v>
      </c>
      <c r="H51" s="92" t="n">
        <v>41166825</v>
      </c>
      <c r="I51" s="31" t="n">
        <f aca="false">($E51+$F51)*1.012</f>
        <v>79591290.24</v>
      </c>
      <c r="J51" s="87" t="n">
        <f aca="false">IF(($E51+$F51)=0,0,(($E51+$F51)-$I51)/($E51+$F51))</f>
        <v>-0.0119999999999999</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37451200</v>
      </c>
      <c r="F52" s="99" t="n">
        <v>0</v>
      </c>
      <c r="G52" s="99" t="n">
        <v>4437868</v>
      </c>
      <c r="H52" s="99" t="n">
        <v>18831634</v>
      </c>
      <c r="I52" s="49" t="n">
        <f aca="false">($E52+$F52)*1.012</f>
        <v>37900614.4</v>
      </c>
      <c r="J52" s="100" t="n">
        <f aca="false">IF(($E52+$F52)=0,0,(($E52+$F52)-$I52)/($E52+$F52))</f>
        <v>-0.012</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8426520</v>
      </c>
      <c r="F53" s="92" t="n">
        <v>0</v>
      </c>
      <c r="G53" s="92" t="n">
        <v>1124260</v>
      </c>
      <c r="H53" s="92" t="n">
        <v>3503560</v>
      </c>
      <c r="I53" s="31" t="n">
        <f aca="false">($E53+$F53)*1.012</f>
        <v>8527638.24</v>
      </c>
      <c r="J53" s="87" t="n">
        <f aca="false">IF(($E53+$F53)=0,0,(($E53+$F53)-$I53)/($E53+$F53))</f>
        <v>-0.012</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4119632</v>
      </c>
      <c r="F54" s="99" t="n">
        <v>0</v>
      </c>
      <c r="G54" s="99" t="n">
        <v>650887</v>
      </c>
      <c r="H54" s="99" t="n">
        <v>1751780</v>
      </c>
      <c r="I54" s="49" t="n">
        <f aca="false">($E54+$F54)*1.012</f>
        <v>4169067.584</v>
      </c>
      <c r="J54" s="100" t="n">
        <f aca="false">IF(($E54+$F54)=0,0,(($E54+$F54)-$I54)/($E54+$F54))</f>
        <v>-0.0120000000000001</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4868656</v>
      </c>
      <c r="F55" s="92" t="n">
        <v>0</v>
      </c>
      <c r="G55" s="92" t="n">
        <v>680473</v>
      </c>
      <c r="H55" s="92" t="n">
        <v>1751780</v>
      </c>
      <c r="I55" s="31" t="n">
        <f aca="false">($E55+$F55)*1.012</f>
        <v>4927079.872</v>
      </c>
      <c r="J55" s="87" t="n">
        <f aca="false">IF(($E55+$F55)=0,0,(($E55+$F55)-$I55)/($E55+$F55))</f>
        <v>-0.0120000000000001</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5617680</v>
      </c>
      <c r="F56" s="99" t="n">
        <v>0</v>
      </c>
      <c r="G56" s="99" t="n">
        <v>0</v>
      </c>
      <c r="H56" s="99" t="n">
        <v>0</v>
      </c>
      <c r="I56" s="49" t="n">
        <f aca="false">($E56+$F56)*1.012</f>
        <v>5685092.16</v>
      </c>
      <c r="J56" s="100" t="n">
        <f aca="false">IF(($E56+$F56)=0,0,(($E56+$F56)-$I56)/($E56+$F56))</f>
        <v>-0.012</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3427416</v>
      </c>
      <c r="G57" s="92" t="n">
        <v>564939</v>
      </c>
      <c r="H57" s="92" t="n">
        <v>1885079</v>
      </c>
      <c r="I57" s="31" t="n">
        <f aca="false">($E57+$F57)*1.012</f>
        <v>3468544.992</v>
      </c>
      <c r="J57" s="87" t="n">
        <f aca="false">IF(($E57+$F57)=0,0,(($E57+$F57)-$I57)/($E57+$F57))</f>
        <v>-0.012</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187256000</v>
      </c>
      <c r="F58" s="28" t="n">
        <f aca="false">SUM($F$47:$F$57)</f>
        <v>3427416</v>
      </c>
      <c r="G58" s="28" t="n">
        <f aca="false">SUM($G$47:$G$57)</f>
        <v>30801610</v>
      </c>
      <c r="H58" s="28" t="n">
        <f aca="false">SUM($H$47:$H$57)</f>
        <v>89474073</v>
      </c>
      <c r="I58" s="28" t="n">
        <f aca="false">SUM($I$47:$I$57)</f>
        <v>192971616.992</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695</v>
      </c>
      <c r="B63" s="30" t="s">
        <v>778</v>
      </c>
      <c r="C63" s="30"/>
      <c r="D63" s="30"/>
      <c r="E63" s="45" t="s">
        <v>779</v>
      </c>
      <c r="F63" s="92" t="n">
        <v>2840400</v>
      </c>
      <c r="G63" s="92" t="n">
        <v>2442744</v>
      </c>
      <c r="H63" s="92" t="n">
        <v>0</v>
      </c>
      <c r="I63" s="93" t="s">
        <v>1536</v>
      </c>
      <c r="J63" s="45" t="s">
        <v>693</v>
      </c>
      <c r="K63" s="5"/>
      <c r="L63" s="5"/>
      <c r="M63" s="5"/>
      <c r="N63" s="5"/>
      <c r="O63" s="5"/>
      <c r="P63" s="5"/>
      <c r="Q63" s="5"/>
      <c r="R63" s="5"/>
      <c r="S63" s="5"/>
      <c r="T63" s="5"/>
    </row>
    <row r="64" customFormat="false" ht="13.5" hidden="false" customHeight="true" outlineLevel="0" collapsed="false">
      <c r="A64" s="47" t="s">
        <v>698</v>
      </c>
      <c r="B64" s="37" t="s">
        <v>781</v>
      </c>
      <c r="C64" s="37"/>
      <c r="D64" s="37"/>
      <c r="E64" s="51" t="s">
        <v>674</v>
      </c>
      <c r="F64" s="99" t="n">
        <v>1094080</v>
      </c>
      <c r="G64" s="99" t="n">
        <v>984672</v>
      </c>
      <c r="H64" s="99" t="n">
        <v>7</v>
      </c>
      <c r="I64" s="103" t="s">
        <v>1536</v>
      </c>
      <c r="J64" s="51" t="s">
        <v>696</v>
      </c>
      <c r="K64" s="5"/>
      <c r="L64" s="5"/>
      <c r="M64" s="5"/>
      <c r="N64" s="5"/>
      <c r="O64" s="5"/>
      <c r="P64" s="5"/>
      <c r="Q64" s="5"/>
      <c r="R64" s="5"/>
      <c r="S64" s="5"/>
      <c r="T64" s="5"/>
    </row>
    <row r="65" customFormat="false" ht="13.5" hidden="false" customHeight="true" outlineLevel="0" collapsed="false">
      <c r="A65" s="42" t="s">
        <v>701</v>
      </c>
      <c r="B65" s="30" t="s">
        <v>782</v>
      </c>
      <c r="C65" s="30"/>
      <c r="D65" s="30"/>
      <c r="E65" s="45" t="s">
        <v>783</v>
      </c>
      <c r="F65" s="92" t="n">
        <v>4165920</v>
      </c>
      <c r="G65" s="92" t="n">
        <v>3624350</v>
      </c>
      <c r="H65" s="92" t="n">
        <v>21</v>
      </c>
      <c r="I65" s="93" t="s">
        <v>1537</v>
      </c>
      <c r="J65" s="45" t="s">
        <v>699</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693</v>
      </c>
      <c r="B68" s="30" t="s">
        <v>668</v>
      </c>
      <c r="C68" s="30"/>
      <c r="D68" s="30"/>
      <c r="E68" s="45" t="s">
        <v>95</v>
      </c>
      <c r="F68" s="92" t="n">
        <v>2442744</v>
      </c>
      <c r="G68" s="92" t="n">
        <v>0</v>
      </c>
      <c r="H68" s="93" t="s">
        <v>1539</v>
      </c>
      <c r="I68" s="45" t="s">
        <v>695</v>
      </c>
      <c r="J68" s="5"/>
      <c r="K68" s="5"/>
      <c r="L68" s="5"/>
      <c r="M68" s="5"/>
      <c r="N68" s="5"/>
      <c r="O68" s="5"/>
      <c r="P68" s="5"/>
      <c r="Q68" s="5"/>
      <c r="R68" s="5"/>
      <c r="S68" s="5"/>
      <c r="T68" s="5"/>
    </row>
    <row r="69" customFormat="false" ht="13.5" hidden="false" customHeight="true" outlineLevel="0" collapsed="false">
      <c r="A69" s="47" t="s">
        <v>696</v>
      </c>
      <c r="B69" s="37" t="s">
        <v>675</v>
      </c>
      <c r="C69" s="37"/>
      <c r="D69" s="37"/>
      <c r="E69" s="51" t="s">
        <v>674</v>
      </c>
      <c r="F69" s="99" t="n">
        <v>984672</v>
      </c>
      <c r="G69" s="99" t="n">
        <v>7</v>
      </c>
      <c r="H69" s="103" t="s">
        <v>1539</v>
      </c>
      <c r="I69" s="51" t="s">
        <v>698</v>
      </c>
      <c r="J69" s="5"/>
      <c r="K69" s="5"/>
      <c r="L69" s="5"/>
      <c r="M69" s="5"/>
      <c r="N69" s="5"/>
      <c r="O69" s="5"/>
      <c r="P69" s="5"/>
      <c r="Q69" s="5"/>
      <c r="R69" s="5"/>
      <c r="S69" s="5"/>
      <c r="T69" s="5"/>
    </row>
    <row r="70" customFormat="false" ht="13.5" hidden="false" customHeight="true" outlineLevel="0" collapsed="false">
      <c r="A70" s="42" t="s">
        <v>699</v>
      </c>
      <c r="B70" s="30" t="s">
        <v>681</v>
      </c>
      <c r="C70" s="30"/>
      <c r="D70" s="30"/>
      <c r="E70" s="45" t="s">
        <v>356</v>
      </c>
      <c r="F70" s="92" t="n">
        <v>3624350</v>
      </c>
      <c r="G70" s="92" t="n">
        <v>21</v>
      </c>
      <c r="H70" s="93" t="s">
        <v>1540</v>
      </c>
      <c r="I70" s="45" t="s">
        <v>701</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836</v>
      </c>
      <c r="B75" s="30" t="s">
        <v>823</v>
      </c>
      <c r="C75" s="30"/>
      <c r="D75" s="30"/>
      <c r="E75" s="30" t="s">
        <v>824</v>
      </c>
      <c r="F75" s="92" t="n">
        <v>30508000</v>
      </c>
      <c r="G75" s="92" t="n">
        <v>30508000</v>
      </c>
      <c r="H75" s="169" t="n">
        <v>46177</v>
      </c>
      <c r="I75" s="169"/>
      <c r="J75" s="184" t="n">
        <v>0.059</v>
      </c>
      <c r="K75" s="93" t="s">
        <v>1520</v>
      </c>
      <c r="L75" s="5"/>
      <c r="M75" s="5"/>
      <c r="N75" s="5"/>
      <c r="O75" s="5"/>
      <c r="P75" s="5"/>
      <c r="Q75" s="5"/>
      <c r="R75" s="5"/>
      <c r="S75" s="5"/>
      <c r="T75" s="5"/>
    </row>
    <row r="76" customFormat="false" ht="13.5" hidden="false" customHeight="true" outlineLevel="0" collapsed="false">
      <c r="A76" s="47" t="s">
        <v>837</v>
      </c>
      <c r="B76" s="37" t="s">
        <v>826</v>
      </c>
      <c r="C76" s="37"/>
      <c r="D76" s="37"/>
      <c r="E76" s="37" t="s">
        <v>824</v>
      </c>
      <c r="F76" s="99" t="n">
        <v>17884000</v>
      </c>
      <c r="G76" s="99" t="n">
        <v>17884000</v>
      </c>
      <c r="H76" s="96" t="n">
        <v>46200</v>
      </c>
      <c r="I76" s="96"/>
      <c r="J76" s="102" t="n">
        <v>0.059</v>
      </c>
      <c r="K76" s="103" t="s">
        <v>1520</v>
      </c>
      <c r="L76" s="5"/>
      <c r="M76" s="5"/>
      <c r="N76" s="5"/>
      <c r="O76" s="5"/>
      <c r="P76" s="5"/>
      <c r="Q76" s="5"/>
      <c r="R76" s="5"/>
      <c r="S76" s="5"/>
      <c r="T76" s="5"/>
    </row>
    <row r="77" customFormat="false" ht="13.5" hidden="false" customHeight="true" outlineLevel="0" collapsed="false">
      <c r="A77" s="42" t="s">
        <v>838</v>
      </c>
      <c r="B77" s="30" t="s">
        <v>828</v>
      </c>
      <c r="C77" s="30"/>
      <c r="D77" s="30"/>
      <c r="E77" s="30" t="s">
        <v>824</v>
      </c>
      <c r="F77" s="92" t="n">
        <v>10940800</v>
      </c>
      <c r="G77" s="92" t="n">
        <v>10940800</v>
      </c>
      <c r="H77" s="169" t="n">
        <v>46253</v>
      </c>
      <c r="I77" s="169" t="n">
        <v>46470</v>
      </c>
      <c r="J77" s="184" t="n">
        <v>0.059</v>
      </c>
      <c r="K77" s="93" t="s">
        <v>1520</v>
      </c>
      <c r="L77" s="5"/>
      <c r="M77" s="5"/>
      <c r="N77" s="5"/>
      <c r="O77" s="5"/>
      <c r="P77" s="5"/>
      <c r="Q77" s="5"/>
      <c r="R77" s="5"/>
      <c r="S77" s="5"/>
      <c r="T77" s="5"/>
    </row>
    <row r="78" customFormat="false" ht="13.5" hidden="false" customHeight="true" outlineLevel="0" collapsed="false">
      <c r="A78" s="47" t="s">
        <v>839</v>
      </c>
      <c r="B78" s="37" t="s">
        <v>831</v>
      </c>
      <c r="C78" s="37"/>
      <c r="D78" s="37"/>
      <c r="E78" s="37" t="s">
        <v>824</v>
      </c>
      <c r="F78" s="99" t="n">
        <v>14728000</v>
      </c>
      <c r="G78" s="99" t="n">
        <v>14728000</v>
      </c>
      <c r="H78" s="96" t="n">
        <v>46265</v>
      </c>
      <c r="I78" s="96"/>
      <c r="J78" s="102" t="n">
        <v>0.059</v>
      </c>
      <c r="K78" s="103" t="s">
        <v>1520</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3</v>
      </c>
      <c r="F83" s="92" t="n">
        <v>3</v>
      </c>
      <c r="G83" s="87" t="n">
        <f aca="false">IF($E83=0,1,$F83/$E83)</f>
        <v>1</v>
      </c>
      <c r="H83" s="92" t="n">
        <v>3172</v>
      </c>
      <c r="I83" s="92" t="n">
        <v>3050</v>
      </c>
      <c r="J83" s="87" t="n">
        <f aca="false">IF($H83=0,0,$I83/$H83)</f>
        <v>0.961538461538462</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2</v>
      </c>
      <c r="F84" s="99" t="n">
        <v>2</v>
      </c>
      <c r="G84" s="100" t="n">
        <f aca="false">IF($E84=0,1,$F84/$E84)</f>
        <v>1</v>
      </c>
      <c r="H84" s="99" t="n">
        <v>1480</v>
      </c>
      <c r="I84" s="99" t="n">
        <v>1423</v>
      </c>
      <c r="J84" s="100" t="n">
        <f aca="false">IF($H84=0,0,$I84/$H84)</f>
        <v>0.961486486486487</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5</v>
      </c>
      <c r="F85" s="92" t="n">
        <v>5</v>
      </c>
      <c r="G85" s="87" t="n">
        <f aca="false">IF($E85=0,1,$F85/$E85)</f>
        <v>1</v>
      </c>
      <c r="H85" s="92" t="n">
        <v>4434</v>
      </c>
      <c r="I85" s="92" t="n">
        <v>4031</v>
      </c>
      <c r="J85" s="87" t="n">
        <f aca="false">IF($H85=0,0,$I85/$H85)</f>
        <v>0.909111411817772</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15</v>
      </c>
      <c r="F86" s="99" t="n">
        <v>15</v>
      </c>
      <c r="G86" s="100" t="n">
        <f aca="false">IF($E86=0,1,$F86/$E86)</f>
        <v>1</v>
      </c>
      <c r="H86" s="99" t="n">
        <v>14967</v>
      </c>
      <c r="I86" s="99" t="n">
        <v>13606</v>
      </c>
      <c r="J86" s="100" t="n">
        <f aca="false">IF($H86=0,0,$I86/$H86)</f>
        <v>0.909066613215741</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60</v>
      </c>
      <c r="F87" s="92" t="n">
        <v>61</v>
      </c>
      <c r="G87" s="87" t="n">
        <f aca="false">IF($E87=0,1,$F87/$E87)</f>
        <v>1.01666666666667</v>
      </c>
      <c r="H87" s="92" t="n">
        <v>58717</v>
      </c>
      <c r="I87" s="92" t="n">
        <v>53379</v>
      </c>
      <c r="J87" s="87" t="n">
        <f aca="false">IF($H87=0,0,$I87/$H87)</f>
        <v>0.909089360832468</v>
      </c>
      <c r="K87" s="46" t="str">
        <f aca="false">IF(AND($G87&gt;=0.95,$J87&gt;=0.85),"Green",IF(OR($G87&lt;0.8,$J87&lt;0.7),"Red","Amber"))</f>
        <v>Green</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28</v>
      </c>
      <c r="F88" s="99" t="n">
        <v>29</v>
      </c>
      <c r="G88" s="100" t="n">
        <f aca="false">IF($E88=0,1,$F88/$E88)</f>
        <v>1.03571428571429</v>
      </c>
      <c r="H88" s="99" t="n">
        <v>27828</v>
      </c>
      <c r="I88" s="99" t="n">
        <v>25298</v>
      </c>
      <c r="J88" s="100" t="n">
        <f aca="false">IF($H88=0,0,$I88/$H88)</f>
        <v>0.909084375449188</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437</v>
      </c>
      <c r="E91" s="163"/>
      <c r="F91" s="163"/>
      <c r="G91" s="53" t="s">
        <v>1554</v>
      </c>
      <c r="H91" s="53"/>
      <c r="I91" s="53"/>
      <c r="J91" s="163" t="n">
        <v>293</v>
      </c>
      <c r="K91" s="163"/>
      <c r="L91" s="163"/>
      <c r="M91" s="53" t="s">
        <v>1555</v>
      </c>
      <c r="N91" s="53"/>
      <c r="O91" s="53"/>
      <c r="P91" s="163" t="n">
        <v>48</v>
      </c>
      <c r="Q91" s="163"/>
      <c r="R91" s="163"/>
      <c r="S91" s="5"/>
      <c r="T91" s="5"/>
    </row>
    <row r="92" customFormat="false" ht="15.75" hidden="false" customHeight="true" outlineLevel="0" collapsed="false">
      <c r="A92" s="53" t="s">
        <v>1556</v>
      </c>
      <c r="B92" s="53"/>
      <c r="C92" s="53"/>
      <c r="D92" s="163" t="n">
        <v>122</v>
      </c>
      <c r="E92" s="163"/>
      <c r="F92" s="163"/>
      <c r="G92" s="53" t="s">
        <v>1557</v>
      </c>
      <c r="H92" s="53"/>
      <c r="I92" s="53"/>
      <c r="J92" s="163" t="n">
        <v>94</v>
      </c>
      <c r="K92" s="163"/>
      <c r="L92" s="163"/>
      <c r="M92" s="53" t="s">
        <v>1558</v>
      </c>
      <c r="N92" s="53"/>
      <c r="O92" s="53"/>
      <c r="P92" s="121" t="n">
        <f aca="false">IF(($D$91+$D$92)=0,0,($J$91+$J$92)/($D$91+$D$92))</f>
        <v>0.692307692307692</v>
      </c>
      <c r="Q92" s="121"/>
      <c r="R92" s="121"/>
      <c r="S92" s="5"/>
      <c r="T92" s="5"/>
    </row>
    <row r="93" customFormat="false" ht="15.75" hidden="false" customHeight="true" outlineLevel="0" collapsed="false">
      <c r="A93" s="53" t="s">
        <v>1559</v>
      </c>
      <c r="B93" s="53"/>
      <c r="C93" s="53"/>
      <c r="D93" s="163" t="n">
        <v>110598</v>
      </c>
      <c r="E93" s="163"/>
      <c r="F93" s="163"/>
      <c r="G93" s="53" t="s">
        <v>1560</v>
      </c>
      <c r="H93" s="53"/>
      <c r="I93" s="53"/>
      <c r="J93" s="163" t="n">
        <v>0</v>
      </c>
      <c r="K93" s="163"/>
      <c r="L93" s="163"/>
      <c r="M93" s="53" t="s">
        <v>1561</v>
      </c>
      <c r="N93" s="53"/>
      <c r="O93" s="53"/>
      <c r="P93" s="233" t="n">
        <v>0.76</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84</v>
      </c>
      <c r="K94" s="163"/>
      <c r="L94" s="163"/>
      <c r="M94" s="53" t="s">
        <v>1564</v>
      </c>
      <c r="N94" s="53"/>
      <c r="O94" s="53"/>
      <c r="P94" s="163" t="n">
        <v>69</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1032</v>
      </c>
      <c r="B97" s="30" t="s">
        <v>1014</v>
      </c>
      <c r="C97" s="30"/>
      <c r="D97" s="30"/>
      <c r="E97" s="93" t="s">
        <v>1015</v>
      </c>
      <c r="F97" s="30" t="s">
        <v>1016</v>
      </c>
      <c r="G97" s="92" t="n">
        <v>336354</v>
      </c>
      <c r="H97" s="93" t="s">
        <v>1017</v>
      </c>
      <c r="I97" s="5"/>
      <c r="J97" s="5"/>
      <c r="K97" s="5"/>
      <c r="L97" s="5"/>
      <c r="M97" s="5"/>
      <c r="N97" s="5"/>
      <c r="O97" s="5"/>
      <c r="P97" s="5"/>
      <c r="Q97" s="5"/>
      <c r="R97" s="5"/>
      <c r="S97" s="5"/>
      <c r="T97" s="5"/>
    </row>
    <row r="98" customFormat="false" ht="13.5" hidden="false" customHeight="true" outlineLevel="0" collapsed="false">
      <c r="A98" s="47" t="s">
        <v>1033</v>
      </c>
      <c r="B98" s="37" t="s">
        <v>1020</v>
      </c>
      <c r="C98" s="37"/>
      <c r="D98" s="37"/>
      <c r="E98" s="103" t="s">
        <v>1021</v>
      </c>
      <c r="F98" s="37" t="s">
        <v>1022</v>
      </c>
      <c r="G98" s="99" t="n">
        <v>84088</v>
      </c>
      <c r="H98" s="103" t="s">
        <v>1023</v>
      </c>
      <c r="I98" s="5"/>
      <c r="J98" s="5"/>
      <c r="K98" s="5"/>
      <c r="L98" s="5"/>
      <c r="M98" s="5"/>
      <c r="N98" s="5"/>
      <c r="O98" s="5"/>
      <c r="P98" s="5"/>
      <c r="Q98" s="5"/>
      <c r="R98" s="5"/>
      <c r="S98" s="5"/>
      <c r="T98" s="5"/>
    </row>
    <row r="99" customFormat="false" ht="13.5" hidden="false" customHeight="true" outlineLevel="0" collapsed="false">
      <c r="A99" s="42" t="s">
        <v>1034</v>
      </c>
      <c r="B99" s="30" t="s">
        <v>1026</v>
      </c>
      <c r="C99" s="30"/>
      <c r="D99" s="30"/>
      <c r="E99" s="93" t="s">
        <v>1015</v>
      </c>
      <c r="F99" s="30" t="s">
        <v>1027</v>
      </c>
      <c r="G99" s="92" t="n">
        <v>226392</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694</v>
      </c>
      <c r="B104" s="30" t="s">
        <v>1143</v>
      </c>
      <c r="C104" s="30"/>
      <c r="D104" s="30"/>
      <c r="E104" s="84" t="n">
        <v>3</v>
      </c>
      <c r="F104" s="84" t="n">
        <v>4</v>
      </c>
      <c r="G104" s="43" t="n">
        <f aca="false">$E104*$F104</f>
        <v>12</v>
      </c>
      <c r="H104" s="92" t="n">
        <v>7245970</v>
      </c>
      <c r="I104" s="31" t="n">
        <f aca="false">(($E104*2-1)/10)*$H104</f>
        <v>3622985</v>
      </c>
      <c r="J104" s="93" t="s">
        <v>1145</v>
      </c>
      <c r="K104" s="30" t="s">
        <v>1147</v>
      </c>
      <c r="L104" s="93" t="s">
        <v>1023</v>
      </c>
      <c r="M104" s="5"/>
      <c r="N104" s="5"/>
      <c r="O104" s="5"/>
      <c r="P104" s="5"/>
      <c r="Q104" s="5"/>
      <c r="R104" s="5"/>
      <c r="S104" s="5"/>
      <c r="T104" s="5"/>
    </row>
    <row r="105" customFormat="false" ht="13.5" hidden="false" customHeight="true" outlineLevel="0" collapsed="false">
      <c r="A105" s="47" t="s">
        <v>697</v>
      </c>
      <c r="B105" s="37" t="s">
        <v>1149</v>
      </c>
      <c r="C105" s="37"/>
      <c r="D105" s="37"/>
      <c r="E105" s="97" t="n">
        <v>3</v>
      </c>
      <c r="F105" s="97" t="n">
        <v>4</v>
      </c>
      <c r="G105" s="48" t="n">
        <f aca="false">$E105*$F105</f>
        <v>12</v>
      </c>
      <c r="H105" s="99" t="n">
        <v>5911186</v>
      </c>
      <c r="I105" s="49" t="n">
        <f aca="false">(($E105*2-1)/10)*$H105</f>
        <v>2955593</v>
      </c>
      <c r="J105" s="103" t="s">
        <v>1145</v>
      </c>
      <c r="K105" s="37" t="s">
        <v>1152</v>
      </c>
      <c r="L105" s="103" t="s">
        <v>1023</v>
      </c>
      <c r="M105" s="5"/>
      <c r="N105" s="5"/>
      <c r="O105" s="5"/>
      <c r="P105" s="5"/>
      <c r="Q105" s="5"/>
      <c r="R105" s="5"/>
      <c r="S105" s="5"/>
      <c r="T105" s="5"/>
    </row>
    <row r="106" customFormat="false" ht="13.5" hidden="false" customHeight="true" outlineLevel="0" collapsed="false">
      <c r="A106" s="42" t="s">
        <v>700</v>
      </c>
      <c r="B106" s="30" t="s">
        <v>1153</v>
      </c>
      <c r="C106" s="30"/>
      <c r="D106" s="30"/>
      <c r="E106" s="84" t="n">
        <v>2</v>
      </c>
      <c r="F106" s="84" t="n">
        <v>4</v>
      </c>
      <c r="G106" s="43" t="n">
        <f aca="false">$E106*$F106</f>
        <v>8</v>
      </c>
      <c r="H106" s="92" t="n">
        <v>4195035</v>
      </c>
      <c r="I106" s="31" t="n">
        <f aca="false">(($E106*2-1)/10)*$H106</f>
        <v>1258510.5</v>
      </c>
      <c r="J106" s="93" t="s">
        <v>1145</v>
      </c>
      <c r="K106" s="30" t="s">
        <v>667</v>
      </c>
      <c r="L106" s="93" t="s">
        <v>1023</v>
      </c>
      <c r="M106" s="5"/>
      <c r="N106" s="5"/>
      <c r="O106" s="5"/>
      <c r="P106" s="5"/>
      <c r="Q106" s="5"/>
      <c r="R106" s="5"/>
      <c r="S106" s="5"/>
      <c r="T106" s="5"/>
    </row>
    <row r="107" customFormat="false" ht="13.5" hidden="false" customHeight="true" outlineLevel="0" collapsed="false">
      <c r="A107" s="47" t="s">
        <v>1163</v>
      </c>
      <c r="B107" s="37" t="s">
        <v>1157</v>
      </c>
      <c r="C107" s="37"/>
      <c r="D107" s="37"/>
      <c r="E107" s="97" t="n">
        <v>3</v>
      </c>
      <c r="F107" s="97" t="n">
        <v>3</v>
      </c>
      <c r="G107" s="48" t="n">
        <f aca="false">$E107*$F107</f>
        <v>9</v>
      </c>
      <c r="H107" s="99" t="n">
        <v>4767085</v>
      </c>
      <c r="I107" s="49" t="n">
        <f aca="false">(($E107*2-1)/10)*$H107</f>
        <v>2383542.5</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1210</v>
      </c>
      <c r="B110" s="30" t="s">
        <v>1199</v>
      </c>
      <c r="C110" s="30"/>
      <c r="D110" s="30"/>
      <c r="E110" s="93" t="s">
        <v>1097</v>
      </c>
      <c r="F110" s="92" t="n">
        <v>0</v>
      </c>
      <c r="G110" s="92" t="n">
        <v>21</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1211</v>
      </c>
      <c r="B111" s="37" t="s">
        <v>1204</v>
      </c>
      <c r="C111" s="37"/>
      <c r="D111" s="37"/>
      <c r="E111" s="103" t="s">
        <v>1570</v>
      </c>
      <c r="F111" s="99" t="n">
        <v>0</v>
      </c>
      <c r="G111" s="99" t="n">
        <v>0</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1212</v>
      </c>
      <c r="B112" s="30" t="s">
        <v>1190</v>
      </c>
      <c r="C112" s="30"/>
      <c r="D112" s="30"/>
      <c r="E112" s="93" t="s">
        <v>1570</v>
      </c>
      <c r="F112" s="92" t="n">
        <v>0</v>
      </c>
      <c r="G112" s="92" t="n">
        <v>18</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1213</v>
      </c>
      <c r="B113" s="37" t="s">
        <v>1195</v>
      </c>
      <c r="C113" s="37"/>
      <c r="D113" s="37"/>
      <c r="E113" s="103" t="s">
        <v>1571</v>
      </c>
      <c r="F113" s="99" t="n">
        <v>1144100</v>
      </c>
      <c r="G113" s="99" t="n">
        <v>34</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1580</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1581</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298</v>
      </c>
      <c r="E7" s="229"/>
      <c r="F7" s="229"/>
      <c r="G7" s="53" t="s">
        <v>5</v>
      </c>
      <c r="H7" s="53"/>
      <c r="I7" s="53"/>
      <c r="J7" s="229" t="s">
        <v>369</v>
      </c>
      <c r="K7" s="229"/>
      <c r="L7" s="229"/>
      <c r="M7" s="53" t="s">
        <v>258</v>
      </c>
      <c r="N7" s="53"/>
      <c r="O7" s="53"/>
      <c r="P7" s="229" t="s">
        <v>1485</v>
      </c>
      <c r="Q7" s="229"/>
      <c r="R7" s="229"/>
      <c r="S7" s="5"/>
      <c r="T7" s="230" t="n">
        <f aca="false">SUMIF($I$63:$I$65,"Approved",$F$63:$F$65)</f>
        <v>711360</v>
      </c>
    </row>
    <row r="8" customFormat="false" ht="15.75" hidden="false" customHeight="true" outlineLevel="0" collapsed="false">
      <c r="A8" s="53" t="s">
        <v>257</v>
      </c>
      <c r="B8" s="53"/>
      <c r="C8" s="53"/>
      <c r="D8" s="229" t="s">
        <v>1581</v>
      </c>
      <c r="E8" s="229"/>
      <c r="F8" s="229"/>
      <c r="G8" s="53" t="s">
        <v>1486</v>
      </c>
      <c r="H8" s="53"/>
      <c r="I8" s="53"/>
      <c r="J8" s="229" t="s">
        <v>526</v>
      </c>
      <c r="K8" s="229"/>
      <c r="L8" s="229"/>
      <c r="M8" s="53" t="s">
        <v>260</v>
      </c>
      <c r="N8" s="53"/>
      <c r="O8" s="53"/>
      <c r="P8" s="229" t="s">
        <v>290</v>
      </c>
      <c r="Q8" s="229"/>
      <c r="R8" s="229"/>
      <c r="S8" s="5"/>
      <c r="T8" s="230" t="n">
        <f aca="false">SUMIF($I$63:$I$65,"Approved",$G$63:$G$65)</f>
        <v>618259</v>
      </c>
    </row>
    <row r="9" customFormat="false" ht="15.75" hidden="false" customHeight="true" outlineLevel="0" collapsed="false">
      <c r="A9" s="53" t="s">
        <v>1487</v>
      </c>
      <c r="B9" s="53"/>
      <c r="C9" s="53"/>
      <c r="D9" s="229" t="s">
        <v>1488</v>
      </c>
      <c r="E9" s="229"/>
      <c r="F9" s="229"/>
      <c r="G9" s="53" t="s">
        <v>1489</v>
      </c>
      <c r="H9" s="53"/>
      <c r="I9" s="53"/>
      <c r="J9" s="229" t="s">
        <v>295</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46143</v>
      </c>
      <c r="E10" s="231"/>
      <c r="F10" s="231"/>
      <c r="G10" s="53" t="s">
        <v>1491</v>
      </c>
      <c r="H10" s="53"/>
      <c r="I10" s="53"/>
      <c r="J10" s="231" t="n">
        <v>46568</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0</v>
      </c>
      <c r="E11" s="163"/>
      <c r="F11" s="163"/>
      <c r="G11" s="53" t="s">
        <v>1493</v>
      </c>
      <c r="H11" s="53"/>
      <c r="I11" s="53"/>
      <c r="J11" s="232" t="n">
        <f aca="false">$P$10+$D$11</f>
        <v>46265</v>
      </c>
      <c r="K11" s="232"/>
      <c r="L11" s="232"/>
      <c r="M11" s="53" t="s">
        <v>78</v>
      </c>
      <c r="N11" s="53"/>
      <c r="O11" s="53"/>
      <c r="P11" s="229" t="s">
        <v>299</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124800000</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109200000</v>
      </c>
      <c r="E15" s="163"/>
      <c r="F15" s="163"/>
      <c r="G15" s="53" t="s">
        <v>1499</v>
      </c>
      <c r="H15" s="53"/>
      <c r="I15" s="53"/>
      <c r="J15" s="117" t="n">
        <f aca="false">$T$7</f>
        <v>711360</v>
      </c>
      <c r="K15" s="117"/>
      <c r="L15" s="117"/>
      <c r="M15" s="53" t="s">
        <v>1500</v>
      </c>
      <c r="N15" s="53"/>
      <c r="O15" s="53"/>
      <c r="P15" s="117" t="n">
        <f aca="false">$T$8</f>
        <v>618259</v>
      </c>
      <c r="Q15" s="117"/>
      <c r="R15" s="117"/>
      <c r="S15" s="5"/>
      <c r="T15" s="5"/>
    </row>
    <row r="16" customFormat="false" ht="15.75" hidden="false" customHeight="true" outlineLevel="0" collapsed="false">
      <c r="A16" s="53" t="s">
        <v>1501</v>
      </c>
      <c r="B16" s="53"/>
      <c r="C16" s="53"/>
      <c r="D16" s="117" t="n">
        <f aca="false">$D$14+$J$15</f>
        <v>125511360</v>
      </c>
      <c r="E16" s="117"/>
      <c r="F16" s="117"/>
      <c r="G16" s="53" t="s">
        <v>1502</v>
      </c>
      <c r="H16" s="53"/>
      <c r="I16" s="53"/>
      <c r="J16" s="117" t="n">
        <f aca="false">$D$15+$R$15</f>
        <v>109200000</v>
      </c>
      <c r="K16" s="117"/>
      <c r="L16" s="117"/>
      <c r="M16" s="53" t="s">
        <v>1503</v>
      </c>
      <c r="N16" s="53"/>
      <c r="O16" s="53"/>
      <c r="P16" s="117" t="n">
        <f aca="false">$D$16-$J$16</f>
        <v>16311360</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19324955.984</v>
      </c>
      <c r="E19" s="117"/>
      <c r="F19" s="117"/>
      <c r="G19" s="53" t="s">
        <v>1506</v>
      </c>
      <c r="H19" s="53"/>
      <c r="I19" s="53"/>
      <c r="J19" s="117" t="n">
        <f aca="false">$Q$41</f>
        <v>19968017.0862</v>
      </c>
      <c r="K19" s="117"/>
      <c r="L19" s="117"/>
      <c r="M19" s="53" t="s">
        <v>1507</v>
      </c>
      <c r="N19" s="53"/>
      <c r="O19" s="53"/>
      <c r="P19" s="117" t="n">
        <f aca="false">$R$41</f>
        <v>19730893</v>
      </c>
      <c r="Q19" s="117"/>
      <c r="R19" s="117"/>
      <c r="S19" s="5"/>
      <c r="T19" s="5"/>
    </row>
    <row r="20" customFormat="false" ht="15.75" hidden="false" customHeight="true" outlineLevel="0" collapsed="false">
      <c r="A20" s="53" t="s">
        <v>1508</v>
      </c>
      <c r="B20" s="53"/>
      <c r="C20" s="53"/>
      <c r="D20" s="117" t="n">
        <f aca="false">$S$41</f>
        <v>51418342</v>
      </c>
      <c r="E20" s="117"/>
      <c r="F20" s="117"/>
      <c r="G20" s="53" t="s">
        <v>1509</v>
      </c>
      <c r="H20" s="53"/>
      <c r="I20" s="53"/>
      <c r="J20" s="117" t="n">
        <f aca="false">$J$19-$D$19</f>
        <v>643061.102200005</v>
      </c>
      <c r="K20" s="117"/>
      <c r="L20" s="117"/>
      <c r="M20" s="53" t="s">
        <v>1510</v>
      </c>
      <c r="N20" s="53"/>
      <c r="O20" s="53"/>
      <c r="P20" s="117" t="n">
        <f aca="false">$J$19-$P$19</f>
        <v>237124.086200003</v>
      </c>
      <c r="Q20" s="117"/>
      <c r="R20" s="117"/>
      <c r="S20" s="5"/>
      <c r="T20" s="5"/>
    </row>
    <row r="21" customFormat="false" ht="15.75" hidden="false" customHeight="true" outlineLevel="0" collapsed="false">
      <c r="A21" s="53" t="s">
        <v>1511</v>
      </c>
      <c r="B21" s="53"/>
      <c r="C21" s="53"/>
      <c r="D21" s="120" t="n">
        <f aca="false">IF($D$19&lt;=0,1,$J$19/$D$19)</f>
        <v>1.03327620009755</v>
      </c>
      <c r="E21" s="120"/>
      <c r="F21" s="120"/>
      <c r="G21" s="53" t="s">
        <v>1512</v>
      </c>
      <c r="H21" s="53"/>
      <c r="I21" s="53"/>
      <c r="J21" s="120" t="n">
        <f aca="false">IF($P$19&lt;=0,1,$J$19/$P$19)</f>
        <v>1.01201790948844</v>
      </c>
      <c r="K21" s="120"/>
      <c r="L21" s="120"/>
      <c r="M21" s="53" t="s">
        <v>344</v>
      </c>
      <c r="N21" s="53"/>
      <c r="O21" s="53"/>
      <c r="P21" s="121" t="n">
        <f aca="false">IF($J$16=0,0,$J$19/$J$16)</f>
        <v>0.182857299324176</v>
      </c>
      <c r="Q21" s="121"/>
      <c r="R21" s="121"/>
      <c r="S21" s="5"/>
      <c r="T21" s="5"/>
    </row>
    <row r="22" customFormat="false" ht="15.75" hidden="false" customHeight="true" outlineLevel="0" collapsed="false">
      <c r="A22" s="53" t="s">
        <v>1513</v>
      </c>
      <c r="B22" s="53"/>
      <c r="C22" s="53"/>
      <c r="D22" s="117" t="n">
        <f aca="false">IF($J$21&lt;=0,$J$16,$J$16/$J$21)</f>
        <v>107903228.763214</v>
      </c>
      <c r="E22" s="117"/>
      <c r="F22" s="117"/>
      <c r="G22" s="53" t="s">
        <v>1514</v>
      </c>
      <c r="H22" s="53"/>
      <c r="I22" s="53"/>
      <c r="J22" s="117" t="n">
        <f aca="false">$J$16-$D$22</f>
        <v>1296771.23678625</v>
      </c>
      <c r="K22" s="117"/>
      <c r="L22" s="117"/>
      <c r="M22" s="53" t="s">
        <v>1515</v>
      </c>
      <c r="N22" s="53"/>
      <c r="O22" s="53"/>
      <c r="P22" s="117" t="n">
        <f aca="false">$D$22-$P$19</f>
        <v>88172335.7632138</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46173</v>
      </c>
      <c r="E27" s="169" t="n">
        <v>46173</v>
      </c>
      <c r="F27" s="92" t="n">
        <v>4914000</v>
      </c>
      <c r="G27" s="184" t="n">
        <v>1</v>
      </c>
      <c r="H27" s="184" t="n">
        <v>1</v>
      </c>
      <c r="I27" s="31" t="n">
        <f aca="false">$F27*$G27</f>
        <v>4914000</v>
      </c>
      <c r="J27" s="31" t="n">
        <f aca="false">$F27*$H27</f>
        <v>4914000</v>
      </c>
      <c r="K27" s="92" t="n">
        <v>4698179</v>
      </c>
      <c r="L27" s="92" t="n">
        <v>4914000</v>
      </c>
      <c r="M27" s="152" t="n">
        <f aca="false">IF($I27&lt;=0,1,$J27/$I27)</f>
        <v>1</v>
      </c>
      <c r="N27" s="152" t="n">
        <f aca="false">IF($K27&lt;=0,1,$J27/$K27)</f>
        <v>1.04593715990813</v>
      </c>
      <c r="O27" s="93" t="s">
        <v>1579</v>
      </c>
      <c r="P27" s="46" t="str">
        <f aca="false">IF(AND($M27&gt;=0.95,$N27&gt;=0.95),"Green",IF(OR($M27&lt;0.85,$N27&lt;0.85),"Red","Amber"))</f>
        <v>Green</v>
      </c>
      <c r="Q27" s="31" t="n">
        <f aca="false">MAX(0,$E27-$D27)</f>
        <v>0</v>
      </c>
      <c r="R27" s="5"/>
      <c r="S27" s="5"/>
      <c r="T27" s="5"/>
    </row>
    <row r="28" customFormat="false" ht="13.5" hidden="false" customHeight="true" outlineLevel="0" collapsed="false">
      <c r="A28" s="47" t="s">
        <v>486</v>
      </c>
      <c r="B28" s="37" t="s">
        <v>487</v>
      </c>
      <c r="C28" s="37" t="s">
        <v>483</v>
      </c>
      <c r="D28" s="96" t="n">
        <v>46568</v>
      </c>
      <c r="E28" s="96" t="n">
        <v>46568</v>
      </c>
      <c r="F28" s="99" t="n">
        <v>8190000</v>
      </c>
      <c r="G28" s="102" t="n">
        <v>0.2857</v>
      </c>
      <c r="H28" s="102" t="n">
        <v>0.3152</v>
      </c>
      <c r="I28" s="49" t="n">
        <f aca="false">$F28*$G28</f>
        <v>2339883</v>
      </c>
      <c r="J28" s="49" t="n">
        <f aca="false">$F28*$H28</f>
        <v>2581488</v>
      </c>
      <c r="K28" s="99" t="n">
        <v>2567779</v>
      </c>
      <c r="L28" s="99" t="n">
        <v>7371000</v>
      </c>
      <c r="M28" s="157" t="n">
        <f aca="false">IF($I28&lt;=0,1,$J28/$I28)</f>
        <v>1.10325516275814</v>
      </c>
      <c r="N28" s="157" t="n">
        <f aca="false">IF($K28&lt;=0,1,$J28/$K28)</f>
        <v>1.00533885509617</v>
      </c>
      <c r="O28" s="103" t="s">
        <v>1520</v>
      </c>
      <c r="P28" s="52" t="str">
        <f aca="false">IF(AND($M28&gt;=0.95,$N28&gt;=0.95),"Green",IF(OR($M28&lt;0.85,$N28&lt;0.85),"Red","Amber"))</f>
        <v>Green</v>
      </c>
      <c r="Q28" s="49" t="n">
        <f aca="false">MAX(0,$E28-$D28)</f>
        <v>0</v>
      </c>
      <c r="R28" s="5"/>
      <c r="S28" s="5"/>
      <c r="T28" s="5"/>
    </row>
    <row r="29" customFormat="false" ht="13.5" hidden="false" customHeight="true" outlineLevel="0" collapsed="false">
      <c r="A29" s="42" t="s">
        <v>490</v>
      </c>
      <c r="B29" s="30" t="s">
        <v>491</v>
      </c>
      <c r="C29" s="30" t="s">
        <v>492</v>
      </c>
      <c r="D29" s="169" t="n">
        <v>46326</v>
      </c>
      <c r="E29" s="169" t="n">
        <v>46326</v>
      </c>
      <c r="F29" s="92" t="n">
        <v>6006000</v>
      </c>
      <c r="G29" s="184" t="n">
        <v>0.6975</v>
      </c>
      <c r="H29" s="184" t="n">
        <v>0.6771</v>
      </c>
      <c r="I29" s="31" t="n">
        <f aca="false">$F29*$G29</f>
        <v>4189185</v>
      </c>
      <c r="J29" s="31" t="n">
        <f aca="false">$F29*$H29</f>
        <v>4066662.6</v>
      </c>
      <c r="K29" s="92" t="n">
        <v>4260317</v>
      </c>
      <c r="L29" s="92" t="n">
        <v>5105100</v>
      </c>
      <c r="M29" s="152" t="n">
        <f aca="false">IF($I29&lt;=0,1,$J29/$I29)</f>
        <v>0.970752688172043</v>
      </c>
      <c r="N29" s="152" t="n">
        <f aca="false">IF($K29&lt;=0,1,$J29/$K29)</f>
        <v>0.954544603136339</v>
      </c>
      <c r="O29" s="93" t="s">
        <v>1520</v>
      </c>
      <c r="P29" s="46" t="str">
        <f aca="false">IF(AND($M29&gt;=0.95,$N29&gt;=0.95),"Green",IF(OR($M29&lt;0.85,$N29&lt;0.85),"Red","Amber"))</f>
        <v>Green</v>
      </c>
      <c r="Q29" s="31" t="n">
        <f aca="false">MAX(0,$E29-$D29)</f>
        <v>0</v>
      </c>
      <c r="R29" s="5"/>
      <c r="S29" s="5"/>
      <c r="T29" s="5"/>
    </row>
    <row r="30" customFormat="false" ht="13.5" hidden="false" customHeight="true" outlineLevel="0" collapsed="false">
      <c r="A30" s="47" t="s">
        <v>495</v>
      </c>
      <c r="B30" s="37" t="s">
        <v>522</v>
      </c>
      <c r="C30" s="37" t="s">
        <v>497</v>
      </c>
      <c r="D30" s="96" t="n">
        <v>46387</v>
      </c>
      <c r="E30" s="96" t="n">
        <v>46387</v>
      </c>
      <c r="F30" s="99" t="n">
        <v>20202000</v>
      </c>
      <c r="G30" s="102" t="n">
        <v>0.3114</v>
      </c>
      <c r="H30" s="102" t="n">
        <v>0.3263</v>
      </c>
      <c r="I30" s="49" t="n">
        <f aca="false">$F30*$G30</f>
        <v>6290902.8</v>
      </c>
      <c r="J30" s="49" t="n">
        <f aca="false">$F30*$H30</f>
        <v>6591912.6</v>
      </c>
      <c r="K30" s="99" t="n">
        <v>6365088</v>
      </c>
      <c r="L30" s="99" t="n">
        <v>12525240</v>
      </c>
      <c r="M30" s="157" t="n">
        <f aca="false">IF($I30&lt;=0,1,$J30/$I30)</f>
        <v>1.04784842646114</v>
      </c>
      <c r="N30" s="157" t="n">
        <f aca="false">IF($K30&lt;=0,1,$J30/$K30)</f>
        <v>1.03563573669366</v>
      </c>
      <c r="O30" s="103" t="s">
        <v>1520</v>
      </c>
      <c r="P30" s="52" t="str">
        <f aca="false">IF(AND($M30&gt;=0.95,$N30&gt;=0.95),"Green",IF(OR($M30&lt;0.85,$N30&lt;0.85),"Red","Amber"))</f>
        <v>Green</v>
      </c>
      <c r="Q30" s="49" t="n">
        <f aca="false">MAX(0,$E30-$D30)</f>
        <v>0</v>
      </c>
      <c r="R30" s="5"/>
      <c r="S30" s="5"/>
      <c r="T30" s="5"/>
    </row>
    <row r="31" customFormat="false" ht="13.5" hidden="false" customHeight="true" outlineLevel="0" collapsed="false">
      <c r="A31" s="42" t="s">
        <v>498</v>
      </c>
      <c r="B31" s="30" t="s">
        <v>523</v>
      </c>
      <c r="C31" s="30" t="s">
        <v>500</v>
      </c>
      <c r="D31" s="169" t="n">
        <v>46477</v>
      </c>
      <c r="E31" s="169" t="n">
        <v>46477</v>
      </c>
      <c r="F31" s="92" t="n">
        <v>26754000</v>
      </c>
      <c r="G31" s="184" t="n">
        <v>0.0554</v>
      </c>
      <c r="H31" s="184" t="n">
        <v>0.0636</v>
      </c>
      <c r="I31" s="31" t="n">
        <f aca="false">$F31*$G31</f>
        <v>1482171.6</v>
      </c>
      <c r="J31" s="31" t="n">
        <f aca="false">$F31*$H31</f>
        <v>1701554.4</v>
      </c>
      <c r="K31" s="92" t="n">
        <v>1726181</v>
      </c>
      <c r="L31" s="92" t="n">
        <v>12039300</v>
      </c>
      <c r="M31" s="152" t="n">
        <f aca="false">IF($I31&lt;=0,1,$J31/$I31)</f>
        <v>1.14801444043321</v>
      </c>
      <c r="N31" s="152" t="n">
        <f aca="false">IF($K31&lt;=0,1,$J31/$K31)</f>
        <v>0.98573347754378</v>
      </c>
      <c r="O31" s="93" t="s">
        <v>1520</v>
      </c>
      <c r="P31" s="46" t="str">
        <f aca="false">IF(AND($M31&gt;=0.95,$N31&gt;=0.95),"Green",IF(OR($M31&lt;0.85,$N31&lt;0.85),"Red","Amber"))</f>
        <v>Green</v>
      </c>
      <c r="Q31" s="31" t="n">
        <f aca="false">MAX(0,$E31-$D31)</f>
        <v>0</v>
      </c>
      <c r="R31" s="5"/>
      <c r="S31" s="5"/>
      <c r="T31" s="5"/>
    </row>
    <row r="32" customFormat="false" ht="13.5" hidden="false" customHeight="true" outlineLevel="0" collapsed="false">
      <c r="A32" s="47" t="s">
        <v>501</v>
      </c>
      <c r="B32" s="37" t="s">
        <v>524</v>
      </c>
      <c r="C32" s="37" t="s">
        <v>503</v>
      </c>
      <c r="D32" s="96" t="n">
        <v>46507</v>
      </c>
      <c r="E32" s="96" t="n">
        <v>46507</v>
      </c>
      <c r="F32" s="99" t="n">
        <v>20202000</v>
      </c>
      <c r="G32" s="102" t="n">
        <v>0</v>
      </c>
      <c r="H32" s="102" t="n">
        <v>0</v>
      </c>
      <c r="I32" s="49" t="n">
        <f aca="false">$F32*$G32</f>
        <v>0</v>
      </c>
      <c r="J32" s="49" t="n">
        <f aca="false">$F32*$H32</f>
        <v>0</v>
      </c>
      <c r="K32" s="99" t="n">
        <v>0</v>
      </c>
      <c r="L32" s="99" t="n">
        <v>6060600</v>
      </c>
      <c r="M32" s="157" t="n">
        <f aca="false">IF($I32&lt;=0,1,$J32/$I32)</f>
        <v>1</v>
      </c>
      <c r="N32" s="157" t="n">
        <f aca="false">IF($K32&lt;=0,1,$J32/$K32)</f>
        <v>1</v>
      </c>
      <c r="O32" s="103" t="s">
        <v>1521</v>
      </c>
      <c r="P32" s="52" t="str">
        <f aca="false">IF(AND($M32&gt;=0.95,$N32&gt;=0.95),"Green",IF(OR($M32&lt;0.85,$N32&lt;0.85),"Red","Amber"))</f>
        <v>Green</v>
      </c>
      <c r="Q32" s="49" t="n">
        <f aca="false">MAX(0,$E32-$D32)</f>
        <v>0</v>
      </c>
      <c r="R32" s="5"/>
      <c r="S32" s="5"/>
      <c r="T32" s="5"/>
    </row>
    <row r="33" customFormat="false" ht="13.5" hidden="false" customHeight="true" outlineLevel="0" collapsed="false">
      <c r="A33" s="42" t="s">
        <v>506</v>
      </c>
      <c r="B33" s="30" t="s">
        <v>525</v>
      </c>
      <c r="C33" s="30" t="s">
        <v>508</v>
      </c>
      <c r="D33" s="169" t="n">
        <v>46538</v>
      </c>
      <c r="E33" s="169" t="n">
        <v>46538</v>
      </c>
      <c r="F33" s="92" t="n">
        <v>14742000</v>
      </c>
      <c r="G33" s="184" t="n">
        <v>0</v>
      </c>
      <c r="H33" s="184" t="n">
        <v>0</v>
      </c>
      <c r="I33" s="31" t="n">
        <f aca="false">$F33*$G33</f>
        <v>0</v>
      </c>
      <c r="J33" s="31" t="n">
        <f aca="false">$F33*$H33</f>
        <v>0</v>
      </c>
      <c r="K33" s="92" t="n">
        <v>0</v>
      </c>
      <c r="L33" s="92" t="n">
        <v>2653560</v>
      </c>
      <c r="M33" s="152" t="n">
        <f aca="false">IF($I33&lt;=0,1,$J33/$I33)</f>
        <v>1</v>
      </c>
      <c r="N33" s="152" t="n">
        <f aca="false">IF($K33&lt;=0,1,$J33/$K33)</f>
        <v>1</v>
      </c>
      <c r="O33" s="93" t="s">
        <v>1521</v>
      </c>
      <c r="P33" s="46" t="str">
        <f aca="false">IF(AND($M33&gt;=0.95,$N33&gt;=0.95),"Green",IF(OR($M33&lt;0.85,$N33&lt;0.85),"Red","Amber"))</f>
        <v>Green</v>
      </c>
      <c r="Q33" s="31" t="n">
        <f aca="false">MAX(0,$E33-$D33)</f>
        <v>0</v>
      </c>
      <c r="R33" s="5"/>
      <c r="S33" s="5"/>
      <c r="T33" s="5"/>
    </row>
    <row r="34" customFormat="false" ht="13.5" hidden="false" customHeight="true" outlineLevel="0" collapsed="false">
      <c r="A34" s="47" t="s">
        <v>511</v>
      </c>
      <c r="B34" s="37" t="s">
        <v>512</v>
      </c>
      <c r="C34" s="37" t="s">
        <v>513</v>
      </c>
      <c r="D34" s="96" t="n">
        <v>46568</v>
      </c>
      <c r="E34" s="96" t="n">
        <v>46568</v>
      </c>
      <c r="F34" s="99" t="n">
        <v>8190000</v>
      </c>
      <c r="G34" s="102" t="n">
        <v>0</v>
      </c>
      <c r="H34" s="102" t="n">
        <v>0</v>
      </c>
      <c r="I34" s="49" t="n">
        <f aca="false">$F34*$G34</f>
        <v>0</v>
      </c>
      <c r="J34" s="49" t="n">
        <f aca="false">$F34*$H34</f>
        <v>0</v>
      </c>
      <c r="K34" s="99" t="n">
        <v>0</v>
      </c>
      <c r="L34" s="99" t="n">
        <v>409500</v>
      </c>
      <c r="M34" s="157" t="n">
        <f aca="false">IF($I34&lt;=0,1,$J34/$I34)</f>
        <v>1</v>
      </c>
      <c r="N34" s="157" t="n">
        <f aca="false">IF($K34&lt;=0,1,$J34/$K34)</f>
        <v>1</v>
      </c>
      <c r="O34" s="103" t="s">
        <v>1521</v>
      </c>
      <c r="P34" s="52" t="str">
        <f aca="false">IF(AND($M34&gt;=0.95,$N34&gt;=0.95),"Green",IF(OR($M34&lt;0.85,$N34&lt;0.85),"Red","Amber"))</f>
        <v>Green</v>
      </c>
      <c r="Q34" s="49" t="n">
        <f aca="false">MAX(0,$E34-$D34)</f>
        <v>0</v>
      </c>
      <c r="R34" s="5"/>
      <c r="S34" s="5"/>
      <c r="T34" s="5"/>
    </row>
    <row r="35" customFormat="false" ht="13.5" hidden="false" customHeight="true" outlineLevel="0" collapsed="false">
      <c r="A35" s="42" t="s">
        <v>516</v>
      </c>
      <c r="B35" s="30" t="s">
        <v>517</v>
      </c>
      <c r="C35" s="30" t="s">
        <v>518</v>
      </c>
      <c r="D35" s="169" t="n">
        <v>46538</v>
      </c>
      <c r="E35" s="169" t="n">
        <v>46568</v>
      </c>
      <c r="F35" s="158" t="n">
        <f aca="false">$T$8</f>
        <v>618259</v>
      </c>
      <c r="G35" s="184" t="n">
        <v>0.176</v>
      </c>
      <c r="H35" s="184" t="n">
        <v>0.1818</v>
      </c>
      <c r="I35" s="31" t="n">
        <f aca="false">$F35*$G35</f>
        <v>108813.584</v>
      </c>
      <c r="J35" s="31" t="n">
        <f aca="false">$F35*$H35</f>
        <v>112399.4862</v>
      </c>
      <c r="K35" s="92" t="n">
        <v>113349</v>
      </c>
      <c r="L35" s="92" t="n">
        <v>340042</v>
      </c>
      <c r="M35" s="152" t="n">
        <f aca="false">IF($I35&lt;=0,1,$J35/$I35)</f>
        <v>1.03295454545455</v>
      </c>
      <c r="N35" s="152" t="n">
        <f aca="false">IF($K35&lt;=0,1,$J35/$K35)</f>
        <v>0.991623095042744</v>
      </c>
      <c r="O35" s="93" t="s">
        <v>1520</v>
      </c>
      <c r="P35" s="46" t="str">
        <f aca="false">IF(AND($M35&gt;=0.95,$N35&gt;=0.95),"Green",IF(OR($M35&lt;0.85,$N35&lt;0.85),"Red","Amber"))</f>
        <v>Green</v>
      </c>
      <c r="Q35" s="31" t="n">
        <f aca="false">MAX(0,$E35-$D35)</f>
        <v>30</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109818259</v>
      </c>
      <c r="G41" s="104" t="n">
        <f aca="false">IF($F41=0,0,$I41/$F41)</f>
        <v>0.175972157635462</v>
      </c>
      <c r="H41" s="104" t="n">
        <f aca="false">IF($F41=0,0,$J41/$F41)</f>
        <v>0.181827842364538</v>
      </c>
      <c r="I41" s="28" t="n">
        <f aca="false">SUM($I$27:$I$35)</f>
        <v>19324955.984</v>
      </c>
      <c r="J41" s="28" t="n">
        <f aca="false">SUM($J$27:$J$35)</f>
        <v>19968017.0862</v>
      </c>
      <c r="K41" s="28" t="n">
        <f aca="false">SUM($K$27:$K$35)</f>
        <v>19730893</v>
      </c>
      <c r="L41" s="28" t="n">
        <f aca="false">SUM($L$27:$L$35)</f>
        <v>51418342</v>
      </c>
      <c r="M41" s="29" t="n">
        <f aca="false">IF($I41&lt;=0,1,$J41/$I41)</f>
        <v>1.03327620009755</v>
      </c>
      <c r="N41" s="29" t="n">
        <f aca="false">IF($K41&lt;=0,1,$J41/$K41)</f>
        <v>1.01201790948844</v>
      </c>
      <c r="O41" s="105"/>
      <c r="P41" s="234" t="n">
        <f aca="false">$I41</f>
        <v>19324955.984</v>
      </c>
      <c r="Q41" s="234" t="n">
        <f aca="false">$J41</f>
        <v>19968017.0862</v>
      </c>
      <c r="R41" s="147" t="n">
        <f aca="false">$K41</f>
        <v>19730893</v>
      </c>
      <c r="S41" s="147" t="n">
        <f aca="false">$L41</f>
        <v>51418342</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7644000</v>
      </c>
      <c r="F47" s="92" t="n">
        <v>0</v>
      </c>
      <c r="G47" s="92" t="n">
        <v>1919527</v>
      </c>
      <c r="H47" s="92" t="n">
        <v>3830872</v>
      </c>
      <c r="I47" s="31" t="n">
        <f aca="false">($E47+$F47)*1.012</f>
        <v>7735728</v>
      </c>
      <c r="J47" s="87" t="n">
        <f aca="false">IF(($E47+$F47)=0,0,(($E47+$F47)-$I47)/($E47+$F47))</f>
        <v>-0.012</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6770400</v>
      </c>
      <c r="F48" s="99" t="n">
        <v>0</v>
      </c>
      <c r="G48" s="99" t="n">
        <v>1631596</v>
      </c>
      <c r="H48" s="99" t="n">
        <v>3064698</v>
      </c>
      <c r="I48" s="49" t="n">
        <f aca="false">($E48+$F48)*1.012</f>
        <v>6851644.8</v>
      </c>
      <c r="J48" s="100" t="n">
        <f aca="false">IF(($E48+$F48)=0,0,(($E48+$F48)-$I48)/($E48+$F48))</f>
        <v>-0.012</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5460000</v>
      </c>
      <c r="F49" s="92" t="n">
        <v>0</v>
      </c>
      <c r="G49" s="92" t="n">
        <v>422295</v>
      </c>
      <c r="H49" s="92" t="n">
        <v>2298524</v>
      </c>
      <c r="I49" s="31" t="n">
        <f aca="false">($E49+$F49)*1.012</f>
        <v>5525520</v>
      </c>
      <c r="J49" s="87" t="n">
        <f aca="false">IF(($E49+$F49)=0,0,(($E49+$F49)-$I49)/($E49+$F49))</f>
        <v>-0.012</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8190000</v>
      </c>
      <c r="F50" s="99" t="n">
        <v>0</v>
      </c>
      <c r="G50" s="99" t="n">
        <v>1190105</v>
      </c>
      <c r="H50" s="99" t="n">
        <v>2809306</v>
      </c>
      <c r="I50" s="49" t="n">
        <f aca="false">($E50+$F50)*1.012</f>
        <v>8288280</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45864000</v>
      </c>
      <c r="F51" s="92" t="n">
        <v>0</v>
      </c>
      <c r="G51" s="92" t="n">
        <v>9981529</v>
      </c>
      <c r="H51" s="92" t="n">
        <v>24006802</v>
      </c>
      <c r="I51" s="31" t="n">
        <f aca="false">($E51+$F51)*1.012</f>
        <v>46414368</v>
      </c>
      <c r="J51" s="87" t="n">
        <f aca="false">IF(($E51+$F51)=0,0,(($E51+$F51)-$I51)/($E51+$F51))</f>
        <v>-0.012</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21840000</v>
      </c>
      <c r="F52" s="99" t="n">
        <v>0</v>
      </c>
      <c r="G52" s="99" t="n">
        <v>2879287</v>
      </c>
      <c r="H52" s="99" t="n">
        <v>10981834</v>
      </c>
      <c r="I52" s="49" t="n">
        <f aca="false">($E52+$F52)*1.012</f>
        <v>22102080</v>
      </c>
      <c r="J52" s="100" t="n">
        <f aca="false">IF(($E52+$F52)=0,0,(($E52+$F52)-$I52)/($E52+$F52))</f>
        <v>-0.012</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4914000</v>
      </c>
      <c r="F53" s="92" t="n">
        <v>0</v>
      </c>
      <c r="G53" s="92" t="n">
        <v>729419</v>
      </c>
      <c r="H53" s="92" t="n">
        <v>2043132</v>
      </c>
      <c r="I53" s="31" t="n">
        <f aca="false">($E53+$F53)*1.012</f>
        <v>4972968</v>
      </c>
      <c r="J53" s="87" t="n">
        <f aca="false">IF(($E53+$F53)=0,0,(($E53+$F53)-$I53)/($E53+$F53))</f>
        <v>-0.012</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2402400</v>
      </c>
      <c r="F54" s="99" t="n">
        <v>0</v>
      </c>
      <c r="G54" s="99" t="n">
        <v>422295</v>
      </c>
      <c r="H54" s="99" t="n">
        <v>1021566</v>
      </c>
      <c r="I54" s="49" t="n">
        <f aca="false">($E54+$F54)*1.012</f>
        <v>2431228.8</v>
      </c>
      <c r="J54" s="100" t="n">
        <f aca="false">IF(($E54+$F54)=0,0,(($E54+$F54)-$I54)/($E54+$F54))</f>
        <v>-0.0119999999999999</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2839200</v>
      </c>
      <c r="F55" s="92" t="n">
        <v>0</v>
      </c>
      <c r="G55" s="92" t="n">
        <v>441491</v>
      </c>
      <c r="H55" s="92" t="n">
        <v>1021566</v>
      </c>
      <c r="I55" s="31" t="n">
        <f aca="false">($E55+$F55)*1.012</f>
        <v>2873270.4</v>
      </c>
      <c r="J55" s="87" t="n">
        <f aca="false">IF(($E55+$F55)=0,0,(($E55+$F55)-$I55)/($E55+$F55))</f>
        <v>-0.012</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3276000</v>
      </c>
      <c r="F56" s="99" t="n">
        <v>0</v>
      </c>
      <c r="G56" s="99" t="n">
        <v>0</v>
      </c>
      <c r="H56" s="99" t="n">
        <v>0</v>
      </c>
      <c r="I56" s="49" t="n">
        <f aca="false">($E56+$F56)*1.012</f>
        <v>3315312</v>
      </c>
      <c r="J56" s="100" t="n">
        <f aca="false">IF(($E56+$F56)=0,0,(($E56+$F56)-$I56)/($E56+$F56))</f>
        <v>-0.012</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618259</v>
      </c>
      <c r="G57" s="92" t="n">
        <v>113349</v>
      </c>
      <c r="H57" s="92" t="n">
        <v>340042</v>
      </c>
      <c r="I57" s="31" t="n">
        <f aca="false">($E57+$F57)*1.012</f>
        <v>625678.108</v>
      </c>
      <c r="J57" s="87" t="n">
        <f aca="false">IF(($E57+$F57)=0,0,(($E57+$F57)-$I57)/($E57+$F57))</f>
        <v>-0.012</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109200000</v>
      </c>
      <c r="F58" s="28" t="n">
        <f aca="false">SUM($F$47:$F$57)</f>
        <v>618259</v>
      </c>
      <c r="G58" s="28" t="n">
        <f aca="false">SUM($G$47:$G$57)</f>
        <v>19730893</v>
      </c>
      <c r="H58" s="28" t="n">
        <f aca="false">SUM($H$47:$H$57)</f>
        <v>51418342</v>
      </c>
      <c r="I58" s="28" t="n">
        <f aca="false">SUM($I$47:$I$57)</f>
        <v>111136078.108</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704</v>
      </c>
      <c r="B63" s="30" t="s">
        <v>785</v>
      </c>
      <c r="C63" s="30"/>
      <c r="D63" s="30"/>
      <c r="E63" s="45" t="s">
        <v>779</v>
      </c>
      <c r="F63" s="92" t="n">
        <v>1098240</v>
      </c>
      <c r="G63" s="92" t="n">
        <v>966451</v>
      </c>
      <c r="H63" s="92" t="n">
        <v>0</v>
      </c>
      <c r="I63" s="93" t="s">
        <v>1536</v>
      </c>
      <c r="J63" s="45" t="s">
        <v>702</v>
      </c>
      <c r="K63" s="5"/>
      <c r="L63" s="5"/>
      <c r="M63" s="5"/>
      <c r="N63" s="5"/>
      <c r="O63" s="5"/>
      <c r="P63" s="5"/>
      <c r="Q63" s="5"/>
      <c r="R63" s="5"/>
      <c r="S63" s="5"/>
      <c r="T63" s="5"/>
    </row>
    <row r="64" customFormat="false" ht="13.5" hidden="false" customHeight="true" outlineLevel="0" collapsed="false">
      <c r="A64" s="47" t="s">
        <v>707</v>
      </c>
      <c r="B64" s="37" t="s">
        <v>786</v>
      </c>
      <c r="C64" s="37"/>
      <c r="D64" s="37"/>
      <c r="E64" s="51" t="s">
        <v>787</v>
      </c>
      <c r="F64" s="99" t="n">
        <v>-386880</v>
      </c>
      <c r="G64" s="99" t="n">
        <v>-348192</v>
      </c>
      <c r="H64" s="99" t="n">
        <v>0</v>
      </c>
      <c r="I64" s="103" t="s">
        <v>1536</v>
      </c>
      <c r="J64" s="51" t="s">
        <v>705</v>
      </c>
      <c r="K64" s="5"/>
      <c r="L64" s="5"/>
      <c r="M64" s="5"/>
      <c r="N64" s="5"/>
      <c r="O64" s="5"/>
      <c r="P64" s="5"/>
      <c r="Q64" s="5"/>
      <c r="R64" s="5"/>
      <c r="S64" s="5"/>
      <c r="T64" s="5"/>
    </row>
    <row r="65" customFormat="false" ht="13.5" hidden="false" customHeight="true" outlineLevel="0" collapsed="false">
      <c r="A65" s="42" t="s">
        <v>710</v>
      </c>
      <c r="B65" s="30" t="s">
        <v>788</v>
      </c>
      <c r="C65" s="30"/>
      <c r="D65" s="30"/>
      <c r="E65" s="45" t="s">
        <v>787</v>
      </c>
      <c r="F65" s="92" t="n">
        <v>1772160</v>
      </c>
      <c r="G65" s="92" t="n">
        <v>1470893</v>
      </c>
      <c r="H65" s="92" t="n">
        <v>0</v>
      </c>
      <c r="I65" s="93" t="s">
        <v>1576</v>
      </c>
      <c r="J65" s="45" t="s">
        <v>708</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702</v>
      </c>
      <c r="B68" s="30" t="s">
        <v>668</v>
      </c>
      <c r="C68" s="30"/>
      <c r="D68" s="30"/>
      <c r="E68" s="45" t="s">
        <v>95</v>
      </c>
      <c r="F68" s="92" t="n">
        <v>966451</v>
      </c>
      <c r="G68" s="92" t="n">
        <v>0</v>
      </c>
      <c r="H68" s="93" t="s">
        <v>1539</v>
      </c>
      <c r="I68" s="45" t="s">
        <v>704</v>
      </c>
      <c r="J68" s="5"/>
      <c r="K68" s="5"/>
      <c r="L68" s="5"/>
      <c r="M68" s="5"/>
      <c r="N68" s="5"/>
      <c r="O68" s="5"/>
      <c r="P68" s="5"/>
      <c r="Q68" s="5"/>
      <c r="R68" s="5"/>
      <c r="S68" s="5"/>
      <c r="T68" s="5"/>
    </row>
    <row r="69" customFormat="false" ht="13.5" hidden="false" customHeight="true" outlineLevel="0" collapsed="false">
      <c r="A69" s="47" t="s">
        <v>705</v>
      </c>
      <c r="B69" s="37" t="s">
        <v>675</v>
      </c>
      <c r="C69" s="37"/>
      <c r="D69" s="37"/>
      <c r="E69" s="51" t="s">
        <v>674</v>
      </c>
      <c r="F69" s="99" t="n">
        <v>-348192</v>
      </c>
      <c r="G69" s="99" t="n">
        <v>0</v>
      </c>
      <c r="H69" s="103" t="s">
        <v>1539</v>
      </c>
      <c r="I69" s="51" t="s">
        <v>707</v>
      </c>
      <c r="J69" s="5"/>
      <c r="K69" s="5"/>
      <c r="L69" s="5"/>
      <c r="M69" s="5"/>
      <c r="N69" s="5"/>
      <c r="O69" s="5"/>
      <c r="P69" s="5"/>
      <c r="Q69" s="5"/>
      <c r="R69" s="5"/>
      <c r="S69" s="5"/>
      <c r="T69" s="5"/>
    </row>
    <row r="70" customFormat="false" ht="13.5" hidden="false" customHeight="true" outlineLevel="0" collapsed="false">
      <c r="A70" s="42" t="s">
        <v>708</v>
      </c>
      <c r="B70" s="30" t="s">
        <v>681</v>
      </c>
      <c r="C70" s="30"/>
      <c r="D70" s="30"/>
      <c r="E70" s="45" t="s">
        <v>356</v>
      </c>
      <c r="F70" s="92" t="n">
        <v>1470893</v>
      </c>
      <c r="G70" s="92" t="n">
        <v>0</v>
      </c>
      <c r="H70" s="93" t="s">
        <v>1023</v>
      </c>
      <c r="I70" s="45" t="s">
        <v>710</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840</v>
      </c>
      <c r="B75" s="30" t="s">
        <v>823</v>
      </c>
      <c r="C75" s="30"/>
      <c r="D75" s="30"/>
      <c r="E75" s="30" t="s">
        <v>824</v>
      </c>
      <c r="F75" s="92" t="n">
        <v>18096000</v>
      </c>
      <c r="G75" s="92" t="n">
        <v>18096000</v>
      </c>
      <c r="H75" s="169" t="n">
        <v>46207</v>
      </c>
      <c r="I75" s="169"/>
      <c r="J75" s="184" t="n">
        <v>0.062</v>
      </c>
      <c r="K75" s="93" t="s">
        <v>1520</v>
      </c>
      <c r="L75" s="5"/>
      <c r="M75" s="5"/>
      <c r="N75" s="5"/>
      <c r="O75" s="5"/>
      <c r="P75" s="5"/>
      <c r="Q75" s="5"/>
      <c r="R75" s="5"/>
      <c r="S75" s="5"/>
      <c r="T75" s="5"/>
    </row>
    <row r="76" customFormat="false" ht="13.5" hidden="false" customHeight="true" outlineLevel="0" collapsed="false">
      <c r="A76" s="47" t="s">
        <v>841</v>
      </c>
      <c r="B76" s="37" t="s">
        <v>826</v>
      </c>
      <c r="C76" s="37"/>
      <c r="D76" s="37"/>
      <c r="E76" s="37" t="s">
        <v>824</v>
      </c>
      <c r="F76" s="99" t="n">
        <v>10608000</v>
      </c>
      <c r="G76" s="99" t="n">
        <v>10608000</v>
      </c>
      <c r="H76" s="96" t="n">
        <v>46231</v>
      </c>
      <c r="I76" s="96"/>
      <c r="J76" s="102" t="n">
        <v>0.062</v>
      </c>
      <c r="K76" s="103" t="s">
        <v>1520</v>
      </c>
      <c r="L76" s="5"/>
      <c r="M76" s="5"/>
      <c r="N76" s="5"/>
      <c r="O76" s="5"/>
      <c r="P76" s="5"/>
      <c r="Q76" s="5"/>
      <c r="R76" s="5"/>
      <c r="S76" s="5"/>
      <c r="T76" s="5"/>
    </row>
    <row r="77" customFormat="false" ht="13.5" hidden="false" customHeight="true" outlineLevel="0" collapsed="false">
      <c r="A77" s="42" t="s">
        <v>842</v>
      </c>
      <c r="B77" s="30" t="s">
        <v>828</v>
      </c>
      <c r="C77" s="30"/>
      <c r="D77" s="30"/>
      <c r="E77" s="30" t="s">
        <v>824</v>
      </c>
      <c r="F77" s="92" t="n">
        <v>6489600</v>
      </c>
      <c r="G77" s="92" t="n">
        <v>6489600</v>
      </c>
      <c r="H77" s="169" t="n">
        <v>46284</v>
      </c>
      <c r="I77" s="169" t="n">
        <v>46501</v>
      </c>
      <c r="J77" s="184" t="n">
        <v>0.062</v>
      </c>
      <c r="K77" s="93" t="s">
        <v>1520</v>
      </c>
      <c r="L77" s="5"/>
      <c r="M77" s="5"/>
      <c r="N77" s="5"/>
      <c r="O77" s="5"/>
      <c r="P77" s="5"/>
      <c r="Q77" s="5"/>
      <c r="R77" s="5"/>
      <c r="S77" s="5"/>
      <c r="T77" s="5"/>
    </row>
    <row r="78" customFormat="false" ht="13.5" hidden="false" customHeight="true" outlineLevel="0" collapsed="false">
      <c r="A78" s="47" t="s">
        <v>843</v>
      </c>
      <c r="B78" s="37" t="s">
        <v>831</v>
      </c>
      <c r="C78" s="37"/>
      <c r="D78" s="37"/>
      <c r="E78" s="37" t="s">
        <v>824</v>
      </c>
      <c r="F78" s="99" t="n">
        <v>8736000</v>
      </c>
      <c r="G78" s="99" t="n">
        <v>8736000</v>
      </c>
      <c r="H78" s="96" t="n">
        <v>46295</v>
      </c>
      <c r="I78" s="96"/>
      <c r="J78" s="102" t="n">
        <v>0.062</v>
      </c>
      <c r="K78" s="103" t="s">
        <v>1520</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3</v>
      </c>
      <c r="F83" s="92" t="n">
        <v>3</v>
      </c>
      <c r="G83" s="87" t="n">
        <f aca="false">IF($E83=0,1,$F83/$E83)</f>
        <v>1</v>
      </c>
      <c r="H83" s="92" t="n">
        <v>1959</v>
      </c>
      <c r="I83" s="92" t="n">
        <v>1884</v>
      </c>
      <c r="J83" s="87" t="n">
        <f aca="false">IF($H83=0,0,$I83/$H83)</f>
        <v>0.961715160796325</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1</v>
      </c>
      <c r="G84" s="100" t="n">
        <f aca="false">IF($E84=0,1,$F84/$E84)</f>
        <v>1</v>
      </c>
      <c r="H84" s="99" t="n">
        <v>914</v>
      </c>
      <c r="I84" s="99" t="n">
        <v>879</v>
      </c>
      <c r="J84" s="100" t="n">
        <f aca="false">IF($H84=0,0,$I84/$H84)</f>
        <v>0.961706783369803</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3</v>
      </c>
      <c r="F85" s="92" t="n">
        <v>4</v>
      </c>
      <c r="G85" s="87" t="n">
        <f aca="false">IF($E85=0,1,$F85/$E85)</f>
        <v>1.33333333333333</v>
      </c>
      <c r="H85" s="92" t="n">
        <v>2710</v>
      </c>
      <c r="I85" s="92" t="n">
        <v>2464</v>
      </c>
      <c r="J85" s="87" t="n">
        <f aca="false">IF($H85=0,0,$I85/$H85)</f>
        <v>0.909225092250923</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12</v>
      </c>
      <c r="F86" s="99" t="n">
        <v>12</v>
      </c>
      <c r="G86" s="100" t="n">
        <f aca="false">IF($E86=0,1,$F86/$E86)</f>
        <v>1</v>
      </c>
      <c r="H86" s="99" t="n">
        <v>9148</v>
      </c>
      <c r="I86" s="99" t="n">
        <v>8316</v>
      </c>
      <c r="J86" s="100" t="n">
        <f aca="false">IF($H86=0,0,$I86/$H86)</f>
        <v>0.909051158723218</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45</v>
      </c>
      <c r="F87" s="92" t="n">
        <v>46</v>
      </c>
      <c r="G87" s="87" t="n">
        <f aca="false">IF($E87=0,1,$F87/$E87)</f>
        <v>1.02222222222222</v>
      </c>
      <c r="H87" s="92" t="n">
        <v>35852</v>
      </c>
      <c r="I87" s="92" t="n">
        <v>32593</v>
      </c>
      <c r="J87" s="87" t="n">
        <f aca="false">IF($H87=0,0,$I87/$H87)</f>
        <v>0.909098516121834</v>
      </c>
      <c r="K87" s="46" t="str">
        <f aca="false">IF(AND($G87&gt;=0.95,$J87&gt;=0.85),"Green",IF(OR($G87&lt;0.8,$J87&lt;0.7),"Red","Amber"))</f>
        <v>Green</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22</v>
      </c>
      <c r="F88" s="99" t="n">
        <v>22</v>
      </c>
      <c r="G88" s="100" t="n">
        <f aca="false">IF($E88=0,1,$F88/$E88)</f>
        <v>1</v>
      </c>
      <c r="H88" s="99" t="n">
        <v>17007</v>
      </c>
      <c r="I88" s="99" t="n">
        <v>15461</v>
      </c>
      <c r="J88" s="100" t="n">
        <f aca="false">IF($H88=0,0,$I88/$H88)</f>
        <v>0.909096254483448</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318</v>
      </c>
      <c r="E91" s="163"/>
      <c r="F91" s="163"/>
      <c r="G91" s="53" t="s">
        <v>1554</v>
      </c>
      <c r="H91" s="53"/>
      <c r="I91" s="53"/>
      <c r="J91" s="163" t="n">
        <v>213</v>
      </c>
      <c r="K91" s="163"/>
      <c r="L91" s="163"/>
      <c r="M91" s="53" t="s">
        <v>1555</v>
      </c>
      <c r="N91" s="53"/>
      <c r="O91" s="53"/>
      <c r="P91" s="163" t="n">
        <v>35</v>
      </c>
      <c r="Q91" s="163"/>
      <c r="R91" s="163"/>
      <c r="S91" s="5"/>
      <c r="T91" s="5"/>
    </row>
    <row r="92" customFormat="false" ht="15.75" hidden="false" customHeight="true" outlineLevel="0" collapsed="false">
      <c r="A92" s="53" t="s">
        <v>1556</v>
      </c>
      <c r="B92" s="53"/>
      <c r="C92" s="53"/>
      <c r="D92" s="163" t="n">
        <v>89</v>
      </c>
      <c r="E92" s="163"/>
      <c r="F92" s="163"/>
      <c r="G92" s="53" t="s">
        <v>1557</v>
      </c>
      <c r="H92" s="53"/>
      <c r="I92" s="53"/>
      <c r="J92" s="163" t="n">
        <v>68</v>
      </c>
      <c r="K92" s="163"/>
      <c r="L92" s="163"/>
      <c r="M92" s="53" t="s">
        <v>1558</v>
      </c>
      <c r="N92" s="53"/>
      <c r="O92" s="53"/>
      <c r="P92" s="121" t="n">
        <f aca="false">IF(($D$91+$D$92)=0,0,($J$91+$J$92)/($D$91+$D$92))</f>
        <v>0.69041769041769</v>
      </c>
      <c r="Q92" s="121"/>
      <c r="R92" s="121"/>
      <c r="S92" s="5"/>
      <c r="T92" s="5"/>
    </row>
    <row r="93" customFormat="false" ht="15.75" hidden="false" customHeight="true" outlineLevel="0" collapsed="false">
      <c r="A93" s="53" t="s">
        <v>1559</v>
      </c>
      <c r="B93" s="53"/>
      <c r="C93" s="53"/>
      <c r="D93" s="163" t="n">
        <v>67590</v>
      </c>
      <c r="E93" s="163"/>
      <c r="F93" s="163"/>
      <c r="G93" s="53" t="s">
        <v>1560</v>
      </c>
      <c r="H93" s="53"/>
      <c r="I93" s="53"/>
      <c r="J93" s="163" t="n">
        <v>0</v>
      </c>
      <c r="K93" s="163"/>
      <c r="L93" s="163"/>
      <c r="M93" s="53" t="s">
        <v>1561</v>
      </c>
      <c r="N93" s="53"/>
      <c r="O93" s="53"/>
      <c r="P93" s="233" t="n">
        <v>0.8</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86</v>
      </c>
      <c r="K94" s="163"/>
      <c r="L94" s="163"/>
      <c r="M94" s="53" t="s">
        <v>1564</v>
      </c>
      <c r="N94" s="53"/>
      <c r="O94" s="53"/>
      <c r="P94" s="163" t="n">
        <v>71</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1035</v>
      </c>
      <c r="B97" s="30" t="s">
        <v>1014</v>
      </c>
      <c r="C97" s="30"/>
      <c r="D97" s="30"/>
      <c r="E97" s="93" t="s">
        <v>1015</v>
      </c>
      <c r="F97" s="30" t="s">
        <v>1016</v>
      </c>
      <c r="G97" s="92" t="n">
        <v>215461</v>
      </c>
      <c r="H97" s="93" t="s">
        <v>1017</v>
      </c>
      <c r="I97" s="5"/>
      <c r="J97" s="5"/>
      <c r="K97" s="5"/>
      <c r="L97" s="5"/>
      <c r="M97" s="5"/>
      <c r="N97" s="5"/>
      <c r="O97" s="5"/>
      <c r="P97" s="5"/>
      <c r="Q97" s="5"/>
      <c r="R97" s="5"/>
      <c r="S97" s="5"/>
      <c r="T97" s="5"/>
    </row>
    <row r="98" customFormat="false" ht="13.5" hidden="false" customHeight="true" outlineLevel="0" collapsed="false">
      <c r="A98" s="47" t="s">
        <v>1036</v>
      </c>
      <c r="B98" s="37" t="s">
        <v>1020</v>
      </c>
      <c r="C98" s="37"/>
      <c r="D98" s="37"/>
      <c r="E98" s="103" t="s">
        <v>1021</v>
      </c>
      <c r="F98" s="37" t="s">
        <v>1022</v>
      </c>
      <c r="G98" s="99" t="n">
        <v>53865</v>
      </c>
      <c r="H98" s="103" t="s">
        <v>1023</v>
      </c>
      <c r="I98" s="5"/>
      <c r="J98" s="5"/>
      <c r="K98" s="5"/>
      <c r="L98" s="5"/>
      <c r="M98" s="5"/>
      <c r="N98" s="5"/>
      <c r="O98" s="5"/>
      <c r="P98" s="5"/>
      <c r="Q98" s="5"/>
      <c r="R98" s="5"/>
      <c r="S98" s="5"/>
      <c r="T98" s="5"/>
    </row>
    <row r="99" customFormat="false" ht="13.5" hidden="false" customHeight="true" outlineLevel="0" collapsed="false">
      <c r="A99" s="42" t="s">
        <v>1037</v>
      </c>
      <c r="B99" s="30" t="s">
        <v>1026</v>
      </c>
      <c r="C99" s="30"/>
      <c r="D99" s="30"/>
      <c r="E99" s="93" t="s">
        <v>1015</v>
      </c>
      <c r="F99" s="30" t="s">
        <v>1027</v>
      </c>
      <c r="G99" s="92" t="n">
        <v>145023</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703</v>
      </c>
      <c r="B104" s="30" t="s">
        <v>1143</v>
      </c>
      <c r="C104" s="30"/>
      <c r="D104" s="30"/>
      <c r="E104" s="84" t="n">
        <v>3</v>
      </c>
      <c r="F104" s="84" t="n">
        <v>4</v>
      </c>
      <c r="G104" s="43" t="n">
        <f aca="false">$E104*$F104</f>
        <v>12</v>
      </c>
      <c r="H104" s="92" t="n">
        <v>4173094</v>
      </c>
      <c r="I104" s="31" t="n">
        <f aca="false">(($E104*2-1)/10)*$H104</f>
        <v>2086547</v>
      </c>
      <c r="J104" s="93" t="s">
        <v>1145</v>
      </c>
      <c r="K104" s="30" t="s">
        <v>1147</v>
      </c>
      <c r="L104" s="93" t="s">
        <v>1023</v>
      </c>
      <c r="M104" s="5"/>
      <c r="N104" s="5"/>
      <c r="O104" s="5"/>
      <c r="P104" s="5"/>
      <c r="Q104" s="5"/>
      <c r="R104" s="5"/>
      <c r="S104" s="5"/>
      <c r="T104" s="5"/>
    </row>
    <row r="105" customFormat="false" ht="13.5" hidden="false" customHeight="true" outlineLevel="0" collapsed="false">
      <c r="A105" s="47" t="s">
        <v>706</v>
      </c>
      <c r="B105" s="37" t="s">
        <v>1149</v>
      </c>
      <c r="C105" s="37"/>
      <c r="D105" s="37"/>
      <c r="E105" s="97" t="n">
        <v>3</v>
      </c>
      <c r="F105" s="97" t="n">
        <v>4</v>
      </c>
      <c r="G105" s="48" t="n">
        <f aca="false">$E105*$F105</f>
        <v>12</v>
      </c>
      <c r="H105" s="99" t="n">
        <v>3404366</v>
      </c>
      <c r="I105" s="49" t="n">
        <f aca="false">(($E105*2-1)/10)*$H105</f>
        <v>1702183</v>
      </c>
      <c r="J105" s="103" t="s">
        <v>1145</v>
      </c>
      <c r="K105" s="37" t="s">
        <v>1152</v>
      </c>
      <c r="L105" s="103" t="s">
        <v>1023</v>
      </c>
      <c r="M105" s="5"/>
      <c r="N105" s="5"/>
      <c r="O105" s="5"/>
      <c r="P105" s="5"/>
      <c r="Q105" s="5"/>
      <c r="R105" s="5"/>
      <c r="S105" s="5"/>
      <c r="T105" s="5"/>
    </row>
    <row r="106" customFormat="false" ht="13.5" hidden="false" customHeight="true" outlineLevel="0" collapsed="false">
      <c r="A106" s="42" t="s">
        <v>709</v>
      </c>
      <c r="B106" s="30" t="s">
        <v>1153</v>
      </c>
      <c r="C106" s="30"/>
      <c r="D106" s="30"/>
      <c r="E106" s="84" t="n">
        <v>2</v>
      </c>
      <c r="F106" s="84" t="n">
        <v>4</v>
      </c>
      <c r="G106" s="43" t="n">
        <f aca="false">$E106*$F106</f>
        <v>8</v>
      </c>
      <c r="H106" s="92" t="n">
        <v>2416002</v>
      </c>
      <c r="I106" s="31" t="n">
        <f aca="false">(($E106*2-1)/10)*$H106</f>
        <v>724800.6</v>
      </c>
      <c r="J106" s="93" t="s">
        <v>1145</v>
      </c>
      <c r="K106" s="30" t="s">
        <v>667</v>
      </c>
      <c r="L106" s="93" t="s">
        <v>1023</v>
      </c>
      <c r="M106" s="5"/>
      <c r="N106" s="5"/>
      <c r="O106" s="5"/>
      <c r="P106" s="5"/>
      <c r="Q106" s="5"/>
      <c r="R106" s="5"/>
      <c r="S106" s="5"/>
      <c r="T106" s="5"/>
    </row>
    <row r="107" customFormat="false" ht="13.5" hidden="false" customHeight="true" outlineLevel="0" collapsed="false">
      <c r="A107" s="47" t="s">
        <v>1164</v>
      </c>
      <c r="B107" s="37" t="s">
        <v>1157</v>
      </c>
      <c r="C107" s="37"/>
      <c r="D107" s="37"/>
      <c r="E107" s="97" t="n">
        <v>3</v>
      </c>
      <c r="F107" s="97" t="n">
        <v>3</v>
      </c>
      <c r="G107" s="48" t="n">
        <f aca="false">$E107*$F107</f>
        <v>9</v>
      </c>
      <c r="H107" s="99" t="n">
        <v>2745456</v>
      </c>
      <c r="I107" s="49" t="n">
        <f aca="false">(($E107*2-1)/10)*$H107</f>
        <v>1372728</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1214</v>
      </c>
      <c r="B110" s="30" t="s">
        <v>1204</v>
      </c>
      <c r="C110" s="30"/>
      <c r="D110" s="30"/>
      <c r="E110" s="93" t="s">
        <v>1570</v>
      </c>
      <c r="F110" s="92" t="n">
        <v>0</v>
      </c>
      <c r="G110" s="92" t="n">
        <v>0</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1215</v>
      </c>
      <c r="B111" s="37" t="s">
        <v>1190</v>
      </c>
      <c r="C111" s="37"/>
      <c r="D111" s="37"/>
      <c r="E111" s="103" t="s">
        <v>1570</v>
      </c>
      <c r="F111" s="99" t="n">
        <v>0</v>
      </c>
      <c r="G111" s="99" t="n">
        <v>18</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1216</v>
      </c>
      <c r="B112" s="30" t="s">
        <v>1195</v>
      </c>
      <c r="C112" s="30"/>
      <c r="D112" s="30"/>
      <c r="E112" s="93" t="s">
        <v>1571</v>
      </c>
      <c r="F112" s="92" t="n">
        <v>0</v>
      </c>
      <c r="G112" s="92" t="n">
        <v>34</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1217</v>
      </c>
      <c r="B113" s="37" t="s">
        <v>1199</v>
      </c>
      <c r="C113" s="37"/>
      <c r="D113" s="37"/>
      <c r="E113" s="103" t="s">
        <v>1097</v>
      </c>
      <c r="F113" s="99" t="n">
        <v>658910</v>
      </c>
      <c r="G113" s="99" t="n">
        <v>21</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1582</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1583</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300</v>
      </c>
      <c r="E7" s="229"/>
      <c r="F7" s="229"/>
      <c r="G7" s="53" t="s">
        <v>5</v>
      </c>
      <c r="H7" s="53"/>
      <c r="I7" s="53"/>
      <c r="J7" s="229" t="s">
        <v>411</v>
      </c>
      <c r="K7" s="229"/>
      <c r="L7" s="229"/>
      <c r="M7" s="53" t="s">
        <v>258</v>
      </c>
      <c r="N7" s="53"/>
      <c r="O7" s="53"/>
      <c r="P7" s="229" t="s">
        <v>1485</v>
      </c>
      <c r="Q7" s="229"/>
      <c r="R7" s="229"/>
      <c r="S7" s="5"/>
      <c r="T7" s="230" t="n">
        <f aca="false">SUMIF($I$63:$I$65,"Approved",$F$63:$F$65)</f>
        <v>3483810</v>
      </c>
    </row>
    <row r="8" customFormat="false" ht="15.75" hidden="false" customHeight="true" outlineLevel="0" collapsed="false">
      <c r="A8" s="53" t="s">
        <v>257</v>
      </c>
      <c r="B8" s="53"/>
      <c r="C8" s="53"/>
      <c r="D8" s="229" t="s">
        <v>1583</v>
      </c>
      <c r="E8" s="229"/>
      <c r="F8" s="229"/>
      <c r="G8" s="53" t="s">
        <v>1486</v>
      </c>
      <c r="H8" s="53"/>
      <c r="I8" s="53"/>
      <c r="J8" s="229" t="s">
        <v>521</v>
      </c>
      <c r="K8" s="229"/>
      <c r="L8" s="229"/>
      <c r="M8" s="53" t="s">
        <v>260</v>
      </c>
      <c r="N8" s="53"/>
      <c r="O8" s="53"/>
      <c r="P8" s="229" t="s">
        <v>290</v>
      </c>
      <c r="Q8" s="229"/>
      <c r="R8" s="229"/>
      <c r="S8" s="5"/>
      <c r="T8" s="230" t="n">
        <f aca="false">SUMIF($I$63:$I$65,"Approved",$G$63:$G$65)</f>
        <v>3034827</v>
      </c>
    </row>
    <row r="9" customFormat="false" ht="15.75" hidden="false" customHeight="true" outlineLevel="0" collapsed="false">
      <c r="A9" s="53" t="s">
        <v>1487</v>
      </c>
      <c r="B9" s="53"/>
      <c r="C9" s="53"/>
      <c r="D9" s="229" t="s">
        <v>1488</v>
      </c>
      <c r="E9" s="229"/>
      <c r="F9" s="229"/>
      <c r="G9" s="53" t="s">
        <v>1489</v>
      </c>
      <c r="H9" s="53"/>
      <c r="I9" s="53"/>
      <c r="J9" s="229" t="s">
        <v>291</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46174</v>
      </c>
      <c r="E10" s="231"/>
      <c r="F10" s="231"/>
      <c r="G10" s="53" t="s">
        <v>1491</v>
      </c>
      <c r="H10" s="53"/>
      <c r="I10" s="53"/>
      <c r="J10" s="231" t="n">
        <v>46721</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30</v>
      </c>
      <c r="E11" s="163"/>
      <c r="F11" s="163"/>
      <c r="G11" s="53" t="s">
        <v>1493</v>
      </c>
      <c r="H11" s="53"/>
      <c r="I11" s="53"/>
      <c r="J11" s="232" t="n">
        <f aca="false">$P$10+$D$11</f>
        <v>46295</v>
      </c>
      <c r="K11" s="232"/>
      <c r="L11" s="232"/>
      <c r="M11" s="53" t="s">
        <v>78</v>
      </c>
      <c r="N11" s="53"/>
      <c r="O11" s="53"/>
      <c r="P11" s="229" t="s">
        <v>292</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186300000</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164875500</v>
      </c>
      <c r="E15" s="163"/>
      <c r="F15" s="163"/>
      <c r="G15" s="53" t="s">
        <v>1499</v>
      </c>
      <c r="H15" s="53"/>
      <c r="I15" s="53"/>
      <c r="J15" s="117" t="n">
        <f aca="false">$T$7</f>
        <v>3483810</v>
      </c>
      <c r="K15" s="117"/>
      <c r="L15" s="117"/>
      <c r="M15" s="53" t="s">
        <v>1500</v>
      </c>
      <c r="N15" s="53"/>
      <c r="O15" s="53"/>
      <c r="P15" s="117" t="n">
        <f aca="false">$T$8</f>
        <v>3034827</v>
      </c>
      <c r="Q15" s="117"/>
      <c r="R15" s="117"/>
      <c r="S15" s="5"/>
      <c r="T15" s="5"/>
    </row>
    <row r="16" customFormat="false" ht="15.75" hidden="false" customHeight="true" outlineLevel="0" collapsed="false">
      <c r="A16" s="53" t="s">
        <v>1501</v>
      </c>
      <c r="B16" s="53"/>
      <c r="C16" s="53"/>
      <c r="D16" s="117" t="n">
        <f aca="false">$D$14+$J$15</f>
        <v>189783810</v>
      </c>
      <c r="E16" s="117"/>
      <c r="F16" s="117"/>
      <c r="G16" s="53" t="s">
        <v>1502</v>
      </c>
      <c r="H16" s="53"/>
      <c r="I16" s="53"/>
      <c r="J16" s="117" t="n">
        <f aca="false">$D$15+$R$15</f>
        <v>164875500</v>
      </c>
      <c r="K16" s="117"/>
      <c r="L16" s="117"/>
      <c r="M16" s="53" t="s">
        <v>1503</v>
      </c>
      <c r="N16" s="53"/>
      <c r="O16" s="53"/>
      <c r="P16" s="117" t="n">
        <f aca="false">$D$16-$J$16</f>
        <v>24908310</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14026777.8595</v>
      </c>
      <c r="E19" s="117"/>
      <c r="F19" s="117"/>
      <c r="G19" s="53" t="s">
        <v>1506</v>
      </c>
      <c r="H19" s="53"/>
      <c r="I19" s="53"/>
      <c r="J19" s="117" t="n">
        <f aca="false">$Q$41</f>
        <v>12232528.0594</v>
      </c>
      <c r="K19" s="117"/>
      <c r="L19" s="117"/>
      <c r="M19" s="53" t="s">
        <v>1507</v>
      </c>
      <c r="N19" s="53"/>
      <c r="O19" s="53"/>
      <c r="P19" s="117" t="n">
        <f aca="false">$R$41</f>
        <v>13280110</v>
      </c>
      <c r="Q19" s="117"/>
      <c r="R19" s="117"/>
      <c r="S19" s="5"/>
      <c r="T19" s="5"/>
    </row>
    <row r="20" customFormat="false" ht="15.75" hidden="false" customHeight="true" outlineLevel="0" collapsed="false">
      <c r="A20" s="53" t="s">
        <v>1508</v>
      </c>
      <c r="B20" s="53"/>
      <c r="C20" s="53"/>
      <c r="D20" s="117" t="n">
        <f aca="false">$S$41</f>
        <v>78789670</v>
      </c>
      <c r="E20" s="117"/>
      <c r="F20" s="117"/>
      <c r="G20" s="53" t="s">
        <v>1509</v>
      </c>
      <c r="H20" s="53"/>
      <c r="I20" s="53"/>
      <c r="J20" s="117" t="n">
        <f aca="false">$J$19-$D$19</f>
        <v>-1794249.8001</v>
      </c>
      <c r="K20" s="117"/>
      <c r="L20" s="117"/>
      <c r="M20" s="53" t="s">
        <v>1510</v>
      </c>
      <c r="N20" s="53"/>
      <c r="O20" s="53"/>
      <c r="P20" s="117" t="n">
        <f aca="false">$J$19-$P$19</f>
        <v>-1047581.9406</v>
      </c>
      <c r="Q20" s="117"/>
      <c r="R20" s="117"/>
      <c r="S20" s="5"/>
      <c r="T20" s="5"/>
    </row>
    <row r="21" customFormat="false" ht="15.75" hidden="false" customHeight="true" outlineLevel="0" collapsed="false">
      <c r="A21" s="53" t="s">
        <v>1511</v>
      </c>
      <c r="B21" s="53"/>
      <c r="C21" s="53"/>
      <c r="D21" s="120" t="n">
        <f aca="false">IF($D$19&lt;=0,1,$J$19/$D$19)</f>
        <v>0.87208396553562</v>
      </c>
      <c r="E21" s="120"/>
      <c r="F21" s="120"/>
      <c r="G21" s="53" t="s">
        <v>1512</v>
      </c>
      <c r="H21" s="53"/>
      <c r="I21" s="53"/>
      <c r="J21" s="120" t="n">
        <f aca="false">IF($P$19&lt;=0,1,$J$19/$P$19)</f>
        <v>0.921116471128628</v>
      </c>
      <c r="K21" s="120"/>
      <c r="L21" s="120"/>
      <c r="M21" s="53" t="s">
        <v>344</v>
      </c>
      <c r="N21" s="53"/>
      <c r="O21" s="53"/>
      <c r="P21" s="121" t="n">
        <f aca="false">IF($J$16=0,0,$J$19/$J$16)</f>
        <v>0.0741925153185282</v>
      </c>
      <c r="Q21" s="121"/>
      <c r="R21" s="121"/>
      <c r="S21" s="5"/>
      <c r="T21" s="5"/>
    </row>
    <row r="22" customFormat="false" ht="15.75" hidden="false" customHeight="true" outlineLevel="0" collapsed="false">
      <c r="A22" s="53" t="s">
        <v>1513</v>
      </c>
      <c r="B22" s="53"/>
      <c r="C22" s="53"/>
      <c r="D22" s="117" t="n">
        <f aca="false">IF($J$21&lt;=0,$J$16,$J$16/$J$21)</f>
        <v>178995279.281002</v>
      </c>
      <c r="E22" s="117"/>
      <c r="F22" s="117"/>
      <c r="G22" s="53" t="s">
        <v>1514</v>
      </c>
      <c r="H22" s="53"/>
      <c r="I22" s="53"/>
      <c r="J22" s="117" t="n">
        <f aca="false">$J$16-$D$22</f>
        <v>-14119779.2810023</v>
      </c>
      <c r="K22" s="117"/>
      <c r="L22" s="117"/>
      <c r="M22" s="53" t="s">
        <v>1515</v>
      </c>
      <c r="N22" s="53"/>
      <c r="O22" s="53"/>
      <c r="P22" s="117" t="n">
        <f aca="false">$D$22-$P$19</f>
        <v>165715169.281002</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46234</v>
      </c>
      <c r="E27" s="169" t="n">
        <v>46295</v>
      </c>
      <c r="F27" s="92" t="n">
        <v>7419398</v>
      </c>
      <c r="G27" s="184" t="n">
        <v>1</v>
      </c>
      <c r="H27" s="184" t="n">
        <v>0.9221</v>
      </c>
      <c r="I27" s="31" t="n">
        <f aca="false">$F27*$G27</f>
        <v>7419398</v>
      </c>
      <c r="J27" s="31" t="n">
        <f aca="false">$F27*$H27</f>
        <v>6841426.8958</v>
      </c>
      <c r="K27" s="92" t="n">
        <v>7249807</v>
      </c>
      <c r="L27" s="92" t="n">
        <v>7419398</v>
      </c>
      <c r="M27" s="152" t="n">
        <f aca="false">IF($I27&lt;=0,1,$J27/$I27)</f>
        <v>0.9221</v>
      </c>
      <c r="N27" s="152" t="n">
        <f aca="false">IF($K27&lt;=0,1,$J27/$K27)</f>
        <v>0.943670210227665</v>
      </c>
      <c r="O27" s="93" t="s">
        <v>1520</v>
      </c>
      <c r="P27" s="46" t="str">
        <f aca="false">IF(AND($M27&gt;=0.95,$N27&gt;=0.95),"Green",IF(OR($M27&lt;0.85,$N27&lt;0.85),"Red","Amber"))</f>
        <v>Amber</v>
      </c>
      <c r="Q27" s="31" t="n">
        <f aca="false">MAX(0,$E27-$D27)</f>
        <v>61</v>
      </c>
      <c r="R27" s="5"/>
      <c r="S27" s="5"/>
      <c r="T27" s="5"/>
    </row>
    <row r="28" customFormat="false" ht="13.5" hidden="false" customHeight="true" outlineLevel="0" collapsed="false">
      <c r="A28" s="47" t="s">
        <v>486</v>
      </c>
      <c r="B28" s="37" t="s">
        <v>487</v>
      </c>
      <c r="C28" s="37" t="s">
        <v>483</v>
      </c>
      <c r="D28" s="96" t="n">
        <v>46721</v>
      </c>
      <c r="E28" s="96" t="n">
        <v>46783</v>
      </c>
      <c r="F28" s="99" t="n">
        <v>12365662</v>
      </c>
      <c r="G28" s="102" t="n">
        <v>0.1667</v>
      </c>
      <c r="H28" s="102" t="n">
        <v>0.145</v>
      </c>
      <c r="I28" s="49" t="n">
        <f aca="false">$F28*$G28</f>
        <v>2061355.8554</v>
      </c>
      <c r="J28" s="49" t="n">
        <f aca="false">$F28*$H28</f>
        <v>1793020.99</v>
      </c>
      <c r="K28" s="99" t="n">
        <v>1976606</v>
      </c>
      <c r="L28" s="99" t="n">
        <v>11129096</v>
      </c>
      <c r="M28" s="157" t="n">
        <f aca="false">IF($I28&lt;=0,1,$J28/$I28)</f>
        <v>0.869826034793041</v>
      </c>
      <c r="N28" s="157" t="n">
        <f aca="false">IF($K28&lt;=0,1,$J28/$K28)</f>
        <v>0.907121090394343</v>
      </c>
      <c r="O28" s="103" t="s">
        <v>1520</v>
      </c>
      <c r="P28" s="52" t="str">
        <f aca="false">IF(AND($M28&gt;=0.95,$N28&gt;=0.95),"Green",IF(OR($M28&lt;0.85,$N28&lt;0.85),"Red","Amber"))</f>
        <v>Amber</v>
      </c>
      <c r="Q28" s="49" t="n">
        <f aca="false">MAX(0,$E28-$D28)</f>
        <v>62</v>
      </c>
      <c r="R28" s="5"/>
      <c r="S28" s="5"/>
      <c r="T28" s="5"/>
    </row>
    <row r="29" customFormat="false" ht="13.5" hidden="false" customHeight="true" outlineLevel="0" collapsed="false">
      <c r="A29" s="42" t="s">
        <v>490</v>
      </c>
      <c r="B29" s="30" t="s">
        <v>491</v>
      </c>
      <c r="C29" s="30" t="s">
        <v>492</v>
      </c>
      <c r="D29" s="169" t="n">
        <v>46418</v>
      </c>
      <c r="E29" s="169" t="n">
        <v>46477</v>
      </c>
      <c r="F29" s="92" t="n">
        <v>9068152</v>
      </c>
      <c r="G29" s="184" t="n">
        <v>0.3099</v>
      </c>
      <c r="H29" s="184" t="n">
        <v>0.2372</v>
      </c>
      <c r="I29" s="31" t="n">
        <f aca="false">$F29*$G29</f>
        <v>2810220.3048</v>
      </c>
      <c r="J29" s="31" t="n">
        <f aca="false">$F29*$H29</f>
        <v>2150965.6544</v>
      </c>
      <c r="K29" s="92" t="n">
        <v>2498051</v>
      </c>
      <c r="L29" s="92" t="n">
        <v>7707929</v>
      </c>
      <c r="M29" s="152" t="n">
        <f aca="false">IF($I29&lt;=0,1,$J29/$I29)</f>
        <v>0.76540819619232</v>
      </c>
      <c r="N29" s="152" t="n">
        <f aca="false">IF($K29&lt;=0,1,$J29/$K29)</f>
        <v>0.861057542219915</v>
      </c>
      <c r="O29" s="93" t="s">
        <v>292</v>
      </c>
      <c r="P29" s="46" t="str">
        <f aca="false">IF(AND($M29&gt;=0.95,$N29&gt;=0.95),"Green",IF(OR($M29&lt;0.85,$N29&lt;0.85),"Red","Amber"))</f>
        <v>Red</v>
      </c>
      <c r="Q29" s="31" t="n">
        <f aca="false">MAX(0,$E29-$D29)</f>
        <v>59</v>
      </c>
      <c r="R29" s="5"/>
      <c r="S29" s="5"/>
      <c r="T29" s="5"/>
    </row>
    <row r="30" customFormat="false" ht="13.5" hidden="false" customHeight="true" outlineLevel="0" collapsed="false">
      <c r="A30" s="47" t="s">
        <v>495</v>
      </c>
      <c r="B30" s="37" t="s">
        <v>527</v>
      </c>
      <c r="C30" s="37" t="s">
        <v>497</v>
      </c>
      <c r="D30" s="96" t="n">
        <v>46477</v>
      </c>
      <c r="E30" s="96" t="n">
        <v>46538</v>
      </c>
      <c r="F30" s="99" t="n">
        <v>30501968</v>
      </c>
      <c r="G30" s="102" t="n">
        <v>0.0486</v>
      </c>
      <c r="H30" s="102" t="n">
        <v>0.0402</v>
      </c>
      <c r="I30" s="49" t="n">
        <f aca="false">$F30*$G30</f>
        <v>1482395.6448</v>
      </c>
      <c r="J30" s="49" t="n">
        <f aca="false">$F30*$H30</f>
        <v>1226179.1136</v>
      </c>
      <c r="K30" s="99" t="n">
        <v>1310722</v>
      </c>
      <c r="L30" s="99" t="n">
        <v>18911220</v>
      </c>
      <c r="M30" s="157" t="n">
        <f aca="false">IF($I30&lt;=0,1,$J30/$I30)</f>
        <v>0.827160493827161</v>
      </c>
      <c r="N30" s="157" t="n">
        <f aca="false">IF($K30&lt;=0,1,$J30/$K30)</f>
        <v>0.935498994905098</v>
      </c>
      <c r="O30" s="103" t="s">
        <v>292</v>
      </c>
      <c r="P30" s="52" t="str">
        <f aca="false">IF(AND($M30&gt;=0.95,$N30&gt;=0.95),"Green",IF(OR($M30&lt;0.85,$N30&lt;0.85),"Red","Amber"))</f>
        <v>Red</v>
      </c>
      <c r="Q30" s="49" t="n">
        <f aca="false">MAX(0,$E30-$D30)</f>
        <v>61</v>
      </c>
      <c r="R30" s="5"/>
      <c r="S30" s="5"/>
      <c r="T30" s="5"/>
    </row>
    <row r="31" customFormat="false" ht="13.5" hidden="false" customHeight="true" outlineLevel="0" collapsed="false">
      <c r="A31" s="42" t="s">
        <v>498</v>
      </c>
      <c r="B31" s="30" t="s">
        <v>528</v>
      </c>
      <c r="C31" s="30" t="s">
        <v>500</v>
      </c>
      <c r="D31" s="169" t="n">
        <v>46599</v>
      </c>
      <c r="E31" s="169" t="n">
        <v>46660</v>
      </c>
      <c r="F31" s="92" t="n">
        <v>40394498</v>
      </c>
      <c r="G31" s="184" t="n">
        <v>0</v>
      </c>
      <c r="H31" s="184" t="n">
        <v>0</v>
      </c>
      <c r="I31" s="31" t="n">
        <f aca="false">$F31*$G31</f>
        <v>0</v>
      </c>
      <c r="J31" s="31" t="n">
        <f aca="false">$F31*$H31</f>
        <v>0</v>
      </c>
      <c r="K31" s="92" t="n">
        <v>0</v>
      </c>
      <c r="L31" s="92" t="n">
        <v>18177524</v>
      </c>
      <c r="M31" s="152" t="n">
        <f aca="false">IF($I31&lt;=0,1,$J31/$I31)</f>
        <v>1</v>
      </c>
      <c r="N31" s="152" t="n">
        <f aca="false">IF($K31&lt;=0,1,$J31/$K31)</f>
        <v>1</v>
      </c>
      <c r="O31" s="93" t="s">
        <v>1521</v>
      </c>
      <c r="P31" s="46" t="str">
        <f aca="false">IF(AND($M31&gt;=0.95,$N31&gt;=0.95),"Green",IF(OR($M31&lt;0.85,$N31&lt;0.85),"Red","Amber"))</f>
        <v>Green</v>
      </c>
      <c r="Q31" s="31" t="n">
        <f aca="false">MAX(0,$E31-$D31)</f>
        <v>61</v>
      </c>
      <c r="R31" s="5"/>
      <c r="S31" s="5"/>
      <c r="T31" s="5"/>
    </row>
    <row r="32" customFormat="false" ht="13.5" hidden="false" customHeight="true" outlineLevel="0" collapsed="false">
      <c r="A32" s="47" t="s">
        <v>501</v>
      </c>
      <c r="B32" s="37" t="s">
        <v>529</v>
      </c>
      <c r="C32" s="37" t="s">
        <v>503</v>
      </c>
      <c r="D32" s="96" t="n">
        <v>46660</v>
      </c>
      <c r="E32" s="96" t="n">
        <v>46721</v>
      </c>
      <c r="F32" s="99" t="n">
        <v>30501968</v>
      </c>
      <c r="G32" s="102" t="n">
        <v>0</v>
      </c>
      <c r="H32" s="102" t="n">
        <v>0</v>
      </c>
      <c r="I32" s="49" t="n">
        <f aca="false">$F32*$G32</f>
        <v>0</v>
      </c>
      <c r="J32" s="49" t="n">
        <f aca="false">$F32*$H32</f>
        <v>0</v>
      </c>
      <c r="K32" s="99" t="n">
        <v>0</v>
      </c>
      <c r="L32" s="99" t="n">
        <v>9150590</v>
      </c>
      <c r="M32" s="157" t="n">
        <f aca="false">IF($I32&lt;=0,1,$J32/$I32)</f>
        <v>1</v>
      </c>
      <c r="N32" s="157" t="n">
        <f aca="false">IF($K32&lt;=0,1,$J32/$K32)</f>
        <v>1</v>
      </c>
      <c r="O32" s="103" t="s">
        <v>1521</v>
      </c>
      <c r="P32" s="52" t="str">
        <f aca="false">IF(AND($M32&gt;=0.95,$N32&gt;=0.95),"Green",IF(OR($M32&lt;0.85,$N32&lt;0.85),"Red","Amber"))</f>
        <v>Green</v>
      </c>
      <c r="Q32" s="49" t="n">
        <f aca="false">MAX(0,$E32-$D32)</f>
        <v>61</v>
      </c>
      <c r="R32" s="5"/>
      <c r="S32" s="5"/>
      <c r="T32" s="5"/>
    </row>
    <row r="33" customFormat="false" ht="13.5" hidden="false" customHeight="true" outlineLevel="0" collapsed="false">
      <c r="A33" s="42" t="s">
        <v>506</v>
      </c>
      <c r="B33" s="30" t="s">
        <v>530</v>
      </c>
      <c r="C33" s="30" t="s">
        <v>508</v>
      </c>
      <c r="D33" s="169" t="n">
        <v>46691</v>
      </c>
      <c r="E33" s="169" t="n">
        <v>46752</v>
      </c>
      <c r="F33" s="92" t="n">
        <v>22258192</v>
      </c>
      <c r="G33" s="184" t="n">
        <v>0</v>
      </c>
      <c r="H33" s="184" t="n">
        <v>0</v>
      </c>
      <c r="I33" s="31" t="n">
        <f aca="false">$F33*$G33</f>
        <v>0</v>
      </c>
      <c r="J33" s="31" t="n">
        <f aca="false">$F33*$H33</f>
        <v>0</v>
      </c>
      <c r="K33" s="92" t="n">
        <v>0</v>
      </c>
      <c r="L33" s="92" t="n">
        <v>4006475</v>
      </c>
      <c r="M33" s="152" t="n">
        <f aca="false">IF($I33&lt;=0,1,$J33/$I33)</f>
        <v>1</v>
      </c>
      <c r="N33" s="152" t="n">
        <f aca="false">IF($K33&lt;=0,1,$J33/$K33)</f>
        <v>1</v>
      </c>
      <c r="O33" s="93" t="s">
        <v>1521</v>
      </c>
      <c r="P33" s="46" t="str">
        <f aca="false">IF(AND($M33&gt;=0.95,$N33&gt;=0.95),"Green",IF(OR($M33&lt;0.85,$N33&lt;0.85),"Red","Amber"))</f>
        <v>Green</v>
      </c>
      <c r="Q33" s="31" t="n">
        <f aca="false">MAX(0,$E33-$D33)</f>
        <v>61</v>
      </c>
      <c r="R33" s="5"/>
      <c r="S33" s="5"/>
      <c r="T33" s="5"/>
    </row>
    <row r="34" customFormat="false" ht="13.5" hidden="false" customHeight="true" outlineLevel="0" collapsed="false">
      <c r="A34" s="47" t="s">
        <v>511</v>
      </c>
      <c r="B34" s="37" t="s">
        <v>512</v>
      </c>
      <c r="C34" s="37" t="s">
        <v>513</v>
      </c>
      <c r="D34" s="96" t="n">
        <v>46721</v>
      </c>
      <c r="E34" s="96" t="n">
        <v>46783</v>
      </c>
      <c r="F34" s="99" t="n">
        <v>12365662</v>
      </c>
      <c r="G34" s="102" t="n">
        <v>0</v>
      </c>
      <c r="H34" s="102" t="n">
        <v>0</v>
      </c>
      <c r="I34" s="49" t="n">
        <f aca="false">$F34*$G34</f>
        <v>0</v>
      </c>
      <c r="J34" s="49" t="n">
        <f aca="false">$F34*$H34</f>
        <v>0</v>
      </c>
      <c r="K34" s="99" t="n">
        <v>0</v>
      </c>
      <c r="L34" s="99" t="n">
        <v>618283</v>
      </c>
      <c r="M34" s="157" t="n">
        <f aca="false">IF($I34&lt;=0,1,$J34/$I34)</f>
        <v>1</v>
      </c>
      <c r="N34" s="157" t="n">
        <f aca="false">IF($K34&lt;=0,1,$J34/$K34)</f>
        <v>1</v>
      </c>
      <c r="O34" s="103" t="s">
        <v>1521</v>
      </c>
      <c r="P34" s="52" t="str">
        <f aca="false">IF(AND($M34&gt;=0.95,$N34&gt;=0.95),"Green",IF(OR($M34&lt;0.85,$N34&lt;0.85),"Red","Amber"))</f>
        <v>Green</v>
      </c>
      <c r="Q34" s="49" t="n">
        <f aca="false">MAX(0,$E34-$D34)</f>
        <v>62</v>
      </c>
      <c r="R34" s="5"/>
      <c r="S34" s="5"/>
      <c r="T34" s="5"/>
    </row>
    <row r="35" customFormat="false" ht="13.5" hidden="false" customHeight="true" outlineLevel="0" collapsed="false">
      <c r="A35" s="42" t="s">
        <v>516</v>
      </c>
      <c r="B35" s="30" t="s">
        <v>517</v>
      </c>
      <c r="C35" s="30" t="s">
        <v>518</v>
      </c>
      <c r="D35" s="169" t="n">
        <v>46691</v>
      </c>
      <c r="E35" s="169" t="n">
        <v>46721</v>
      </c>
      <c r="F35" s="158" t="n">
        <f aca="false">$T$8</f>
        <v>3034827</v>
      </c>
      <c r="G35" s="184" t="n">
        <v>0.0835</v>
      </c>
      <c r="H35" s="184" t="n">
        <v>0.0728</v>
      </c>
      <c r="I35" s="31" t="n">
        <f aca="false">$F35*$G35</f>
        <v>253408.0545</v>
      </c>
      <c r="J35" s="31" t="n">
        <f aca="false">$F35*$H35</f>
        <v>220935.4056</v>
      </c>
      <c r="K35" s="92" t="n">
        <v>244924</v>
      </c>
      <c r="L35" s="92" t="n">
        <v>1669155</v>
      </c>
      <c r="M35" s="152" t="n">
        <f aca="false">IF($I35&lt;=0,1,$J35/$I35)</f>
        <v>0.87185628742515</v>
      </c>
      <c r="N35" s="152" t="n">
        <f aca="false">IF($K35&lt;=0,1,$J35/$K35)</f>
        <v>0.902056987473665</v>
      </c>
      <c r="O35" s="93" t="s">
        <v>1520</v>
      </c>
      <c r="P35" s="46" t="str">
        <f aca="false">IF(AND($M35&gt;=0.95,$N35&gt;=0.95),"Green",IF(OR($M35&lt;0.85,$N35&lt;0.85),"Red","Amber"))</f>
        <v>Amber</v>
      </c>
      <c r="Q35" s="31" t="n">
        <f aca="false">MAX(0,$E35-$D35)</f>
        <v>30</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167910327</v>
      </c>
      <c r="G41" s="104" t="n">
        <f aca="false">IF($F41=0,0,$I41/$F41)</f>
        <v>0.0835373148877258</v>
      </c>
      <c r="H41" s="104" t="n">
        <f aca="false">IF($F41=0,0,$J41/$F41)</f>
        <v>0.0728515528374857</v>
      </c>
      <c r="I41" s="28" t="n">
        <f aca="false">SUM($I$27:$I$35)</f>
        <v>14026777.8595</v>
      </c>
      <c r="J41" s="28" t="n">
        <f aca="false">SUM($J$27:$J$35)</f>
        <v>12232528.0594</v>
      </c>
      <c r="K41" s="28" t="n">
        <f aca="false">SUM($K$27:$K$35)</f>
        <v>13280110</v>
      </c>
      <c r="L41" s="28" t="n">
        <f aca="false">SUM($L$27:$L$35)</f>
        <v>78789670</v>
      </c>
      <c r="M41" s="29" t="n">
        <f aca="false">IF($I41&lt;=0,1,$J41/$I41)</f>
        <v>0.87208396553562</v>
      </c>
      <c r="N41" s="29" t="n">
        <f aca="false">IF($K41&lt;=0,1,$J41/$K41)</f>
        <v>0.921116471128628</v>
      </c>
      <c r="O41" s="105"/>
      <c r="P41" s="234" t="n">
        <f aca="false">$I41</f>
        <v>14026777.8595</v>
      </c>
      <c r="Q41" s="234" t="n">
        <f aca="false">$J41</f>
        <v>12232528.0594</v>
      </c>
      <c r="R41" s="147" t="n">
        <f aca="false">$K41</f>
        <v>13280110</v>
      </c>
      <c r="S41" s="147" t="n">
        <f aca="false">$L41</f>
        <v>78789670</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11541285</v>
      </c>
      <c r="F47" s="92" t="n">
        <v>0</v>
      </c>
      <c r="G47" s="92" t="n">
        <v>1275459</v>
      </c>
      <c r="H47" s="92" t="n">
        <v>5784039</v>
      </c>
      <c r="I47" s="31" t="n">
        <f aca="false">($E47+$F47)*1.012</f>
        <v>11679780.42</v>
      </c>
      <c r="J47" s="87" t="n">
        <f aca="false">IF(($E47+$F47)=0,0,(($E47+$F47)-$I47)/($E47+$F47))</f>
        <v>-0.012</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10222281</v>
      </c>
      <c r="F48" s="99" t="n">
        <v>0</v>
      </c>
      <c r="G48" s="99" t="n">
        <v>1084140</v>
      </c>
      <c r="H48" s="99" t="n">
        <v>4627231</v>
      </c>
      <c r="I48" s="49" t="n">
        <f aca="false">($E48+$F48)*1.012</f>
        <v>10344948.372</v>
      </c>
      <c r="J48" s="100" t="n">
        <f aca="false">IF(($E48+$F48)=0,0,(($E48+$F48)-$I48)/($E48+$F48))</f>
        <v>-0.012</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8243775</v>
      </c>
      <c r="F49" s="92" t="n">
        <v>0</v>
      </c>
      <c r="G49" s="92" t="n">
        <v>280601</v>
      </c>
      <c r="H49" s="92" t="n">
        <v>3470423</v>
      </c>
      <c r="I49" s="31" t="n">
        <f aca="false">($E49+$F49)*1.012</f>
        <v>8342700.3</v>
      </c>
      <c r="J49" s="87" t="n">
        <f aca="false">IF(($E49+$F49)=0,0,(($E49+$F49)-$I49)/($E49+$F49))</f>
        <v>-0.012</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12365662</v>
      </c>
      <c r="F50" s="99" t="n">
        <v>0</v>
      </c>
      <c r="G50" s="99" t="n">
        <v>790784</v>
      </c>
      <c r="H50" s="99" t="n">
        <v>4241628</v>
      </c>
      <c r="I50" s="49" t="n">
        <f aca="false">($E50+$F50)*1.012</f>
        <v>12514049.944</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69247710</v>
      </c>
      <c r="F51" s="92" t="n">
        <v>0</v>
      </c>
      <c r="G51" s="92" t="n">
        <v>6632384</v>
      </c>
      <c r="H51" s="92" t="n">
        <v>36246642</v>
      </c>
      <c r="I51" s="31" t="n">
        <f aca="false">($E51+$F51)*1.012</f>
        <v>70078682.52</v>
      </c>
      <c r="J51" s="87" t="n">
        <f aca="false">IF(($E51+$F51)=0,0,(($E51+$F51)-$I51)/($E51+$F51))</f>
        <v>-0.0119999999999999</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32975100</v>
      </c>
      <c r="F52" s="99" t="n">
        <v>0</v>
      </c>
      <c r="G52" s="99" t="n">
        <v>1913188</v>
      </c>
      <c r="H52" s="99" t="n">
        <v>16580911</v>
      </c>
      <c r="I52" s="49" t="n">
        <f aca="false">($E52+$F52)*1.012</f>
        <v>33370801.2</v>
      </c>
      <c r="J52" s="100" t="n">
        <f aca="false">IF(($E52+$F52)=0,0,(($E52+$F52)-$I52)/($E52+$F52))</f>
        <v>-0.012</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7419398</v>
      </c>
      <c r="F53" s="92" t="n">
        <v>0</v>
      </c>
      <c r="G53" s="92" t="n">
        <v>484674</v>
      </c>
      <c r="H53" s="92" t="n">
        <v>3084821</v>
      </c>
      <c r="I53" s="31" t="n">
        <f aca="false">($E53+$F53)*1.012</f>
        <v>7508430.776</v>
      </c>
      <c r="J53" s="87" t="n">
        <f aca="false">IF(($E53+$F53)=0,0,(($E53+$F53)-$I53)/($E53+$F53))</f>
        <v>-0.0120000000000001</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3627261</v>
      </c>
      <c r="F54" s="99" t="n">
        <v>0</v>
      </c>
      <c r="G54" s="99" t="n">
        <v>280601</v>
      </c>
      <c r="H54" s="99" t="n">
        <v>1542410</v>
      </c>
      <c r="I54" s="49" t="n">
        <f aca="false">($E54+$F54)*1.012</f>
        <v>3670788.132</v>
      </c>
      <c r="J54" s="100" t="n">
        <f aca="false">IF(($E54+$F54)=0,0,(($E54+$F54)-$I54)/($E54+$F54))</f>
        <v>-0.0120000000000001</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4286763</v>
      </c>
      <c r="F55" s="92" t="n">
        <v>0</v>
      </c>
      <c r="G55" s="92" t="n">
        <v>293355</v>
      </c>
      <c r="H55" s="92" t="n">
        <v>1542410</v>
      </c>
      <c r="I55" s="31" t="n">
        <f aca="false">($E55+$F55)*1.012</f>
        <v>4338204.156</v>
      </c>
      <c r="J55" s="87" t="n">
        <f aca="false">IF(($E55+$F55)=0,0,(($E55+$F55)-$I55)/($E55+$F55))</f>
        <v>-0.0120000000000001</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4946265</v>
      </c>
      <c r="F56" s="99" t="n">
        <v>0</v>
      </c>
      <c r="G56" s="99" t="n">
        <v>0</v>
      </c>
      <c r="H56" s="99" t="n">
        <v>0</v>
      </c>
      <c r="I56" s="49" t="n">
        <f aca="false">($E56+$F56)*1.012</f>
        <v>5005620.18</v>
      </c>
      <c r="J56" s="100" t="n">
        <f aca="false">IF(($E56+$F56)=0,0,(($E56+$F56)-$I56)/($E56+$F56))</f>
        <v>-0.0119999999999999</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3034827</v>
      </c>
      <c r="G57" s="92" t="n">
        <v>244924</v>
      </c>
      <c r="H57" s="92" t="n">
        <v>1669155</v>
      </c>
      <c r="I57" s="31" t="n">
        <f aca="false">($E57+$F57)*1.012</f>
        <v>3071244.924</v>
      </c>
      <c r="J57" s="87" t="n">
        <f aca="false">IF(($E57+$F57)=0,0,(($E57+$F57)-$I57)/($E57+$F57))</f>
        <v>-0.012</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164875500</v>
      </c>
      <c r="F58" s="28" t="n">
        <f aca="false">SUM($F$47:$F$57)</f>
        <v>3034827</v>
      </c>
      <c r="G58" s="28" t="n">
        <f aca="false">SUM($G$47:$G$57)</f>
        <v>13280110</v>
      </c>
      <c r="H58" s="28" t="n">
        <f aca="false">SUM($H$47:$H$57)</f>
        <v>78789670</v>
      </c>
      <c r="I58" s="28" t="n">
        <f aca="false">SUM($I$47:$I$57)</f>
        <v>169925250.924</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713</v>
      </c>
      <c r="B63" s="30" t="s">
        <v>778</v>
      </c>
      <c r="C63" s="30"/>
      <c r="D63" s="30"/>
      <c r="E63" s="45" t="s">
        <v>779</v>
      </c>
      <c r="F63" s="92" t="n">
        <v>2515050</v>
      </c>
      <c r="G63" s="92" t="n">
        <v>2162943</v>
      </c>
      <c r="H63" s="92" t="n">
        <v>0</v>
      </c>
      <c r="I63" s="93" t="s">
        <v>1536</v>
      </c>
      <c r="J63" s="45" t="s">
        <v>711</v>
      </c>
      <c r="K63" s="5"/>
      <c r="L63" s="5"/>
      <c r="M63" s="5"/>
      <c r="N63" s="5"/>
      <c r="O63" s="5"/>
      <c r="P63" s="5"/>
      <c r="Q63" s="5"/>
      <c r="R63" s="5"/>
      <c r="S63" s="5"/>
      <c r="T63" s="5"/>
    </row>
    <row r="64" customFormat="false" ht="13.5" hidden="false" customHeight="true" outlineLevel="0" collapsed="false">
      <c r="A64" s="47" t="s">
        <v>716</v>
      </c>
      <c r="B64" s="37" t="s">
        <v>781</v>
      </c>
      <c r="C64" s="37"/>
      <c r="D64" s="37"/>
      <c r="E64" s="51" t="s">
        <v>674</v>
      </c>
      <c r="F64" s="99" t="n">
        <v>968760</v>
      </c>
      <c r="G64" s="99" t="n">
        <v>871884</v>
      </c>
      <c r="H64" s="99" t="n">
        <v>7</v>
      </c>
      <c r="I64" s="103" t="s">
        <v>1536</v>
      </c>
      <c r="J64" s="51" t="s">
        <v>714</v>
      </c>
      <c r="K64" s="5"/>
      <c r="L64" s="5"/>
      <c r="M64" s="5"/>
      <c r="N64" s="5"/>
      <c r="O64" s="5"/>
      <c r="P64" s="5"/>
      <c r="Q64" s="5"/>
      <c r="R64" s="5"/>
      <c r="S64" s="5"/>
      <c r="T64" s="5"/>
    </row>
    <row r="65" customFormat="false" ht="13.5" hidden="false" customHeight="true" outlineLevel="0" collapsed="false">
      <c r="A65" s="42" t="s">
        <v>719</v>
      </c>
      <c r="B65" s="30" t="s">
        <v>782</v>
      </c>
      <c r="C65" s="30"/>
      <c r="D65" s="30"/>
      <c r="E65" s="45" t="s">
        <v>783</v>
      </c>
      <c r="F65" s="92" t="n">
        <v>3688740</v>
      </c>
      <c r="G65" s="92" t="n">
        <v>3209204</v>
      </c>
      <c r="H65" s="92" t="n">
        <v>21</v>
      </c>
      <c r="I65" s="93" t="s">
        <v>1537</v>
      </c>
      <c r="J65" s="45" t="s">
        <v>717</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711</v>
      </c>
      <c r="B68" s="30" t="s">
        <v>668</v>
      </c>
      <c r="C68" s="30"/>
      <c r="D68" s="30"/>
      <c r="E68" s="45" t="s">
        <v>95</v>
      </c>
      <c r="F68" s="92" t="n">
        <v>2162943</v>
      </c>
      <c r="G68" s="92" t="n">
        <v>0</v>
      </c>
      <c r="H68" s="93" t="s">
        <v>1539</v>
      </c>
      <c r="I68" s="45" t="s">
        <v>713</v>
      </c>
      <c r="J68" s="5"/>
      <c r="K68" s="5"/>
      <c r="L68" s="5"/>
      <c r="M68" s="5"/>
      <c r="N68" s="5"/>
      <c r="O68" s="5"/>
      <c r="P68" s="5"/>
      <c r="Q68" s="5"/>
      <c r="R68" s="5"/>
      <c r="S68" s="5"/>
      <c r="T68" s="5"/>
    </row>
    <row r="69" customFormat="false" ht="13.5" hidden="false" customHeight="true" outlineLevel="0" collapsed="false">
      <c r="A69" s="47" t="s">
        <v>714</v>
      </c>
      <c r="B69" s="37" t="s">
        <v>675</v>
      </c>
      <c r="C69" s="37"/>
      <c r="D69" s="37"/>
      <c r="E69" s="51" t="s">
        <v>674</v>
      </c>
      <c r="F69" s="99" t="n">
        <v>871884</v>
      </c>
      <c r="G69" s="99" t="n">
        <v>7</v>
      </c>
      <c r="H69" s="103" t="s">
        <v>1539</v>
      </c>
      <c r="I69" s="51" t="s">
        <v>716</v>
      </c>
      <c r="J69" s="5"/>
      <c r="K69" s="5"/>
      <c r="L69" s="5"/>
      <c r="M69" s="5"/>
      <c r="N69" s="5"/>
      <c r="O69" s="5"/>
      <c r="P69" s="5"/>
      <c r="Q69" s="5"/>
      <c r="R69" s="5"/>
      <c r="S69" s="5"/>
      <c r="T69" s="5"/>
    </row>
    <row r="70" customFormat="false" ht="13.5" hidden="false" customHeight="true" outlineLevel="0" collapsed="false">
      <c r="A70" s="42" t="s">
        <v>717</v>
      </c>
      <c r="B70" s="30" t="s">
        <v>681</v>
      </c>
      <c r="C70" s="30"/>
      <c r="D70" s="30"/>
      <c r="E70" s="45" t="s">
        <v>356</v>
      </c>
      <c r="F70" s="92" t="n">
        <v>3209204</v>
      </c>
      <c r="G70" s="92" t="n">
        <v>21</v>
      </c>
      <c r="H70" s="93" t="s">
        <v>1540</v>
      </c>
      <c r="I70" s="45" t="s">
        <v>719</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844</v>
      </c>
      <c r="B75" s="30" t="s">
        <v>823</v>
      </c>
      <c r="C75" s="30"/>
      <c r="D75" s="30"/>
      <c r="E75" s="30" t="s">
        <v>824</v>
      </c>
      <c r="F75" s="92" t="n">
        <v>27013500</v>
      </c>
      <c r="G75" s="92" t="n">
        <v>27013500</v>
      </c>
      <c r="H75" s="169" t="n">
        <v>46238</v>
      </c>
      <c r="I75" s="169"/>
      <c r="J75" s="184" t="n">
        <v>0.029</v>
      </c>
      <c r="K75" s="93" t="s">
        <v>1520</v>
      </c>
      <c r="L75" s="5"/>
      <c r="M75" s="5"/>
      <c r="N75" s="5"/>
      <c r="O75" s="5"/>
      <c r="P75" s="5"/>
      <c r="Q75" s="5"/>
      <c r="R75" s="5"/>
      <c r="S75" s="5"/>
      <c r="T75" s="5"/>
    </row>
    <row r="76" customFormat="false" ht="13.5" hidden="false" customHeight="true" outlineLevel="0" collapsed="false">
      <c r="A76" s="47" t="s">
        <v>845</v>
      </c>
      <c r="B76" s="37" t="s">
        <v>826</v>
      </c>
      <c r="C76" s="37"/>
      <c r="D76" s="37"/>
      <c r="E76" s="37" t="s">
        <v>824</v>
      </c>
      <c r="F76" s="99" t="n">
        <v>15835500</v>
      </c>
      <c r="G76" s="99" t="n">
        <v>15835500</v>
      </c>
      <c r="H76" s="96" t="n">
        <v>46262</v>
      </c>
      <c r="I76" s="96"/>
      <c r="J76" s="102" t="n">
        <v>0.029</v>
      </c>
      <c r="K76" s="103" t="s">
        <v>1520</v>
      </c>
      <c r="L76" s="5"/>
      <c r="M76" s="5"/>
      <c r="N76" s="5"/>
      <c r="O76" s="5"/>
      <c r="P76" s="5"/>
      <c r="Q76" s="5"/>
      <c r="R76" s="5"/>
      <c r="S76" s="5"/>
      <c r="T76" s="5"/>
    </row>
    <row r="77" customFormat="false" ht="13.5" hidden="false" customHeight="true" outlineLevel="0" collapsed="false">
      <c r="A77" s="42" t="s">
        <v>846</v>
      </c>
      <c r="B77" s="30" t="s">
        <v>828</v>
      </c>
      <c r="C77" s="30"/>
      <c r="D77" s="30"/>
      <c r="E77" s="30" t="s">
        <v>829</v>
      </c>
      <c r="F77" s="92" t="n">
        <v>9687600</v>
      </c>
      <c r="G77" s="92" t="n">
        <v>0</v>
      </c>
      <c r="H77" s="169"/>
      <c r="I77" s="169" t="n">
        <v>46531</v>
      </c>
      <c r="J77" s="184" t="n">
        <v>0</v>
      </c>
      <c r="K77" s="93" t="s">
        <v>1544</v>
      </c>
      <c r="L77" s="5"/>
      <c r="M77" s="5"/>
      <c r="N77" s="5"/>
      <c r="O77" s="5"/>
      <c r="P77" s="5"/>
      <c r="Q77" s="5"/>
      <c r="R77" s="5"/>
      <c r="S77" s="5"/>
      <c r="T77" s="5"/>
    </row>
    <row r="78" customFormat="false" ht="13.5" hidden="false" customHeight="true" outlineLevel="0" collapsed="false">
      <c r="A78" s="47" t="s">
        <v>847</v>
      </c>
      <c r="B78" s="37" t="s">
        <v>831</v>
      </c>
      <c r="C78" s="37"/>
      <c r="D78" s="37"/>
      <c r="E78" s="37" t="s">
        <v>829</v>
      </c>
      <c r="F78" s="99" t="n">
        <v>13041000</v>
      </c>
      <c r="G78" s="99" t="n">
        <v>0</v>
      </c>
      <c r="H78" s="96"/>
      <c r="I78" s="96"/>
      <c r="J78" s="102" t="n">
        <v>0</v>
      </c>
      <c r="K78" s="103" t="s">
        <v>1544</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2</v>
      </c>
      <c r="F83" s="92" t="n">
        <v>2</v>
      </c>
      <c r="G83" s="87" t="n">
        <f aca="false">IF($E83=0,1,$F83/$E83)</f>
        <v>1</v>
      </c>
      <c r="H83" s="92" t="n">
        <v>1318</v>
      </c>
      <c r="I83" s="92" t="n">
        <v>1267</v>
      </c>
      <c r="J83" s="87" t="n">
        <f aca="false">IF($H83=0,0,$I83/$H83)</f>
        <v>0.961305007587254</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1</v>
      </c>
      <c r="G84" s="100" t="n">
        <f aca="false">IF($E84=0,1,$F84/$E84)</f>
        <v>1</v>
      </c>
      <c r="H84" s="99" t="n">
        <v>615</v>
      </c>
      <c r="I84" s="99" t="n">
        <v>591</v>
      </c>
      <c r="J84" s="100" t="n">
        <f aca="false">IF($H84=0,0,$I84/$H84)</f>
        <v>0.960975609756098</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3</v>
      </c>
      <c r="F85" s="92" t="n">
        <v>3</v>
      </c>
      <c r="G85" s="87" t="n">
        <f aca="false">IF($E85=0,1,$F85/$E85)</f>
        <v>1</v>
      </c>
      <c r="H85" s="92" t="n">
        <v>1893</v>
      </c>
      <c r="I85" s="92" t="n">
        <v>1721</v>
      </c>
      <c r="J85" s="87" t="n">
        <f aca="false">IF($H85=0,0,$I85/$H85)</f>
        <v>0.909138932910724</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11</v>
      </c>
      <c r="F86" s="99" t="n">
        <v>11</v>
      </c>
      <c r="G86" s="100" t="n">
        <f aca="false">IF($E86=0,1,$F86/$E86)</f>
        <v>1</v>
      </c>
      <c r="H86" s="99" t="n">
        <v>6389</v>
      </c>
      <c r="I86" s="99" t="n">
        <v>5808</v>
      </c>
      <c r="J86" s="100" t="n">
        <f aca="false">IF($H86=0,0,$I86/$H86)</f>
        <v>0.909062451087807</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44</v>
      </c>
      <c r="F87" s="92" t="n">
        <v>43</v>
      </c>
      <c r="G87" s="87" t="n">
        <f aca="false">IF($E87=0,1,$F87/$E87)</f>
        <v>0.977272727272727</v>
      </c>
      <c r="H87" s="92" t="n">
        <v>25123</v>
      </c>
      <c r="I87" s="92" t="n">
        <v>22839</v>
      </c>
      <c r="J87" s="87" t="n">
        <f aca="false">IF($H87=0,0,$I87/$H87)</f>
        <v>0.90908729053059</v>
      </c>
      <c r="K87" s="46" t="str">
        <f aca="false">IF(AND($G87&gt;=0.95,$J87&gt;=0.85),"Green",IF(OR($G87&lt;0.8,$J87&lt;0.7),"Red","Amber"))</f>
        <v>Green</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21</v>
      </c>
      <c r="F88" s="99" t="n">
        <v>20</v>
      </c>
      <c r="G88" s="100" t="n">
        <f aca="false">IF($E88=0,1,$F88/$E88)</f>
        <v>0.952380952380952</v>
      </c>
      <c r="H88" s="99" t="n">
        <v>11879</v>
      </c>
      <c r="I88" s="99" t="n">
        <v>10799</v>
      </c>
      <c r="J88" s="100" t="n">
        <f aca="false">IF($H88=0,0,$I88/$H88)</f>
        <v>0.909083256166344</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260</v>
      </c>
      <c r="E91" s="163"/>
      <c r="F91" s="163"/>
      <c r="G91" s="53" t="s">
        <v>1554</v>
      </c>
      <c r="H91" s="53"/>
      <c r="I91" s="53"/>
      <c r="J91" s="163" t="n">
        <v>151</v>
      </c>
      <c r="K91" s="163"/>
      <c r="L91" s="163"/>
      <c r="M91" s="53" t="s">
        <v>1555</v>
      </c>
      <c r="N91" s="53"/>
      <c r="O91" s="53"/>
      <c r="P91" s="163" t="n">
        <v>52</v>
      </c>
      <c r="Q91" s="163"/>
      <c r="R91" s="163"/>
      <c r="S91" s="5"/>
      <c r="T91" s="5"/>
    </row>
    <row r="92" customFormat="false" ht="15.75" hidden="false" customHeight="true" outlineLevel="0" collapsed="false">
      <c r="A92" s="53" t="s">
        <v>1556</v>
      </c>
      <c r="B92" s="53"/>
      <c r="C92" s="53"/>
      <c r="D92" s="163" t="n">
        <v>73</v>
      </c>
      <c r="E92" s="163"/>
      <c r="F92" s="163"/>
      <c r="G92" s="53" t="s">
        <v>1557</v>
      </c>
      <c r="H92" s="53"/>
      <c r="I92" s="53"/>
      <c r="J92" s="163" t="n">
        <v>56</v>
      </c>
      <c r="K92" s="163"/>
      <c r="L92" s="163"/>
      <c r="M92" s="53" t="s">
        <v>1558</v>
      </c>
      <c r="N92" s="53"/>
      <c r="O92" s="53"/>
      <c r="P92" s="121" t="n">
        <f aca="false">IF(($D$91+$D$92)=0,0,($J$91+$J$92)/($D$91+$D$92))</f>
        <v>0.621621621621622</v>
      </c>
      <c r="Q92" s="121"/>
      <c r="R92" s="121"/>
      <c r="S92" s="5"/>
      <c r="T92" s="5"/>
    </row>
    <row r="93" customFormat="false" ht="15.75" hidden="false" customHeight="true" outlineLevel="0" collapsed="false">
      <c r="A93" s="53" t="s">
        <v>1559</v>
      </c>
      <c r="B93" s="53"/>
      <c r="C93" s="53"/>
      <c r="D93" s="163" t="n">
        <v>47217</v>
      </c>
      <c r="E93" s="163"/>
      <c r="F93" s="163"/>
      <c r="G93" s="53" t="s">
        <v>1560</v>
      </c>
      <c r="H93" s="53"/>
      <c r="I93" s="53"/>
      <c r="J93" s="163" t="n">
        <v>0</v>
      </c>
      <c r="K93" s="163"/>
      <c r="L93" s="163"/>
      <c r="M93" s="53" t="s">
        <v>1561</v>
      </c>
      <c r="N93" s="53"/>
      <c r="O93" s="53"/>
      <c r="P93" s="233" t="n">
        <v>0.84</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62</v>
      </c>
      <c r="K94" s="163"/>
      <c r="L94" s="163"/>
      <c r="M94" s="53" t="s">
        <v>1564</v>
      </c>
      <c r="N94" s="53"/>
      <c r="O94" s="53"/>
      <c r="P94" s="163" t="n">
        <v>51</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1038</v>
      </c>
      <c r="B97" s="30" t="s">
        <v>1014</v>
      </c>
      <c r="C97" s="30"/>
      <c r="D97" s="30"/>
      <c r="E97" s="93" t="s">
        <v>1015</v>
      </c>
      <c r="F97" s="30" t="s">
        <v>1016</v>
      </c>
      <c r="G97" s="92" t="n">
        <v>145019</v>
      </c>
      <c r="H97" s="93" t="s">
        <v>1017</v>
      </c>
      <c r="I97" s="5"/>
      <c r="J97" s="5"/>
      <c r="K97" s="5"/>
      <c r="L97" s="5"/>
      <c r="M97" s="5"/>
      <c r="N97" s="5"/>
      <c r="O97" s="5"/>
      <c r="P97" s="5"/>
      <c r="Q97" s="5"/>
      <c r="R97" s="5"/>
      <c r="S97" s="5"/>
      <c r="T97" s="5"/>
    </row>
    <row r="98" customFormat="false" ht="13.5" hidden="false" customHeight="true" outlineLevel="0" collapsed="false">
      <c r="A98" s="47" t="s">
        <v>1039</v>
      </c>
      <c r="B98" s="37" t="s">
        <v>1020</v>
      </c>
      <c r="C98" s="37"/>
      <c r="D98" s="37"/>
      <c r="E98" s="103" t="s">
        <v>1021</v>
      </c>
      <c r="F98" s="37" t="s">
        <v>1022</v>
      </c>
      <c r="G98" s="99" t="n">
        <v>36255</v>
      </c>
      <c r="H98" s="103" t="s">
        <v>1023</v>
      </c>
      <c r="I98" s="5"/>
      <c r="J98" s="5"/>
      <c r="K98" s="5"/>
      <c r="L98" s="5"/>
      <c r="M98" s="5"/>
      <c r="N98" s="5"/>
      <c r="O98" s="5"/>
      <c r="P98" s="5"/>
      <c r="Q98" s="5"/>
      <c r="R98" s="5"/>
      <c r="S98" s="5"/>
      <c r="T98" s="5"/>
    </row>
    <row r="99" customFormat="false" ht="13.5" hidden="false" customHeight="true" outlineLevel="0" collapsed="false">
      <c r="A99" s="42" t="s">
        <v>1040</v>
      </c>
      <c r="B99" s="30" t="s">
        <v>1026</v>
      </c>
      <c r="C99" s="30"/>
      <c r="D99" s="30"/>
      <c r="E99" s="93" t="s">
        <v>1015</v>
      </c>
      <c r="F99" s="30" t="s">
        <v>1027</v>
      </c>
      <c r="G99" s="92" t="n">
        <v>97608</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712</v>
      </c>
      <c r="B104" s="30" t="s">
        <v>1143</v>
      </c>
      <c r="C104" s="30"/>
      <c r="D104" s="30"/>
      <c r="E104" s="84" t="n">
        <v>4</v>
      </c>
      <c r="F104" s="84" t="n">
        <v>4</v>
      </c>
      <c r="G104" s="43" t="n">
        <f aca="false">$E104*$F104</f>
        <v>16</v>
      </c>
      <c r="H104" s="92" t="n">
        <v>6380592</v>
      </c>
      <c r="I104" s="31" t="n">
        <f aca="false">(($E104*2-1)/10)*$H104</f>
        <v>4466414.4</v>
      </c>
      <c r="J104" s="93" t="s">
        <v>1145</v>
      </c>
      <c r="K104" s="30" t="s">
        <v>1147</v>
      </c>
      <c r="L104" s="93" t="s">
        <v>1023</v>
      </c>
      <c r="M104" s="5"/>
      <c r="N104" s="5"/>
      <c r="O104" s="5"/>
      <c r="P104" s="5"/>
      <c r="Q104" s="5"/>
      <c r="R104" s="5"/>
      <c r="S104" s="5"/>
      <c r="T104" s="5"/>
    </row>
    <row r="105" customFormat="false" ht="13.5" hidden="false" customHeight="true" outlineLevel="0" collapsed="false">
      <c r="A105" s="47" t="s">
        <v>715</v>
      </c>
      <c r="B105" s="37" t="s">
        <v>1149</v>
      </c>
      <c r="C105" s="37"/>
      <c r="D105" s="37"/>
      <c r="E105" s="97" t="n">
        <v>4</v>
      </c>
      <c r="F105" s="97" t="n">
        <v>4</v>
      </c>
      <c r="G105" s="48" t="n">
        <f aca="false">$E105*$F105</f>
        <v>16</v>
      </c>
      <c r="H105" s="99" t="n">
        <v>5205220</v>
      </c>
      <c r="I105" s="49" t="n">
        <f aca="false">(($E105*2-1)/10)*$H105</f>
        <v>3643654</v>
      </c>
      <c r="J105" s="103" t="s">
        <v>1145</v>
      </c>
      <c r="K105" s="37" t="s">
        <v>1152</v>
      </c>
      <c r="L105" s="103" t="s">
        <v>1023</v>
      </c>
      <c r="M105" s="5"/>
      <c r="N105" s="5"/>
      <c r="O105" s="5"/>
      <c r="P105" s="5"/>
      <c r="Q105" s="5"/>
      <c r="R105" s="5"/>
      <c r="S105" s="5"/>
      <c r="T105" s="5"/>
    </row>
    <row r="106" customFormat="false" ht="13.5" hidden="false" customHeight="true" outlineLevel="0" collapsed="false">
      <c r="A106" s="42" t="s">
        <v>718</v>
      </c>
      <c r="B106" s="30" t="s">
        <v>1153</v>
      </c>
      <c r="C106" s="30"/>
      <c r="D106" s="30"/>
      <c r="E106" s="84" t="n">
        <v>3</v>
      </c>
      <c r="F106" s="84" t="n">
        <v>4</v>
      </c>
      <c r="G106" s="43" t="n">
        <f aca="false">$E106*$F106</f>
        <v>12</v>
      </c>
      <c r="H106" s="92" t="n">
        <v>3694027</v>
      </c>
      <c r="I106" s="31" t="n">
        <f aca="false">(($E106*2-1)/10)*$H106</f>
        <v>1847013.5</v>
      </c>
      <c r="J106" s="93" t="s">
        <v>1145</v>
      </c>
      <c r="K106" s="30" t="s">
        <v>667</v>
      </c>
      <c r="L106" s="93" t="s">
        <v>1023</v>
      </c>
      <c r="M106" s="5"/>
      <c r="N106" s="5"/>
      <c r="O106" s="5"/>
      <c r="P106" s="5"/>
      <c r="Q106" s="5"/>
      <c r="R106" s="5"/>
      <c r="S106" s="5"/>
      <c r="T106" s="5"/>
    </row>
    <row r="107" customFormat="false" ht="13.5" hidden="false" customHeight="true" outlineLevel="0" collapsed="false">
      <c r="A107" s="47" t="s">
        <v>1165</v>
      </c>
      <c r="B107" s="37" t="s">
        <v>1157</v>
      </c>
      <c r="C107" s="37"/>
      <c r="D107" s="37"/>
      <c r="E107" s="97" t="n">
        <v>4</v>
      </c>
      <c r="F107" s="97" t="n">
        <v>3</v>
      </c>
      <c r="G107" s="48" t="n">
        <f aca="false">$E107*$F107</f>
        <v>12</v>
      </c>
      <c r="H107" s="99" t="n">
        <v>4197758</v>
      </c>
      <c r="I107" s="49" t="n">
        <f aca="false">(($E107*2-1)/10)*$H107</f>
        <v>2938430.6</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1218</v>
      </c>
      <c r="B110" s="30" t="s">
        <v>1190</v>
      </c>
      <c r="C110" s="30"/>
      <c r="D110" s="30"/>
      <c r="E110" s="93" t="s">
        <v>1570</v>
      </c>
      <c r="F110" s="92" t="n">
        <v>0</v>
      </c>
      <c r="G110" s="92" t="n">
        <v>18</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1219</v>
      </c>
      <c r="B111" s="37" t="s">
        <v>1195</v>
      </c>
      <c r="C111" s="37"/>
      <c r="D111" s="37"/>
      <c r="E111" s="103" t="s">
        <v>1571</v>
      </c>
      <c r="F111" s="99" t="n">
        <v>0</v>
      </c>
      <c r="G111" s="99" t="n">
        <v>34</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1220</v>
      </c>
      <c r="B112" s="30" t="s">
        <v>1199</v>
      </c>
      <c r="C112" s="30"/>
      <c r="D112" s="30"/>
      <c r="E112" s="93" t="s">
        <v>1097</v>
      </c>
      <c r="F112" s="92" t="n">
        <v>0</v>
      </c>
      <c r="G112" s="92" t="n">
        <v>21</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1221</v>
      </c>
      <c r="B113" s="37" t="s">
        <v>1204</v>
      </c>
      <c r="C113" s="37"/>
      <c r="D113" s="37"/>
      <c r="E113" s="103" t="s">
        <v>1570</v>
      </c>
      <c r="F113" s="99" t="n">
        <v>1007462</v>
      </c>
      <c r="G113" s="99" t="n">
        <v>0</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1584</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1585</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301</v>
      </c>
      <c r="E7" s="229"/>
      <c r="F7" s="229"/>
      <c r="G7" s="53" t="s">
        <v>5</v>
      </c>
      <c r="H7" s="53"/>
      <c r="I7" s="53"/>
      <c r="J7" s="229" t="s">
        <v>411</v>
      </c>
      <c r="K7" s="229"/>
      <c r="L7" s="229"/>
      <c r="M7" s="53" t="s">
        <v>258</v>
      </c>
      <c r="N7" s="53"/>
      <c r="O7" s="53"/>
      <c r="P7" s="229" t="s">
        <v>1575</v>
      </c>
      <c r="Q7" s="229"/>
      <c r="R7" s="229"/>
      <c r="S7" s="5"/>
      <c r="T7" s="230" t="n">
        <f aca="false">SUMIF($I$63:$I$65,"Approved",$F$63:$F$65)</f>
        <v>545490</v>
      </c>
    </row>
    <row r="8" customFormat="false" ht="15.75" hidden="false" customHeight="true" outlineLevel="0" collapsed="false">
      <c r="A8" s="53" t="s">
        <v>257</v>
      </c>
      <c r="B8" s="53"/>
      <c r="C8" s="53"/>
      <c r="D8" s="229" t="s">
        <v>1585</v>
      </c>
      <c r="E8" s="229"/>
      <c r="F8" s="229"/>
      <c r="G8" s="53" t="s">
        <v>1486</v>
      </c>
      <c r="H8" s="53"/>
      <c r="I8" s="53"/>
      <c r="J8" s="229" t="s">
        <v>531</v>
      </c>
      <c r="K8" s="229"/>
      <c r="L8" s="229"/>
      <c r="M8" s="53" t="s">
        <v>260</v>
      </c>
      <c r="N8" s="53"/>
      <c r="O8" s="53"/>
      <c r="P8" s="229" t="s">
        <v>294</v>
      </c>
      <c r="Q8" s="229"/>
      <c r="R8" s="229"/>
      <c r="S8" s="5"/>
      <c r="T8" s="230" t="n">
        <f aca="false">SUMIF($I$63:$I$65,"Approved",$G$63:$G$65)</f>
        <v>474098</v>
      </c>
    </row>
    <row r="9" customFormat="false" ht="15.75" hidden="false" customHeight="true" outlineLevel="0" collapsed="false">
      <c r="A9" s="53" t="s">
        <v>1487</v>
      </c>
      <c r="B9" s="53"/>
      <c r="C9" s="53"/>
      <c r="D9" s="229" t="s">
        <v>1488</v>
      </c>
      <c r="E9" s="229"/>
      <c r="F9" s="229"/>
      <c r="G9" s="53" t="s">
        <v>1489</v>
      </c>
      <c r="H9" s="53"/>
      <c r="I9" s="53"/>
      <c r="J9" s="229" t="s">
        <v>302</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46143</v>
      </c>
      <c r="E10" s="231"/>
      <c r="F10" s="231"/>
      <c r="G10" s="53" t="s">
        <v>1491</v>
      </c>
      <c r="H10" s="53"/>
      <c r="I10" s="53"/>
      <c r="J10" s="231" t="n">
        <v>46630</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0</v>
      </c>
      <c r="E11" s="163"/>
      <c r="F11" s="163"/>
      <c r="G11" s="53" t="s">
        <v>1493</v>
      </c>
      <c r="H11" s="53"/>
      <c r="I11" s="53"/>
      <c r="J11" s="232" t="n">
        <f aca="false">$P$10+$D$11</f>
        <v>46265</v>
      </c>
      <c r="K11" s="232"/>
      <c r="L11" s="232"/>
      <c r="M11" s="53" t="s">
        <v>78</v>
      </c>
      <c r="N11" s="53"/>
      <c r="O11" s="53"/>
      <c r="P11" s="229" t="s">
        <v>299</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95700000</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83259000</v>
      </c>
      <c r="E15" s="163"/>
      <c r="F15" s="163"/>
      <c r="G15" s="53" t="s">
        <v>1499</v>
      </c>
      <c r="H15" s="53"/>
      <c r="I15" s="53"/>
      <c r="J15" s="117" t="n">
        <f aca="false">$T$7</f>
        <v>545490</v>
      </c>
      <c r="K15" s="117"/>
      <c r="L15" s="117"/>
      <c r="M15" s="53" t="s">
        <v>1500</v>
      </c>
      <c r="N15" s="53"/>
      <c r="O15" s="53"/>
      <c r="P15" s="117" t="n">
        <f aca="false">$T$8</f>
        <v>474098</v>
      </c>
      <c r="Q15" s="117"/>
      <c r="R15" s="117"/>
      <c r="S15" s="5"/>
      <c r="T15" s="5"/>
    </row>
    <row r="16" customFormat="false" ht="15.75" hidden="false" customHeight="true" outlineLevel="0" collapsed="false">
      <c r="A16" s="53" t="s">
        <v>1501</v>
      </c>
      <c r="B16" s="53"/>
      <c r="C16" s="53"/>
      <c r="D16" s="117" t="n">
        <f aca="false">$D$14+$J$15</f>
        <v>96245490</v>
      </c>
      <c r="E16" s="117"/>
      <c r="F16" s="117"/>
      <c r="G16" s="53" t="s">
        <v>1502</v>
      </c>
      <c r="H16" s="53"/>
      <c r="I16" s="53"/>
      <c r="J16" s="117" t="n">
        <f aca="false">$D$15+$R$15</f>
        <v>83259000</v>
      </c>
      <c r="K16" s="117"/>
      <c r="L16" s="117"/>
      <c r="M16" s="53" t="s">
        <v>1503</v>
      </c>
      <c r="N16" s="53"/>
      <c r="O16" s="53"/>
      <c r="P16" s="117" t="n">
        <f aca="false">$D$16-$J$16</f>
        <v>12986490</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11772998.4673</v>
      </c>
      <c r="E19" s="117"/>
      <c r="F19" s="117"/>
      <c r="G19" s="53" t="s">
        <v>1506</v>
      </c>
      <c r="H19" s="53"/>
      <c r="I19" s="53"/>
      <c r="J19" s="117" t="n">
        <f aca="false">$Q$41</f>
        <v>11550921.315</v>
      </c>
      <c r="K19" s="117"/>
      <c r="L19" s="117"/>
      <c r="M19" s="53" t="s">
        <v>1507</v>
      </c>
      <c r="N19" s="53"/>
      <c r="O19" s="53"/>
      <c r="P19" s="117" t="n">
        <f aca="false">$R$41</f>
        <v>12070916</v>
      </c>
      <c r="Q19" s="117"/>
      <c r="R19" s="117"/>
      <c r="S19" s="5"/>
      <c r="T19" s="5"/>
    </row>
    <row r="20" customFormat="false" ht="15.75" hidden="false" customHeight="true" outlineLevel="0" collapsed="false">
      <c r="A20" s="53" t="s">
        <v>1508</v>
      </c>
      <c r="B20" s="53"/>
      <c r="C20" s="53"/>
      <c r="D20" s="117" t="n">
        <f aca="false">$S$41</f>
        <v>39205150</v>
      </c>
      <c r="E20" s="117"/>
      <c r="F20" s="117"/>
      <c r="G20" s="53" t="s">
        <v>1509</v>
      </c>
      <c r="H20" s="53"/>
      <c r="I20" s="53"/>
      <c r="J20" s="117" t="n">
        <f aca="false">$J$19-$D$19</f>
        <v>-222077.152299998</v>
      </c>
      <c r="K20" s="117"/>
      <c r="L20" s="117"/>
      <c r="M20" s="53" t="s">
        <v>1510</v>
      </c>
      <c r="N20" s="53"/>
      <c r="O20" s="53"/>
      <c r="P20" s="117" t="n">
        <f aca="false">$J$19-$P$19</f>
        <v>-519994.684999999</v>
      </c>
      <c r="Q20" s="117"/>
      <c r="R20" s="117"/>
      <c r="S20" s="5"/>
      <c r="T20" s="5"/>
    </row>
    <row r="21" customFormat="false" ht="15.75" hidden="false" customHeight="true" outlineLevel="0" collapsed="false">
      <c r="A21" s="53" t="s">
        <v>1511</v>
      </c>
      <c r="B21" s="53"/>
      <c r="C21" s="53"/>
      <c r="D21" s="120" t="n">
        <f aca="false">IF($D$19&lt;=0,1,$J$19/$D$19)</f>
        <v>0.981136738196575</v>
      </c>
      <c r="E21" s="120"/>
      <c r="F21" s="120"/>
      <c r="G21" s="53" t="s">
        <v>1512</v>
      </c>
      <c r="H21" s="53"/>
      <c r="I21" s="53"/>
      <c r="J21" s="120" t="n">
        <f aca="false">IF($P$19&lt;=0,1,$J$19/$P$19)</f>
        <v>0.956921688047535</v>
      </c>
      <c r="K21" s="120"/>
      <c r="L21" s="120"/>
      <c r="M21" s="53" t="s">
        <v>344</v>
      </c>
      <c r="N21" s="53"/>
      <c r="O21" s="53"/>
      <c r="P21" s="121" t="n">
        <f aca="false">IF($J$16=0,0,$J$19/$J$16)</f>
        <v>0.138734807228047</v>
      </c>
      <c r="Q21" s="121"/>
      <c r="R21" s="121"/>
      <c r="S21" s="5"/>
      <c r="T21" s="5"/>
    </row>
    <row r="22" customFormat="false" ht="15.75" hidden="false" customHeight="true" outlineLevel="0" collapsed="false">
      <c r="A22" s="53" t="s">
        <v>1513</v>
      </c>
      <c r="B22" s="53"/>
      <c r="C22" s="53"/>
      <c r="D22" s="117" t="n">
        <f aca="false">IF($J$21&lt;=0,$J$16,$J$16/$J$21)</f>
        <v>87007119.8510281</v>
      </c>
      <c r="E22" s="117"/>
      <c r="F22" s="117"/>
      <c r="G22" s="53" t="s">
        <v>1514</v>
      </c>
      <c r="H22" s="53"/>
      <c r="I22" s="53"/>
      <c r="J22" s="117" t="n">
        <f aca="false">$J$16-$D$22</f>
        <v>-3748119.85102808</v>
      </c>
      <c r="K22" s="117"/>
      <c r="L22" s="117"/>
      <c r="M22" s="53" t="s">
        <v>1515</v>
      </c>
      <c r="N22" s="53"/>
      <c r="O22" s="53"/>
      <c r="P22" s="117" t="n">
        <f aca="false">$D$22-$P$19</f>
        <v>74936203.8510281</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46173</v>
      </c>
      <c r="E27" s="169" t="n">
        <v>46173</v>
      </c>
      <c r="F27" s="92" t="n">
        <v>3746655</v>
      </c>
      <c r="G27" s="184" t="n">
        <v>1</v>
      </c>
      <c r="H27" s="184" t="n">
        <v>1</v>
      </c>
      <c r="I27" s="31" t="n">
        <f aca="false">$F27*$G27</f>
        <v>3746655</v>
      </c>
      <c r="J27" s="31" t="n">
        <f aca="false">$F27*$H27</f>
        <v>3746655</v>
      </c>
      <c r="K27" s="92" t="n">
        <v>3796745</v>
      </c>
      <c r="L27" s="92" t="n">
        <v>3746655</v>
      </c>
      <c r="M27" s="152" t="n">
        <f aca="false">IF($I27&lt;=0,1,$J27/$I27)</f>
        <v>1</v>
      </c>
      <c r="N27" s="152" t="n">
        <f aca="false">IF($K27&lt;=0,1,$J27/$K27)</f>
        <v>0.986807120309634</v>
      </c>
      <c r="O27" s="93" t="s">
        <v>1579</v>
      </c>
      <c r="P27" s="46" t="str">
        <f aca="false">IF(AND($M27&gt;=0.95,$N27&gt;=0.95),"Green",IF(OR($M27&lt;0.85,$N27&lt;0.85),"Red","Amber"))</f>
        <v>Green</v>
      </c>
      <c r="Q27" s="31" t="n">
        <f aca="false">MAX(0,$E27-$D27)</f>
        <v>0</v>
      </c>
      <c r="R27" s="5"/>
      <c r="S27" s="5"/>
      <c r="T27" s="5"/>
    </row>
    <row r="28" customFormat="false" ht="13.5" hidden="false" customHeight="true" outlineLevel="0" collapsed="false">
      <c r="A28" s="47" t="s">
        <v>486</v>
      </c>
      <c r="B28" s="37" t="s">
        <v>487</v>
      </c>
      <c r="C28" s="37" t="s">
        <v>483</v>
      </c>
      <c r="D28" s="96" t="n">
        <v>46630</v>
      </c>
      <c r="E28" s="96" t="n">
        <v>46630</v>
      </c>
      <c r="F28" s="99" t="n">
        <v>6244425</v>
      </c>
      <c r="G28" s="102" t="n">
        <v>0.25</v>
      </c>
      <c r="H28" s="102" t="n">
        <v>0.2584</v>
      </c>
      <c r="I28" s="49" t="n">
        <f aca="false">$F28*$G28</f>
        <v>1561106.25</v>
      </c>
      <c r="J28" s="49" t="n">
        <f aca="false">$F28*$H28</f>
        <v>1613559.42</v>
      </c>
      <c r="K28" s="99" t="n">
        <v>1701131</v>
      </c>
      <c r="L28" s="99" t="n">
        <v>5619982</v>
      </c>
      <c r="M28" s="157" t="n">
        <f aca="false">IF($I28&lt;=0,1,$J28/$I28)</f>
        <v>1.0336</v>
      </c>
      <c r="N28" s="157" t="n">
        <f aca="false">IF($K28&lt;=0,1,$J28/$K28)</f>
        <v>0.948521554189536</v>
      </c>
      <c r="O28" s="103" t="s">
        <v>1520</v>
      </c>
      <c r="P28" s="52" t="str">
        <f aca="false">IF(AND($M28&gt;=0.95,$N28&gt;=0.95),"Green",IF(OR($M28&lt;0.85,$N28&lt;0.85),"Red","Amber"))</f>
        <v>Amber</v>
      </c>
      <c r="Q28" s="49" t="n">
        <f aca="false">MAX(0,$E28-$D28)</f>
        <v>0</v>
      </c>
      <c r="R28" s="5"/>
      <c r="S28" s="5"/>
      <c r="T28" s="5"/>
    </row>
    <row r="29" customFormat="false" ht="13.5" hidden="false" customHeight="true" outlineLevel="0" collapsed="false">
      <c r="A29" s="42" t="s">
        <v>490</v>
      </c>
      <c r="B29" s="30" t="s">
        <v>491</v>
      </c>
      <c r="C29" s="30" t="s">
        <v>492</v>
      </c>
      <c r="D29" s="169" t="n">
        <v>46356</v>
      </c>
      <c r="E29" s="169" t="n">
        <v>46356</v>
      </c>
      <c r="F29" s="92" t="n">
        <v>4579245</v>
      </c>
      <c r="G29" s="184" t="n">
        <v>0.583</v>
      </c>
      <c r="H29" s="184" t="n">
        <v>0.5302</v>
      </c>
      <c r="I29" s="31" t="n">
        <f aca="false">$F29*$G29</f>
        <v>2669699.835</v>
      </c>
      <c r="J29" s="31" t="n">
        <f aca="false">$F29*$H29</f>
        <v>2427915.699</v>
      </c>
      <c r="K29" s="92" t="n">
        <v>2696190</v>
      </c>
      <c r="L29" s="92" t="n">
        <v>3892358</v>
      </c>
      <c r="M29" s="152" t="n">
        <f aca="false">IF($I29&lt;=0,1,$J29/$I29)</f>
        <v>0.909433962264151</v>
      </c>
      <c r="N29" s="152" t="n">
        <f aca="false">IF($K29&lt;=0,1,$J29/$K29)</f>
        <v>0.90049874044485</v>
      </c>
      <c r="O29" s="93" t="s">
        <v>1520</v>
      </c>
      <c r="P29" s="46" t="str">
        <f aca="false">IF(AND($M29&gt;=0.95,$N29&gt;=0.95),"Green",IF(OR($M29&lt;0.85,$N29&lt;0.85),"Red","Amber"))</f>
        <v>Amber</v>
      </c>
      <c r="Q29" s="31" t="n">
        <f aca="false">MAX(0,$E29-$D29)</f>
        <v>0</v>
      </c>
      <c r="R29" s="5"/>
      <c r="S29" s="5"/>
      <c r="T29" s="5"/>
    </row>
    <row r="30" customFormat="false" ht="13.5" hidden="false" customHeight="true" outlineLevel="0" collapsed="false">
      <c r="A30" s="47" t="s">
        <v>495</v>
      </c>
      <c r="B30" s="37" t="s">
        <v>527</v>
      </c>
      <c r="C30" s="37" t="s">
        <v>497</v>
      </c>
      <c r="D30" s="96" t="n">
        <v>46418</v>
      </c>
      <c r="E30" s="96" t="n">
        <v>46418</v>
      </c>
      <c r="F30" s="99" t="n">
        <v>15402915</v>
      </c>
      <c r="G30" s="102" t="n">
        <v>0.216</v>
      </c>
      <c r="H30" s="102" t="n">
        <v>0.2121</v>
      </c>
      <c r="I30" s="49" t="n">
        <f aca="false">$F30*$G30</f>
        <v>3327029.64</v>
      </c>
      <c r="J30" s="49" t="n">
        <f aca="false">$F30*$H30</f>
        <v>3266958.2715</v>
      </c>
      <c r="K30" s="99" t="n">
        <v>3342878</v>
      </c>
      <c r="L30" s="99" t="n">
        <v>9549807</v>
      </c>
      <c r="M30" s="157" t="n">
        <f aca="false">IF($I30&lt;=0,1,$J30/$I30)</f>
        <v>0.981944444444445</v>
      </c>
      <c r="N30" s="157" t="n">
        <f aca="false">IF($K30&lt;=0,1,$J30/$K30)</f>
        <v>0.977289111807251</v>
      </c>
      <c r="O30" s="103" t="s">
        <v>1520</v>
      </c>
      <c r="P30" s="52" t="str">
        <f aca="false">IF(AND($M30&gt;=0.95,$N30&gt;=0.95),"Green",IF(OR($M30&lt;0.85,$N30&lt;0.85),"Red","Amber"))</f>
        <v>Green</v>
      </c>
      <c r="Q30" s="49" t="n">
        <f aca="false">MAX(0,$E30-$D30)</f>
        <v>0</v>
      </c>
      <c r="R30" s="5"/>
      <c r="S30" s="5"/>
      <c r="T30" s="5"/>
    </row>
    <row r="31" customFormat="false" ht="13.5" hidden="false" customHeight="true" outlineLevel="0" collapsed="false">
      <c r="A31" s="42" t="s">
        <v>498</v>
      </c>
      <c r="B31" s="30" t="s">
        <v>528</v>
      </c>
      <c r="C31" s="30" t="s">
        <v>500</v>
      </c>
      <c r="D31" s="169" t="n">
        <v>46507</v>
      </c>
      <c r="E31" s="169" t="n">
        <v>46507</v>
      </c>
      <c r="F31" s="92" t="n">
        <v>20398455</v>
      </c>
      <c r="G31" s="184" t="n">
        <v>0.0197</v>
      </c>
      <c r="H31" s="184" t="n">
        <v>0.0211</v>
      </c>
      <c r="I31" s="31" t="n">
        <f aca="false">$F31*$G31</f>
        <v>401849.5635</v>
      </c>
      <c r="J31" s="31" t="n">
        <f aca="false">$F31*$H31</f>
        <v>430407.4005</v>
      </c>
      <c r="K31" s="92" t="n">
        <v>464231</v>
      </c>
      <c r="L31" s="92" t="n">
        <v>9179305</v>
      </c>
      <c r="M31" s="152" t="n">
        <f aca="false">IF($I31&lt;=0,1,$J31/$I31)</f>
        <v>1.07106598984772</v>
      </c>
      <c r="N31" s="152" t="n">
        <f aca="false">IF($K31&lt;=0,1,$J31/$K31)</f>
        <v>0.927140584105758</v>
      </c>
      <c r="O31" s="93" t="s">
        <v>1520</v>
      </c>
      <c r="P31" s="46" t="str">
        <f aca="false">IF(AND($M31&gt;=0.95,$N31&gt;=0.95),"Green",IF(OR($M31&lt;0.85,$N31&lt;0.85),"Red","Amber"))</f>
        <v>Amber</v>
      </c>
      <c r="Q31" s="31" t="n">
        <f aca="false">MAX(0,$E31-$D31)</f>
        <v>0</v>
      </c>
      <c r="R31" s="5"/>
      <c r="S31" s="5"/>
      <c r="T31" s="5"/>
    </row>
    <row r="32" customFormat="false" ht="13.5" hidden="false" customHeight="true" outlineLevel="0" collapsed="false">
      <c r="A32" s="47" t="s">
        <v>501</v>
      </c>
      <c r="B32" s="37" t="s">
        <v>529</v>
      </c>
      <c r="C32" s="37" t="s">
        <v>503</v>
      </c>
      <c r="D32" s="96" t="n">
        <v>46568</v>
      </c>
      <c r="E32" s="96" t="n">
        <v>46568</v>
      </c>
      <c r="F32" s="99" t="n">
        <v>15402915</v>
      </c>
      <c r="G32" s="102" t="n">
        <v>0</v>
      </c>
      <c r="H32" s="102" t="n">
        <v>0</v>
      </c>
      <c r="I32" s="49" t="n">
        <f aca="false">$F32*$G32</f>
        <v>0</v>
      </c>
      <c r="J32" s="49" t="n">
        <f aca="false">$F32*$H32</f>
        <v>0</v>
      </c>
      <c r="K32" s="99" t="n">
        <v>0</v>
      </c>
      <c r="L32" s="99" t="n">
        <v>4620874</v>
      </c>
      <c r="M32" s="157" t="n">
        <f aca="false">IF($I32&lt;=0,1,$J32/$I32)</f>
        <v>1</v>
      </c>
      <c r="N32" s="157" t="n">
        <f aca="false">IF($K32&lt;=0,1,$J32/$K32)</f>
        <v>1</v>
      </c>
      <c r="O32" s="103" t="s">
        <v>1521</v>
      </c>
      <c r="P32" s="52" t="str">
        <f aca="false">IF(AND($M32&gt;=0.95,$N32&gt;=0.95),"Green",IF(OR($M32&lt;0.85,$N32&lt;0.85),"Red","Amber"))</f>
        <v>Green</v>
      </c>
      <c r="Q32" s="49" t="n">
        <f aca="false">MAX(0,$E32-$D32)</f>
        <v>0</v>
      </c>
      <c r="R32" s="5"/>
      <c r="S32" s="5"/>
      <c r="T32" s="5"/>
    </row>
    <row r="33" customFormat="false" ht="13.5" hidden="false" customHeight="true" outlineLevel="0" collapsed="false">
      <c r="A33" s="42" t="s">
        <v>506</v>
      </c>
      <c r="B33" s="30" t="s">
        <v>530</v>
      </c>
      <c r="C33" s="30" t="s">
        <v>508</v>
      </c>
      <c r="D33" s="169" t="n">
        <v>46599</v>
      </c>
      <c r="E33" s="169" t="n">
        <v>46599</v>
      </c>
      <c r="F33" s="92" t="n">
        <v>11239965</v>
      </c>
      <c r="G33" s="184" t="n">
        <v>0</v>
      </c>
      <c r="H33" s="184" t="n">
        <v>0</v>
      </c>
      <c r="I33" s="31" t="n">
        <f aca="false">$F33*$G33</f>
        <v>0</v>
      </c>
      <c r="J33" s="31" t="n">
        <f aca="false">$F33*$H33</f>
        <v>0</v>
      </c>
      <c r="K33" s="92" t="n">
        <v>0</v>
      </c>
      <c r="L33" s="92" t="n">
        <v>2023194</v>
      </c>
      <c r="M33" s="152" t="n">
        <f aca="false">IF($I33&lt;=0,1,$J33/$I33)</f>
        <v>1</v>
      </c>
      <c r="N33" s="152" t="n">
        <f aca="false">IF($K33&lt;=0,1,$J33/$K33)</f>
        <v>1</v>
      </c>
      <c r="O33" s="93" t="s">
        <v>1521</v>
      </c>
      <c r="P33" s="46" t="str">
        <f aca="false">IF(AND($M33&gt;=0.95,$N33&gt;=0.95),"Green",IF(OR($M33&lt;0.85,$N33&lt;0.85),"Red","Amber"))</f>
        <v>Green</v>
      </c>
      <c r="Q33" s="31" t="n">
        <f aca="false">MAX(0,$E33-$D33)</f>
        <v>0</v>
      </c>
      <c r="R33" s="5"/>
      <c r="S33" s="5"/>
      <c r="T33" s="5"/>
    </row>
    <row r="34" customFormat="false" ht="13.5" hidden="false" customHeight="true" outlineLevel="0" collapsed="false">
      <c r="A34" s="47" t="s">
        <v>511</v>
      </c>
      <c r="B34" s="37" t="s">
        <v>512</v>
      </c>
      <c r="C34" s="37" t="s">
        <v>513</v>
      </c>
      <c r="D34" s="96" t="n">
        <v>46630</v>
      </c>
      <c r="E34" s="96" t="n">
        <v>46630</v>
      </c>
      <c r="F34" s="99" t="n">
        <v>6244425</v>
      </c>
      <c r="G34" s="102" t="n">
        <v>0</v>
      </c>
      <c r="H34" s="102" t="n">
        <v>0</v>
      </c>
      <c r="I34" s="49" t="n">
        <f aca="false">$F34*$G34</f>
        <v>0</v>
      </c>
      <c r="J34" s="49" t="n">
        <f aca="false">$F34*$H34</f>
        <v>0</v>
      </c>
      <c r="K34" s="99" t="n">
        <v>0</v>
      </c>
      <c r="L34" s="99" t="n">
        <v>312221</v>
      </c>
      <c r="M34" s="157" t="n">
        <f aca="false">IF($I34&lt;=0,1,$J34/$I34)</f>
        <v>1</v>
      </c>
      <c r="N34" s="157" t="n">
        <f aca="false">IF($K34&lt;=0,1,$J34/$K34)</f>
        <v>1</v>
      </c>
      <c r="O34" s="103" t="s">
        <v>1521</v>
      </c>
      <c r="P34" s="52" t="str">
        <f aca="false">IF(AND($M34&gt;=0.95,$N34&gt;=0.95),"Green",IF(OR($M34&lt;0.85,$N34&lt;0.85),"Red","Amber"))</f>
        <v>Green</v>
      </c>
      <c r="Q34" s="49" t="n">
        <f aca="false">MAX(0,$E34-$D34)</f>
        <v>0</v>
      </c>
      <c r="R34" s="5"/>
      <c r="S34" s="5"/>
      <c r="T34" s="5"/>
    </row>
    <row r="35" customFormat="false" ht="13.5" hidden="false" customHeight="true" outlineLevel="0" collapsed="false">
      <c r="A35" s="42" t="s">
        <v>516</v>
      </c>
      <c r="B35" s="30" t="s">
        <v>517</v>
      </c>
      <c r="C35" s="30" t="s">
        <v>518</v>
      </c>
      <c r="D35" s="169" t="n">
        <v>46599</v>
      </c>
      <c r="E35" s="169" t="n">
        <v>46630</v>
      </c>
      <c r="F35" s="158" t="n">
        <f aca="false">$T$8</f>
        <v>474098</v>
      </c>
      <c r="G35" s="184" t="n">
        <v>0.1406</v>
      </c>
      <c r="H35" s="184" t="n">
        <v>0.138</v>
      </c>
      <c r="I35" s="31" t="n">
        <f aca="false">$F35*$G35</f>
        <v>66658.1788</v>
      </c>
      <c r="J35" s="31" t="n">
        <f aca="false">$F35*$H35</f>
        <v>65425.524</v>
      </c>
      <c r="K35" s="92" t="n">
        <v>69741</v>
      </c>
      <c r="L35" s="92" t="n">
        <v>260754</v>
      </c>
      <c r="M35" s="152" t="n">
        <f aca="false">IF($I35&lt;=0,1,$J35/$I35)</f>
        <v>0.981507823613087</v>
      </c>
      <c r="N35" s="152" t="n">
        <f aca="false">IF($K35&lt;=0,1,$J35/$K35)</f>
        <v>0.938121392007571</v>
      </c>
      <c r="O35" s="93" t="s">
        <v>1520</v>
      </c>
      <c r="P35" s="46" t="str">
        <f aca="false">IF(AND($M35&gt;=0.95,$N35&gt;=0.95),"Green",IF(OR($M35&lt;0.85,$N35&lt;0.85),"Red","Amber"))</f>
        <v>Amber</v>
      </c>
      <c r="Q35" s="31" t="n">
        <f aca="false">MAX(0,$E35-$D35)</f>
        <v>31</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83733098</v>
      </c>
      <c r="G41" s="104" t="n">
        <f aca="false">IF($F41=0,0,$I41/$F41)</f>
        <v>0.140601491506979</v>
      </c>
      <c r="H41" s="104" t="n">
        <f aca="false">IF($F41=0,0,$J41/$F41)</f>
        <v>0.13794928876273</v>
      </c>
      <c r="I41" s="28" t="n">
        <f aca="false">SUM($I$27:$I$35)</f>
        <v>11772998.4673</v>
      </c>
      <c r="J41" s="28" t="n">
        <f aca="false">SUM($J$27:$J$35)</f>
        <v>11550921.315</v>
      </c>
      <c r="K41" s="28" t="n">
        <f aca="false">SUM($K$27:$K$35)</f>
        <v>12070916</v>
      </c>
      <c r="L41" s="28" t="n">
        <f aca="false">SUM($L$27:$L$35)</f>
        <v>39205150</v>
      </c>
      <c r="M41" s="29" t="n">
        <f aca="false">IF($I41&lt;=0,1,$J41/$I41)</f>
        <v>0.981136738196575</v>
      </c>
      <c r="N41" s="29" t="n">
        <f aca="false">IF($K41&lt;=0,1,$J41/$K41)</f>
        <v>0.956921688047535</v>
      </c>
      <c r="O41" s="105"/>
      <c r="P41" s="234" t="n">
        <f aca="false">$I41</f>
        <v>11772998.4673</v>
      </c>
      <c r="Q41" s="234" t="n">
        <f aca="false">$J41</f>
        <v>11550921.315</v>
      </c>
      <c r="R41" s="147" t="n">
        <f aca="false">$K41</f>
        <v>12070916</v>
      </c>
      <c r="S41" s="147" t="n">
        <f aca="false">$L41</f>
        <v>39205150</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5828130</v>
      </c>
      <c r="F47" s="92" t="n">
        <v>0</v>
      </c>
      <c r="G47" s="92" t="n">
        <v>1174283</v>
      </c>
      <c r="H47" s="92" t="n">
        <v>2920830</v>
      </c>
      <c r="I47" s="31" t="n">
        <f aca="false">($E47+$F47)*1.012</f>
        <v>5898067.56</v>
      </c>
      <c r="J47" s="87" t="n">
        <f aca="false">IF(($E47+$F47)=0,0,(($E47+$F47)-$I47)/($E47+$F47))</f>
        <v>-0.0120000000000001</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5162058</v>
      </c>
      <c r="F48" s="99" t="n">
        <v>0</v>
      </c>
      <c r="G48" s="99" t="n">
        <v>998141</v>
      </c>
      <c r="H48" s="99" t="n">
        <v>2336664</v>
      </c>
      <c r="I48" s="49" t="n">
        <f aca="false">($E48+$F48)*1.012</f>
        <v>5224002.696</v>
      </c>
      <c r="J48" s="100" t="n">
        <f aca="false">IF(($E48+$F48)=0,0,(($E48+$F48)-$I48)/($E48+$F48))</f>
        <v>-0.0120000000000001</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4162950</v>
      </c>
      <c r="F49" s="92" t="n">
        <v>0</v>
      </c>
      <c r="G49" s="92" t="n">
        <v>258342</v>
      </c>
      <c r="H49" s="92" t="n">
        <v>1752498</v>
      </c>
      <c r="I49" s="31" t="n">
        <f aca="false">($E49+$F49)*1.012</f>
        <v>4212905.4</v>
      </c>
      <c r="J49" s="87" t="n">
        <f aca="false">IF(($E49+$F49)=0,0,(($E49+$F49)-$I49)/($E49+$F49))</f>
        <v>-0.0120000000000001</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6244425</v>
      </c>
      <c r="F50" s="99" t="n">
        <v>0</v>
      </c>
      <c r="G50" s="99" t="n">
        <v>728056</v>
      </c>
      <c r="H50" s="99" t="n">
        <v>2141942</v>
      </c>
      <c r="I50" s="49" t="n">
        <f aca="false">($E50+$F50)*1.012</f>
        <v>6319358.1</v>
      </c>
      <c r="J50" s="100" t="n">
        <f aca="false">IF(($E50+$F50)=0,0,(($E50+$F50)-$I50)/($E50+$F50))</f>
        <v>-0.0119999999999999</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34968780</v>
      </c>
      <c r="F51" s="92" t="n">
        <v>0</v>
      </c>
      <c r="G51" s="92" t="n">
        <v>6106273</v>
      </c>
      <c r="H51" s="92" t="n">
        <v>18303865</v>
      </c>
      <c r="I51" s="31" t="n">
        <f aca="false">($E51+$F51)*1.012</f>
        <v>35388405.36</v>
      </c>
      <c r="J51" s="87" t="n">
        <f aca="false">IF(($E51+$F51)=0,0,(($E51+$F51)-$I51)/($E51+$F51))</f>
        <v>-0.012</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16651800</v>
      </c>
      <c r="F52" s="99" t="n">
        <v>0</v>
      </c>
      <c r="G52" s="99" t="n">
        <v>1761425</v>
      </c>
      <c r="H52" s="99" t="n">
        <v>8373045</v>
      </c>
      <c r="I52" s="49" t="n">
        <f aca="false">($E52+$F52)*1.012</f>
        <v>16851621.6</v>
      </c>
      <c r="J52" s="100" t="n">
        <f aca="false">IF(($E52+$F52)=0,0,(($E52+$F52)-$I52)/($E52+$F52))</f>
        <v>-0.0120000000000001</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3746655</v>
      </c>
      <c r="F53" s="92" t="n">
        <v>0</v>
      </c>
      <c r="G53" s="92" t="n">
        <v>446228</v>
      </c>
      <c r="H53" s="92" t="n">
        <v>1557776</v>
      </c>
      <c r="I53" s="31" t="n">
        <f aca="false">($E53+$F53)*1.012</f>
        <v>3791614.86</v>
      </c>
      <c r="J53" s="87" t="n">
        <f aca="false">IF(($E53+$F53)=0,0,(($E53+$F53)-$I53)/($E53+$F53))</f>
        <v>-0.012</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1831698</v>
      </c>
      <c r="F54" s="99" t="n">
        <v>0</v>
      </c>
      <c r="G54" s="99" t="n">
        <v>258342</v>
      </c>
      <c r="H54" s="99" t="n">
        <v>778888</v>
      </c>
      <c r="I54" s="49" t="n">
        <f aca="false">($E54+$F54)*1.012</f>
        <v>1853678.376</v>
      </c>
      <c r="J54" s="100" t="n">
        <f aca="false">IF(($E54+$F54)=0,0,(($E54+$F54)-$I54)/($E54+$F54))</f>
        <v>-0.012</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2164734</v>
      </c>
      <c r="F55" s="92" t="n">
        <v>0</v>
      </c>
      <c r="G55" s="92" t="n">
        <v>270085</v>
      </c>
      <c r="H55" s="92" t="n">
        <v>778888</v>
      </c>
      <c r="I55" s="31" t="n">
        <f aca="false">($E55+$F55)*1.012</f>
        <v>2190710.808</v>
      </c>
      <c r="J55" s="87" t="n">
        <f aca="false">IF(($E55+$F55)=0,0,(($E55+$F55)-$I55)/($E55+$F55))</f>
        <v>-0.0120000000000001</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2497770</v>
      </c>
      <c r="F56" s="99" t="n">
        <v>0</v>
      </c>
      <c r="G56" s="99" t="n">
        <v>0</v>
      </c>
      <c r="H56" s="99" t="n">
        <v>0</v>
      </c>
      <c r="I56" s="49" t="n">
        <f aca="false">($E56+$F56)*1.012</f>
        <v>2527743.24</v>
      </c>
      <c r="J56" s="100" t="n">
        <f aca="false">IF(($E56+$F56)=0,0,(($E56+$F56)-$I56)/($E56+$F56))</f>
        <v>-0.0120000000000001</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474098</v>
      </c>
      <c r="G57" s="92" t="n">
        <v>69741</v>
      </c>
      <c r="H57" s="92" t="n">
        <v>260754</v>
      </c>
      <c r="I57" s="31" t="n">
        <f aca="false">($E57+$F57)*1.012</f>
        <v>479787.176</v>
      </c>
      <c r="J57" s="87" t="n">
        <f aca="false">IF(($E57+$F57)=0,0,(($E57+$F57)-$I57)/($E57+$F57))</f>
        <v>-0.012</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83259000</v>
      </c>
      <c r="F58" s="28" t="n">
        <f aca="false">SUM($F$47:$F$57)</f>
        <v>474098</v>
      </c>
      <c r="G58" s="28" t="n">
        <f aca="false">SUM($G$47:$G$57)</f>
        <v>12070916</v>
      </c>
      <c r="H58" s="28" t="n">
        <f aca="false">SUM($H$47:$H$57)</f>
        <v>39205150</v>
      </c>
      <c r="I58" s="28" t="n">
        <f aca="false">SUM($I$47:$I$57)</f>
        <v>84737895.176</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722</v>
      </c>
      <c r="B63" s="30" t="s">
        <v>785</v>
      </c>
      <c r="C63" s="30"/>
      <c r="D63" s="30"/>
      <c r="E63" s="45" t="s">
        <v>779</v>
      </c>
      <c r="F63" s="92" t="n">
        <v>842160</v>
      </c>
      <c r="G63" s="92" t="n">
        <v>741101</v>
      </c>
      <c r="H63" s="92" t="n">
        <v>0</v>
      </c>
      <c r="I63" s="93" t="s">
        <v>1536</v>
      </c>
      <c r="J63" s="45" t="s">
        <v>720</v>
      </c>
      <c r="K63" s="5"/>
      <c r="L63" s="5"/>
      <c r="M63" s="5"/>
      <c r="N63" s="5"/>
      <c r="O63" s="5"/>
      <c r="P63" s="5"/>
      <c r="Q63" s="5"/>
      <c r="R63" s="5"/>
      <c r="S63" s="5"/>
      <c r="T63" s="5"/>
    </row>
    <row r="64" customFormat="false" ht="13.5" hidden="false" customHeight="true" outlineLevel="0" collapsed="false">
      <c r="A64" s="47" t="s">
        <v>725</v>
      </c>
      <c r="B64" s="37" t="s">
        <v>786</v>
      </c>
      <c r="C64" s="37"/>
      <c r="D64" s="37"/>
      <c r="E64" s="51" t="s">
        <v>787</v>
      </c>
      <c r="F64" s="99" t="n">
        <v>-296670</v>
      </c>
      <c r="G64" s="99" t="n">
        <v>-267003</v>
      </c>
      <c r="H64" s="99" t="n">
        <v>0</v>
      </c>
      <c r="I64" s="103" t="s">
        <v>1536</v>
      </c>
      <c r="J64" s="51" t="s">
        <v>723</v>
      </c>
      <c r="K64" s="5"/>
      <c r="L64" s="5"/>
      <c r="M64" s="5"/>
      <c r="N64" s="5"/>
      <c r="O64" s="5"/>
      <c r="P64" s="5"/>
      <c r="Q64" s="5"/>
      <c r="R64" s="5"/>
      <c r="S64" s="5"/>
      <c r="T64" s="5"/>
    </row>
    <row r="65" customFormat="false" ht="13.5" hidden="false" customHeight="true" outlineLevel="0" collapsed="false">
      <c r="A65" s="42" t="s">
        <v>728</v>
      </c>
      <c r="B65" s="30" t="s">
        <v>788</v>
      </c>
      <c r="C65" s="30"/>
      <c r="D65" s="30"/>
      <c r="E65" s="45" t="s">
        <v>787</v>
      </c>
      <c r="F65" s="92" t="n">
        <v>1358940</v>
      </c>
      <c r="G65" s="92" t="n">
        <v>1127920</v>
      </c>
      <c r="H65" s="92" t="n">
        <v>0</v>
      </c>
      <c r="I65" s="93" t="s">
        <v>1576</v>
      </c>
      <c r="J65" s="45" t="s">
        <v>726</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720</v>
      </c>
      <c r="B68" s="30" t="s">
        <v>668</v>
      </c>
      <c r="C68" s="30"/>
      <c r="D68" s="30"/>
      <c r="E68" s="45" t="s">
        <v>95</v>
      </c>
      <c r="F68" s="92" t="n">
        <v>741101</v>
      </c>
      <c r="G68" s="92" t="n">
        <v>0</v>
      </c>
      <c r="H68" s="93" t="s">
        <v>1539</v>
      </c>
      <c r="I68" s="45" t="s">
        <v>722</v>
      </c>
      <c r="J68" s="5"/>
      <c r="K68" s="5"/>
      <c r="L68" s="5"/>
      <c r="M68" s="5"/>
      <c r="N68" s="5"/>
      <c r="O68" s="5"/>
      <c r="P68" s="5"/>
      <c r="Q68" s="5"/>
      <c r="R68" s="5"/>
      <c r="S68" s="5"/>
      <c r="T68" s="5"/>
    </row>
    <row r="69" customFormat="false" ht="13.5" hidden="false" customHeight="true" outlineLevel="0" collapsed="false">
      <c r="A69" s="47" t="s">
        <v>723</v>
      </c>
      <c r="B69" s="37" t="s">
        <v>675</v>
      </c>
      <c r="C69" s="37"/>
      <c r="D69" s="37"/>
      <c r="E69" s="51" t="s">
        <v>674</v>
      </c>
      <c r="F69" s="99" t="n">
        <v>-267003</v>
      </c>
      <c r="G69" s="99" t="n">
        <v>0</v>
      </c>
      <c r="H69" s="103" t="s">
        <v>1539</v>
      </c>
      <c r="I69" s="51" t="s">
        <v>725</v>
      </c>
      <c r="J69" s="5"/>
      <c r="K69" s="5"/>
      <c r="L69" s="5"/>
      <c r="M69" s="5"/>
      <c r="N69" s="5"/>
      <c r="O69" s="5"/>
      <c r="P69" s="5"/>
      <c r="Q69" s="5"/>
      <c r="R69" s="5"/>
      <c r="S69" s="5"/>
      <c r="T69" s="5"/>
    </row>
    <row r="70" customFormat="false" ht="13.5" hidden="false" customHeight="true" outlineLevel="0" collapsed="false">
      <c r="A70" s="42" t="s">
        <v>726</v>
      </c>
      <c r="B70" s="30" t="s">
        <v>681</v>
      </c>
      <c r="C70" s="30"/>
      <c r="D70" s="30"/>
      <c r="E70" s="45" t="s">
        <v>356</v>
      </c>
      <c r="F70" s="92" t="n">
        <v>1127920</v>
      </c>
      <c r="G70" s="92" t="n">
        <v>0</v>
      </c>
      <c r="H70" s="93" t="s">
        <v>1023</v>
      </c>
      <c r="I70" s="45" t="s">
        <v>728</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848</v>
      </c>
      <c r="B75" s="30" t="s">
        <v>823</v>
      </c>
      <c r="C75" s="30"/>
      <c r="D75" s="30"/>
      <c r="E75" s="30" t="s">
        <v>824</v>
      </c>
      <c r="F75" s="92" t="n">
        <v>13876500</v>
      </c>
      <c r="G75" s="92" t="n">
        <v>13876500</v>
      </c>
      <c r="H75" s="169" t="n">
        <v>46207</v>
      </c>
      <c r="I75" s="169"/>
      <c r="J75" s="184" t="n">
        <v>0.049</v>
      </c>
      <c r="K75" s="93" t="s">
        <v>1520</v>
      </c>
      <c r="L75" s="5"/>
      <c r="M75" s="5"/>
      <c r="N75" s="5"/>
      <c r="O75" s="5"/>
      <c r="P75" s="5"/>
      <c r="Q75" s="5"/>
      <c r="R75" s="5"/>
      <c r="S75" s="5"/>
      <c r="T75" s="5"/>
    </row>
    <row r="76" customFormat="false" ht="13.5" hidden="false" customHeight="true" outlineLevel="0" collapsed="false">
      <c r="A76" s="47" t="s">
        <v>849</v>
      </c>
      <c r="B76" s="37" t="s">
        <v>826</v>
      </c>
      <c r="C76" s="37"/>
      <c r="D76" s="37"/>
      <c r="E76" s="37" t="s">
        <v>824</v>
      </c>
      <c r="F76" s="99" t="n">
        <v>8134500</v>
      </c>
      <c r="G76" s="99" t="n">
        <v>8134500</v>
      </c>
      <c r="H76" s="96" t="n">
        <v>46231</v>
      </c>
      <c r="I76" s="96"/>
      <c r="J76" s="102" t="n">
        <v>0.049</v>
      </c>
      <c r="K76" s="103" t="s">
        <v>1520</v>
      </c>
      <c r="L76" s="5"/>
      <c r="M76" s="5"/>
      <c r="N76" s="5"/>
      <c r="O76" s="5"/>
      <c r="P76" s="5"/>
      <c r="Q76" s="5"/>
      <c r="R76" s="5"/>
      <c r="S76" s="5"/>
      <c r="T76" s="5"/>
    </row>
    <row r="77" customFormat="false" ht="13.5" hidden="false" customHeight="true" outlineLevel="0" collapsed="false">
      <c r="A77" s="42" t="s">
        <v>850</v>
      </c>
      <c r="B77" s="30" t="s">
        <v>828</v>
      </c>
      <c r="C77" s="30"/>
      <c r="D77" s="30"/>
      <c r="E77" s="30" t="s">
        <v>824</v>
      </c>
      <c r="F77" s="92" t="n">
        <v>4976400</v>
      </c>
      <c r="G77" s="92" t="n">
        <v>4976400</v>
      </c>
      <c r="H77" s="169" t="n">
        <v>46284</v>
      </c>
      <c r="I77" s="169" t="n">
        <v>46501</v>
      </c>
      <c r="J77" s="184" t="n">
        <v>0.049</v>
      </c>
      <c r="K77" s="93" t="s">
        <v>1520</v>
      </c>
      <c r="L77" s="5"/>
      <c r="M77" s="5"/>
      <c r="N77" s="5"/>
      <c r="O77" s="5"/>
      <c r="P77" s="5"/>
      <c r="Q77" s="5"/>
      <c r="R77" s="5"/>
      <c r="S77" s="5"/>
      <c r="T77" s="5"/>
    </row>
    <row r="78" customFormat="false" ht="13.5" hidden="false" customHeight="true" outlineLevel="0" collapsed="false">
      <c r="A78" s="47" t="s">
        <v>851</v>
      </c>
      <c r="B78" s="37" t="s">
        <v>831</v>
      </c>
      <c r="C78" s="37"/>
      <c r="D78" s="37"/>
      <c r="E78" s="37" t="s">
        <v>824</v>
      </c>
      <c r="F78" s="99" t="n">
        <v>6699000</v>
      </c>
      <c r="G78" s="99" t="n">
        <v>6699000</v>
      </c>
      <c r="H78" s="96" t="n">
        <v>46295</v>
      </c>
      <c r="I78" s="96"/>
      <c r="J78" s="102" t="n">
        <v>0.049</v>
      </c>
      <c r="K78" s="103" t="s">
        <v>1520</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2</v>
      </c>
      <c r="F83" s="92" t="n">
        <v>2</v>
      </c>
      <c r="G83" s="87" t="n">
        <f aca="false">IF($E83=0,1,$F83/$E83)</f>
        <v>1</v>
      </c>
      <c r="H83" s="92" t="n">
        <v>1190</v>
      </c>
      <c r="I83" s="92" t="n">
        <v>1144</v>
      </c>
      <c r="J83" s="87" t="n">
        <f aca="false">IF($H83=0,0,$I83/$H83)</f>
        <v>0.961344537815126</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1</v>
      </c>
      <c r="G84" s="100" t="n">
        <f aca="false">IF($E84=0,1,$F84/$E84)</f>
        <v>1</v>
      </c>
      <c r="H84" s="99" t="n">
        <v>555</v>
      </c>
      <c r="I84" s="99" t="n">
        <v>534</v>
      </c>
      <c r="J84" s="100" t="n">
        <f aca="false">IF($H84=0,0,$I84/$H84)</f>
        <v>0.962162162162162</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2</v>
      </c>
      <c r="F85" s="92" t="n">
        <v>2</v>
      </c>
      <c r="G85" s="87" t="n">
        <f aca="false">IF($E85=0,1,$F85/$E85)</f>
        <v>1</v>
      </c>
      <c r="H85" s="92" t="n">
        <v>1648</v>
      </c>
      <c r="I85" s="92" t="n">
        <v>1498</v>
      </c>
      <c r="J85" s="87" t="n">
        <f aca="false">IF($H85=0,0,$I85/$H85)</f>
        <v>0.908980582524272</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7</v>
      </c>
      <c r="F86" s="99" t="n">
        <v>7</v>
      </c>
      <c r="G86" s="100" t="n">
        <f aca="false">IF($E86=0,1,$F86/$E86)</f>
        <v>1</v>
      </c>
      <c r="H86" s="99" t="n">
        <v>5563</v>
      </c>
      <c r="I86" s="99" t="n">
        <v>5057</v>
      </c>
      <c r="J86" s="100" t="n">
        <f aca="false">IF($H86=0,0,$I86/$H86)</f>
        <v>0.909041883875607</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28</v>
      </c>
      <c r="F87" s="92" t="n">
        <v>28</v>
      </c>
      <c r="G87" s="87" t="n">
        <f aca="false">IF($E87=0,1,$F87/$E87)</f>
        <v>1</v>
      </c>
      <c r="H87" s="92" t="n">
        <v>21806</v>
      </c>
      <c r="I87" s="92" t="n">
        <v>19824</v>
      </c>
      <c r="J87" s="87" t="n">
        <f aca="false">IF($H87=0,0,$I87/$H87)</f>
        <v>0.90910758506833</v>
      </c>
      <c r="K87" s="46" t="str">
        <f aca="false">IF(AND($G87&gt;=0.95,$J87&gt;=0.85),"Green",IF(OR($G87&lt;0.8,$J87&lt;0.7),"Red","Amber"))</f>
        <v>Green</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13</v>
      </c>
      <c r="F88" s="99" t="n">
        <v>13</v>
      </c>
      <c r="G88" s="100" t="n">
        <f aca="false">IF($E88=0,1,$F88/$E88)</f>
        <v>1</v>
      </c>
      <c r="H88" s="99" t="n">
        <v>10342</v>
      </c>
      <c r="I88" s="99" t="n">
        <v>9402</v>
      </c>
      <c r="J88" s="100" t="n">
        <f aca="false">IF($H88=0,0,$I88/$H88)</f>
        <v>0.909108489653839</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241</v>
      </c>
      <c r="E91" s="163"/>
      <c r="F91" s="163"/>
      <c r="G91" s="53" t="s">
        <v>1554</v>
      </c>
      <c r="H91" s="53"/>
      <c r="I91" s="53"/>
      <c r="J91" s="163" t="n">
        <v>161</v>
      </c>
      <c r="K91" s="163"/>
      <c r="L91" s="163"/>
      <c r="M91" s="53" t="s">
        <v>1555</v>
      </c>
      <c r="N91" s="53"/>
      <c r="O91" s="53"/>
      <c r="P91" s="163" t="n">
        <v>27</v>
      </c>
      <c r="Q91" s="163"/>
      <c r="R91" s="163"/>
      <c r="S91" s="5"/>
      <c r="T91" s="5"/>
    </row>
    <row r="92" customFormat="false" ht="15.75" hidden="false" customHeight="true" outlineLevel="0" collapsed="false">
      <c r="A92" s="53" t="s">
        <v>1556</v>
      </c>
      <c r="B92" s="53"/>
      <c r="C92" s="53"/>
      <c r="D92" s="163" t="n">
        <v>67</v>
      </c>
      <c r="E92" s="163"/>
      <c r="F92" s="163"/>
      <c r="G92" s="53" t="s">
        <v>1557</v>
      </c>
      <c r="H92" s="53"/>
      <c r="I92" s="53"/>
      <c r="J92" s="163" t="n">
        <v>52</v>
      </c>
      <c r="K92" s="163"/>
      <c r="L92" s="163"/>
      <c r="M92" s="53" t="s">
        <v>1558</v>
      </c>
      <c r="N92" s="53"/>
      <c r="O92" s="53"/>
      <c r="P92" s="121" t="n">
        <f aca="false">IF(($D$91+$D$92)=0,0,($J$91+$J$92)/($D$91+$D$92))</f>
        <v>0.691558441558442</v>
      </c>
      <c r="Q92" s="121"/>
      <c r="R92" s="121"/>
      <c r="S92" s="5"/>
      <c r="T92" s="5"/>
    </row>
    <row r="93" customFormat="false" ht="15.75" hidden="false" customHeight="true" outlineLevel="0" collapsed="false">
      <c r="A93" s="53" t="s">
        <v>1559</v>
      </c>
      <c r="B93" s="53"/>
      <c r="C93" s="53"/>
      <c r="D93" s="163" t="n">
        <v>41104</v>
      </c>
      <c r="E93" s="163"/>
      <c r="F93" s="163"/>
      <c r="G93" s="53" t="s">
        <v>1560</v>
      </c>
      <c r="H93" s="53"/>
      <c r="I93" s="53"/>
      <c r="J93" s="163" t="n">
        <v>0</v>
      </c>
      <c r="K93" s="163"/>
      <c r="L93" s="163"/>
      <c r="M93" s="53" t="s">
        <v>1561</v>
      </c>
      <c r="N93" s="53"/>
      <c r="O93" s="53"/>
      <c r="P93" s="233" t="n">
        <v>0.88</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77</v>
      </c>
      <c r="K94" s="163"/>
      <c r="L94" s="163"/>
      <c r="M94" s="53" t="s">
        <v>1564</v>
      </c>
      <c r="N94" s="53"/>
      <c r="O94" s="53"/>
      <c r="P94" s="163" t="n">
        <v>64</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1041</v>
      </c>
      <c r="B97" s="30" t="s">
        <v>1014</v>
      </c>
      <c r="C97" s="30"/>
      <c r="D97" s="30"/>
      <c r="E97" s="93" t="s">
        <v>1015</v>
      </c>
      <c r="F97" s="30" t="s">
        <v>1016</v>
      </c>
      <c r="G97" s="92" t="n">
        <v>131814</v>
      </c>
      <c r="H97" s="93" t="s">
        <v>1017</v>
      </c>
      <c r="I97" s="5"/>
      <c r="J97" s="5"/>
      <c r="K97" s="5"/>
      <c r="L97" s="5"/>
      <c r="M97" s="5"/>
      <c r="N97" s="5"/>
      <c r="O97" s="5"/>
      <c r="P97" s="5"/>
      <c r="Q97" s="5"/>
      <c r="R97" s="5"/>
      <c r="S97" s="5"/>
      <c r="T97" s="5"/>
    </row>
    <row r="98" customFormat="false" ht="13.5" hidden="false" customHeight="true" outlineLevel="0" collapsed="false">
      <c r="A98" s="47" t="s">
        <v>1042</v>
      </c>
      <c r="B98" s="37" t="s">
        <v>1020</v>
      </c>
      <c r="C98" s="37"/>
      <c r="D98" s="37"/>
      <c r="E98" s="103" t="s">
        <v>1021</v>
      </c>
      <c r="F98" s="37" t="s">
        <v>1022</v>
      </c>
      <c r="G98" s="99" t="n">
        <v>32954</v>
      </c>
      <c r="H98" s="103" t="s">
        <v>1023</v>
      </c>
      <c r="I98" s="5"/>
      <c r="J98" s="5"/>
      <c r="K98" s="5"/>
      <c r="L98" s="5"/>
      <c r="M98" s="5"/>
      <c r="N98" s="5"/>
      <c r="O98" s="5"/>
      <c r="P98" s="5"/>
      <c r="Q98" s="5"/>
      <c r="R98" s="5"/>
      <c r="S98" s="5"/>
      <c r="T98" s="5"/>
    </row>
    <row r="99" customFormat="false" ht="13.5" hidden="false" customHeight="true" outlineLevel="0" collapsed="false">
      <c r="A99" s="42" t="s">
        <v>1043</v>
      </c>
      <c r="B99" s="30" t="s">
        <v>1026</v>
      </c>
      <c r="C99" s="30"/>
      <c r="D99" s="30"/>
      <c r="E99" s="93" t="s">
        <v>1015</v>
      </c>
      <c r="F99" s="30" t="s">
        <v>1027</v>
      </c>
      <c r="G99" s="92" t="n">
        <v>88721</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721</v>
      </c>
      <c r="B104" s="30" t="s">
        <v>1143</v>
      </c>
      <c r="C104" s="30"/>
      <c r="D104" s="30"/>
      <c r="E104" s="84" t="n">
        <v>3</v>
      </c>
      <c r="F104" s="84" t="n">
        <v>4</v>
      </c>
      <c r="G104" s="43" t="n">
        <f aca="false">$E104*$F104</f>
        <v>12</v>
      </c>
      <c r="H104" s="92" t="n">
        <v>3181858</v>
      </c>
      <c r="I104" s="31" t="n">
        <f aca="false">(($E104*2-1)/10)*$H104</f>
        <v>1590929</v>
      </c>
      <c r="J104" s="93" t="s">
        <v>1145</v>
      </c>
      <c r="K104" s="30" t="s">
        <v>1147</v>
      </c>
      <c r="L104" s="93" t="s">
        <v>1023</v>
      </c>
      <c r="M104" s="5"/>
      <c r="N104" s="5"/>
      <c r="O104" s="5"/>
      <c r="P104" s="5"/>
      <c r="Q104" s="5"/>
      <c r="R104" s="5"/>
      <c r="S104" s="5"/>
      <c r="T104" s="5"/>
    </row>
    <row r="105" customFormat="false" ht="13.5" hidden="false" customHeight="true" outlineLevel="0" collapsed="false">
      <c r="A105" s="47" t="s">
        <v>724</v>
      </c>
      <c r="B105" s="37" t="s">
        <v>1149</v>
      </c>
      <c r="C105" s="37"/>
      <c r="D105" s="37"/>
      <c r="E105" s="97" t="n">
        <v>3</v>
      </c>
      <c r="F105" s="97" t="n">
        <v>4</v>
      </c>
      <c r="G105" s="48" t="n">
        <f aca="false">$E105*$F105</f>
        <v>12</v>
      </c>
      <c r="H105" s="99" t="n">
        <v>2595726</v>
      </c>
      <c r="I105" s="49" t="n">
        <f aca="false">(($E105*2-1)/10)*$H105</f>
        <v>1297863</v>
      </c>
      <c r="J105" s="103" t="s">
        <v>1145</v>
      </c>
      <c r="K105" s="37" t="s">
        <v>1152</v>
      </c>
      <c r="L105" s="103" t="s">
        <v>1023</v>
      </c>
      <c r="M105" s="5"/>
      <c r="N105" s="5"/>
      <c r="O105" s="5"/>
      <c r="P105" s="5"/>
      <c r="Q105" s="5"/>
      <c r="R105" s="5"/>
      <c r="S105" s="5"/>
      <c r="T105" s="5"/>
    </row>
    <row r="106" customFormat="false" ht="13.5" hidden="false" customHeight="true" outlineLevel="0" collapsed="false">
      <c r="A106" s="42" t="s">
        <v>727</v>
      </c>
      <c r="B106" s="30" t="s">
        <v>1153</v>
      </c>
      <c r="C106" s="30"/>
      <c r="D106" s="30"/>
      <c r="E106" s="84" t="n">
        <v>2</v>
      </c>
      <c r="F106" s="84" t="n">
        <v>4</v>
      </c>
      <c r="G106" s="43" t="n">
        <f aca="false">$E106*$F106</f>
        <v>8</v>
      </c>
      <c r="H106" s="92" t="n">
        <v>1842128</v>
      </c>
      <c r="I106" s="31" t="n">
        <f aca="false">(($E106*2-1)/10)*$H106</f>
        <v>552638.4</v>
      </c>
      <c r="J106" s="93" t="s">
        <v>1145</v>
      </c>
      <c r="K106" s="30" t="s">
        <v>667</v>
      </c>
      <c r="L106" s="93" t="s">
        <v>1023</v>
      </c>
      <c r="M106" s="5"/>
      <c r="N106" s="5"/>
      <c r="O106" s="5"/>
      <c r="P106" s="5"/>
      <c r="Q106" s="5"/>
      <c r="R106" s="5"/>
      <c r="S106" s="5"/>
      <c r="T106" s="5"/>
    </row>
    <row r="107" customFormat="false" ht="13.5" hidden="false" customHeight="true" outlineLevel="0" collapsed="false">
      <c r="A107" s="47" t="s">
        <v>1166</v>
      </c>
      <c r="B107" s="37" t="s">
        <v>1157</v>
      </c>
      <c r="C107" s="37"/>
      <c r="D107" s="37"/>
      <c r="E107" s="97" t="n">
        <v>3</v>
      </c>
      <c r="F107" s="97" t="n">
        <v>3</v>
      </c>
      <c r="G107" s="48" t="n">
        <f aca="false">$E107*$F107</f>
        <v>9</v>
      </c>
      <c r="H107" s="99" t="n">
        <v>2093327</v>
      </c>
      <c r="I107" s="49" t="n">
        <f aca="false">(($E107*2-1)/10)*$H107</f>
        <v>1046663.5</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1222</v>
      </c>
      <c r="B110" s="30" t="s">
        <v>1195</v>
      </c>
      <c r="C110" s="30"/>
      <c r="D110" s="30"/>
      <c r="E110" s="93" t="s">
        <v>1571</v>
      </c>
      <c r="F110" s="92" t="n">
        <v>0</v>
      </c>
      <c r="G110" s="92" t="n">
        <v>34</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1223</v>
      </c>
      <c r="B111" s="37" t="s">
        <v>1199</v>
      </c>
      <c r="C111" s="37"/>
      <c r="D111" s="37"/>
      <c r="E111" s="103" t="s">
        <v>1097</v>
      </c>
      <c r="F111" s="99" t="n">
        <v>0</v>
      </c>
      <c r="G111" s="99" t="n">
        <v>21</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1224</v>
      </c>
      <c r="B112" s="30" t="s">
        <v>1204</v>
      </c>
      <c r="C112" s="30"/>
      <c r="D112" s="30"/>
      <c r="E112" s="93" t="s">
        <v>1570</v>
      </c>
      <c r="F112" s="92" t="n">
        <v>0</v>
      </c>
      <c r="G112" s="92" t="n">
        <v>0</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1225</v>
      </c>
      <c r="B113" s="37" t="s">
        <v>1190</v>
      </c>
      <c r="C113" s="37"/>
      <c r="D113" s="37"/>
      <c r="E113" s="103" t="s">
        <v>1570</v>
      </c>
      <c r="F113" s="99" t="n">
        <v>502399</v>
      </c>
      <c r="G113" s="99" t="n">
        <v>18</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1586</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1587</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303</v>
      </c>
      <c r="E7" s="229"/>
      <c r="F7" s="229"/>
      <c r="G7" s="53" t="s">
        <v>5</v>
      </c>
      <c r="H7" s="53"/>
      <c r="I7" s="53"/>
      <c r="J7" s="229" t="s">
        <v>412</v>
      </c>
      <c r="K7" s="229"/>
      <c r="L7" s="229"/>
      <c r="M7" s="53" t="s">
        <v>258</v>
      </c>
      <c r="N7" s="53"/>
      <c r="O7" s="53"/>
      <c r="P7" s="229" t="s">
        <v>1485</v>
      </c>
      <c r="Q7" s="229"/>
      <c r="R7" s="229"/>
      <c r="S7" s="5"/>
      <c r="T7" s="230" t="n">
        <f aca="false">SUMIF($I$63:$I$65,"Approved",$F$63:$F$65)</f>
        <v>2666620</v>
      </c>
    </row>
    <row r="8" customFormat="false" ht="15.75" hidden="false" customHeight="true" outlineLevel="0" collapsed="false">
      <c r="A8" s="53" t="s">
        <v>257</v>
      </c>
      <c r="B8" s="53"/>
      <c r="C8" s="53"/>
      <c r="D8" s="229" t="s">
        <v>1587</v>
      </c>
      <c r="E8" s="229"/>
      <c r="F8" s="229"/>
      <c r="G8" s="53" t="s">
        <v>1486</v>
      </c>
      <c r="H8" s="53"/>
      <c r="I8" s="53"/>
      <c r="J8" s="229" t="s">
        <v>489</v>
      </c>
      <c r="K8" s="229"/>
      <c r="L8" s="229"/>
      <c r="M8" s="53" t="s">
        <v>260</v>
      </c>
      <c r="N8" s="53"/>
      <c r="O8" s="53"/>
      <c r="P8" s="229" t="s">
        <v>290</v>
      </c>
      <c r="Q8" s="229"/>
      <c r="R8" s="229"/>
      <c r="S8" s="5"/>
      <c r="T8" s="230" t="n">
        <f aca="false">SUMIF($I$63:$I$65,"Approved",$G$63:$G$65)</f>
        <v>2322954</v>
      </c>
    </row>
    <row r="9" customFormat="false" ht="15.75" hidden="false" customHeight="true" outlineLevel="0" collapsed="false">
      <c r="A9" s="53" t="s">
        <v>1487</v>
      </c>
      <c r="B9" s="53"/>
      <c r="C9" s="53"/>
      <c r="D9" s="229" t="s">
        <v>1488</v>
      </c>
      <c r="E9" s="229"/>
      <c r="F9" s="229"/>
      <c r="G9" s="53" t="s">
        <v>1489</v>
      </c>
      <c r="H9" s="53"/>
      <c r="I9" s="53"/>
      <c r="J9" s="229" t="s">
        <v>302</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46113</v>
      </c>
      <c r="E10" s="231"/>
      <c r="F10" s="231"/>
      <c r="G10" s="53" t="s">
        <v>1491</v>
      </c>
      <c r="H10" s="53"/>
      <c r="I10" s="53"/>
      <c r="J10" s="231" t="n">
        <v>46660</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0</v>
      </c>
      <c r="E11" s="163"/>
      <c r="F11" s="163"/>
      <c r="G11" s="53" t="s">
        <v>1493</v>
      </c>
      <c r="H11" s="53"/>
      <c r="I11" s="53"/>
      <c r="J11" s="232" t="n">
        <f aca="false">$P$10+$D$11</f>
        <v>46265</v>
      </c>
      <c r="K11" s="232"/>
      <c r="L11" s="232"/>
      <c r="M11" s="53" t="s">
        <v>78</v>
      </c>
      <c r="N11" s="53"/>
      <c r="O11" s="53"/>
      <c r="P11" s="229" t="s">
        <v>299</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142600000</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123349000</v>
      </c>
      <c r="E15" s="163"/>
      <c r="F15" s="163"/>
      <c r="G15" s="53" t="s">
        <v>1499</v>
      </c>
      <c r="H15" s="53"/>
      <c r="I15" s="53"/>
      <c r="J15" s="117" t="n">
        <f aca="false">$T$7</f>
        <v>2666620</v>
      </c>
      <c r="K15" s="117"/>
      <c r="L15" s="117"/>
      <c r="M15" s="53" t="s">
        <v>1500</v>
      </c>
      <c r="N15" s="53"/>
      <c r="O15" s="53"/>
      <c r="P15" s="117" t="n">
        <f aca="false">$T$8</f>
        <v>2322954</v>
      </c>
      <c r="Q15" s="117"/>
      <c r="R15" s="117"/>
      <c r="S15" s="5"/>
      <c r="T15" s="5"/>
    </row>
    <row r="16" customFormat="false" ht="15.75" hidden="false" customHeight="true" outlineLevel="0" collapsed="false">
      <c r="A16" s="53" t="s">
        <v>1501</v>
      </c>
      <c r="B16" s="53"/>
      <c r="C16" s="53"/>
      <c r="D16" s="117" t="n">
        <f aca="false">$D$14+$J$15</f>
        <v>145266620</v>
      </c>
      <c r="E16" s="117"/>
      <c r="F16" s="117"/>
      <c r="G16" s="53" t="s">
        <v>1502</v>
      </c>
      <c r="H16" s="53"/>
      <c r="I16" s="53"/>
      <c r="J16" s="117" t="n">
        <f aca="false">$D$15+$R$15</f>
        <v>123349000</v>
      </c>
      <c r="K16" s="117"/>
      <c r="L16" s="117"/>
      <c r="M16" s="53" t="s">
        <v>1503</v>
      </c>
      <c r="N16" s="53"/>
      <c r="O16" s="53"/>
      <c r="P16" s="117" t="n">
        <f aca="false">$D$16-$J$16</f>
        <v>21917620</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21070883.8734</v>
      </c>
      <c r="E19" s="117"/>
      <c r="F19" s="117"/>
      <c r="G19" s="53" t="s">
        <v>1506</v>
      </c>
      <c r="H19" s="53"/>
      <c r="I19" s="53"/>
      <c r="J19" s="117" t="n">
        <f aca="false">$Q$41</f>
        <v>21243124.139</v>
      </c>
      <c r="K19" s="117"/>
      <c r="L19" s="117"/>
      <c r="M19" s="53" t="s">
        <v>1507</v>
      </c>
      <c r="N19" s="53"/>
      <c r="O19" s="53"/>
      <c r="P19" s="117" t="n">
        <f aca="false">$R$41</f>
        <v>20465094</v>
      </c>
      <c r="Q19" s="117"/>
      <c r="R19" s="117"/>
      <c r="S19" s="5"/>
      <c r="T19" s="5"/>
    </row>
    <row r="20" customFormat="false" ht="15.75" hidden="false" customHeight="true" outlineLevel="0" collapsed="false">
      <c r="A20" s="53" t="s">
        <v>1508</v>
      </c>
      <c r="B20" s="53"/>
      <c r="C20" s="53"/>
      <c r="D20" s="117" t="n">
        <f aca="false">$S$41</f>
        <v>58974121</v>
      </c>
      <c r="E20" s="117"/>
      <c r="F20" s="117"/>
      <c r="G20" s="53" t="s">
        <v>1509</v>
      </c>
      <c r="H20" s="53"/>
      <c r="I20" s="53"/>
      <c r="J20" s="117" t="n">
        <f aca="false">$J$19-$D$19</f>
        <v>172240.2656</v>
      </c>
      <c r="K20" s="117"/>
      <c r="L20" s="117"/>
      <c r="M20" s="53" t="s">
        <v>1510</v>
      </c>
      <c r="N20" s="53"/>
      <c r="O20" s="53"/>
      <c r="P20" s="117" t="n">
        <f aca="false">$J$19-$P$19</f>
        <v>778030.138999999</v>
      </c>
      <c r="Q20" s="117"/>
      <c r="R20" s="117"/>
      <c r="S20" s="5"/>
      <c r="T20" s="5"/>
    </row>
    <row r="21" customFormat="false" ht="15.75" hidden="false" customHeight="true" outlineLevel="0" collapsed="false">
      <c r="A21" s="53" t="s">
        <v>1511</v>
      </c>
      <c r="B21" s="53"/>
      <c r="C21" s="53"/>
      <c r="D21" s="120" t="n">
        <f aca="false">IF($D$19&lt;=0,1,$J$19/$D$19)</f>
        <v>1.0081743256066</v>
      </c>
      <c r="E21" s="120"/>
      <c r="F21" s="120"/>
      <c r="G21" s="53" t="s">
        <v>1512</v>
      </c>
      <c r="H21" s="53"/>
      <c r="I21" s="53"/>
      <c r="J21" s="120" t="n">
        <f aca="false">IF($P$19&lt;=0,1,$J$19/$P$19)</f>
        <v>1.03801742317919</v>
      </c>
      <c r="K21" s="120"/>
      <c r="L21" s="120"/>
      <c r="M21" s="53" t="s">
        <v>344</v>
      </c>
      <c r="N21" s="53"/>
      <c r="O21" s="53"/>
      <c r="P21" s="121" t="n">
        <f aca="false">IF($J$16=0,0,$J$19/$J$16)</f>
        <v>0.172219670520231</v>
      </c>
      <c r="Q21" s="121"/>
      <c r="R21" s="121"/>
      <c r="S21" s="5"/>
      <c r="T21" s="5"/>
    </row>
    <row r="22" customFormat="false" ht="15.75" hidden="false" customHeight="true" outlineLevel="0" collapsed="false">
      <c r="A22" s="53" t="s">
        <v>1513</v>
      </c>
      <c r="B22" s="53"/>
      <c r="C22" s="53"/>
      <c r="D22" s="117" t="n">
        <f aca="false">IF($J$21&lt;=0,$J$16,$J$16/$J$21)</f>
        <v>118831338.709337</v>
      </c>
      <c r="E22" s="117"/>
      <c r="F22" s="117"/>
      <c r="G22" s="53" t="s">
        <v>1514</v>
      </c>
      <c r="H22" s="53"/>
      <c r="I22" s="53"/>
      <c r="J22" s="117" t="n">
        <f aca="false">$J$16-$D$22</f>
        <v>4517661.29066309</v>
      </c>
      <c r="K22" s="117"/>
      <c r="L22" s="117"/>
      <c r="M22" s="53" t="s">
        <v>1515</v>
      </c>
      <c r="N22" s="53"/>
      <c r="O22" s="53"/>
      <c r="P22" s="117" t="n">
        <f aca="false">$D$22-$P$19</f>
        <v>98366244.7093369</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46173</v>
      </c>
      <c r="E27" s="169" t="n">
        <v>46173</v>
      </c>
      <c r="F27" s="92" t="n">
        <v>5550705</v>
      </c>
      <c r="G27" s="184" t="n">
        <v>1</v>
      </c>
      <c r="H27" s="184" t="n">
        <v>1</v>
      </c>
      <c r="I27" s="31" t="n">
        <f aca="false">$F27*$G27</f>
        <v>5550705</v>
      </c>
      <c r="J27" s="31" t="n">
        <f aca="false">$F27*$H27</f>
        <v>5550705</v>
      </c>
      <c r="K27" s="92" t="n">
        <v>5175710</v>
      </c>
      <c r="L27" s="92" t="n">
        <v>5550705</v>
      </c>
      <c r="M27" s="152" t="n">
        <f aca="false">IF($I27&lt;=0,1,$J27/$I27)</f>
        <v>1</v>
      </c>
      <c r="N27" s="152" t="n">
        <f aca="false">IF($K27&lt;=0,1,$J27/$K27)</f>
        <v>1.07245286153977</v>
      </c>
      <c r="O27" s="93" t="s">
        <v>1579</v>
      </c>
      <c r="P27" s="46" t="str">
        <f aca="false">IF(AND($M27&gt;=0.95,$N27&gt;=0.95),"Green",IF(OR($M27&lt;0.85,$N27&lt;0.85),"Red","Amber"))</f>
        <v>Green</v>
      </c>
      <c r="Q27" s="31" t="n">
        <f aca="false">MAX(0,$E27-$D27)</f>
        <v>0</v>
      </c>
      <c r="R27" s="5"/>
      <c r="S27" s="5"/>
      <c r="T27" s="5"/>
    </row>
    <row r="28" customFormat="false" ht="13.5" hidden="false" customHeight="true" outlineLevel="0" collapsed="false">
      <c r="A28" s="47" t="s">
        <v>486</v>
      </c>
      <c r="B28" s="37" t="s">
        <v>487</v>
      </c>
      <c r="C28" s="37" t="s">
        <v>483</v>
      </c>
      <c r="D28" s="96" t="n">
        <v>46660</v>
      </c>
      <c r="E28" s="96" t="n">
        <v>46660</v>
      </c>
      <c r="F28" s="99" t="n">
        <v>9251175</v>
      </c>
      <c r="G28" s="102" t="n">
        <v>0.2778</v>
      </c>
      <c r="H28" s="102" t="n">
        <v>0.2971</v>
      </c>
      <c r="I28" s="49" t="n">
        <f aca="false">$F28*$G28</f>
        <v>2569976.415</v>
      </c>
      <c r="J28" s="49" t="n">
        <f aca="false">$F28*$H28</f>
        <v>2748524.0925</v>
      </c>
      <c r="K28" s="99" t="n">
        <v>2666041</v>
      </c>
      <c r="L28" s="99" t="n">
        <v>8326058</v>
      </c>
      <c r="M28" s="157" t="n">
        <f aca="false">IF($I28&lt;=0,1,$J28/$I28)</f>
        <v>1.06947444204464</v>
      </c>
      <c r="N28" s="157" t="n">
        <f aca="false">IF($K28&lt;=0,1,$J28/$K28)</f>
        <v>1.03093841861397</v>
      </c>
      <c r="O28" s="103" t="s">
        <v>1520</v>
      </c>
      <c r="P28" s="52" t="str">
        <f aca="false">IF(AND($M28&gt;=0.95,$N28&gt;=0.95),"Green",IF(OR($M28&lt;0.85,$N28&lt;0.85),"Red","Amber"))</f>
        <v>Green</v>
      </c>
      <c r="Q28" s="49" t="n">
        <f aca="false">MAX(0,$E28-$D28)</f>
        <v>0</v>
      </c>
      <c r="R28" s="5"/>
      <c r="S28" s="5"/>
      <c r="T28" s="5"/>
    </row>
    <row r="29" customFormat="false" ht="13.5" hidden="false" customHeight="true" outlineLevel="0" collapsed="false">
      <c r="A29" s="42" t="s">
        <v>490</v>
      </c>
      <c r="B29" s="30" t="s">
        <v>491</v>
      </c>
      <c r="C29" s="30" t="s">
        <v>492</v>
      </c>
      <c r="D29" s="169" t="n">
        <v>46356</v>
      </c>
      <c r="E29" s="169" t="n">
        <v>46356</v>
      </c>
      <c r="F29" s="92" t="n">
        <v>6784195</v>
      </c>
      <c r="G29" s="184" t="n">
        <v>0.6727</v>
      </c>
      <c r="H29" s="184" t="n">
        <v>0.6331</v>
      </c>
      <c r="I29" s="31" t="n">
        <f aca="false">$F29*$G29</f>
        <v>4563727.9765</v>
      </c>
      <c r="J29" s="31" t="n">
        <f aca="false">$F29*$H29</f>
        <v>4295073.8545</v>
      </c>
      <c r="K29" s="92" t="n">
        <v>4388153</v>
      </c>
      <c r="L29" s="92" t="n">
        <v>5766566</v>
      </c>
      <c r="M29" s="152" t="n">
        <f aca="false">IF($I29&lt;=0,1,$J29/$I29)</f>
        <v>0.941132748624944</v>
      </c>
      <c r="N29" s="152" t="n">
        <f aca="false">IF($K29&lt;=0,1,$J29/$K29)</f>
        <v>0.978788536885564</v>
      </c>
      <c r="O29" s="93" t="s">
        <v>1520</v>
      </c>
      <c r="P29" s="46" t="str">
        <f aca="false">IF(AND($M29&gt;=0.95,$N29&gt;=0.95),"Green",IF(OR($M29&lt;0.85,$N29&lt;0.85),"Red","Amber"))</f>
        <v>Amber</v>
      </c>
      <c r="Q29" s="31" t="n">
        <f aca="false">MAX(0,$E29-$D29)</f>
        <v>0</v>
      </c>
      <c r="R29" s="5"/>
      <c r="S29" s="5"/>
      <c r="T29" s="5"/>
    </row>
    <row r="30" customFormat="false" ht="13.5" hidden="false" customHeight="true" outlineLevel="0" collapsed="false">
      <c r="A30" s="47" t="s">
        <v>495</v>
      </c>
      <c r="B30" s="37" t="s">
        <v>532</v>
      </c>
      <c r="C30" s="37" t="s">
        <v>497</v>
      </c>
      <c r="D30" s="96" t="n">
        <v>46418</v>
      </c>
      <c r="E30" s="96" t="n">
        <v>46418</v>
      </c>
      <c r="F30" s="99" t="n">
        <v>22819565</v>
      </c>
      <c r="G30" s="102" t="n">
        <v>0.2894</v>
      </c>
      <c r="H30" s="102" t="n">
        <v>0.294</v>
      </c>
      <c r="I30" s="49" t="n">
        <f aca="false">$F30*$G30</f>
        <v>6603982.111</v>
      </c>
      <c r="J30" s="49" t="n">
        <f aca="false">$F30*$H30</f>
        <v>6708952.11</v>
      </c>
      <c r="K30" s="99" t="n">
        <v>6316522</v>
      </c>
      <c r="L30" s="99" t="n">
        <v>14148130</v>
      </c>
      <c r="M30" s="157" t="n">
        <f aca="false">IF($I30&lt;=0,1,$J30/$I30)</f>
        <v>1.01589495507947</v>
      </c>
      <c r="N30" s="157" t="n">
        <f aca="false">IF($K30&lt;=0,1,$J30/$K30)</f>
        <v>1.06212756165497</v>
      </c>
      <c r="O30" s="103" t="s">
        <v>1520</v>
      </c>
      <c r="P30" s="52" t="str">
        <f aca="false">IF(AND($M30&gt;=0.95,$N30&gt;=0.95),"Green",IF(OR($M30&lt;0.85,$N30&lt;0.85),"Red","Amber"))</f>
        <v>Green</v>
      </c>
      <c r="Q30" s="49" t="n">
        <f aca="false">MAX(0,$E30-$D30)</f>
        <v>0</v>
      </c>
      <c r="R30" s="5"/>
      <c r="S30" s="5"/>
      <c r="T30" s="5"/>
    </row>
    <row r="31" customFormat="false" ht="13.5" hidden="false" customHeight="true" outlineLevel="0" collapsed="false">
      <c r="A31" s="42" t="s">
        <v>498</v>
      </c>
      <c r="B31" s="30" t="s">
        <v>533</v>
      </c>
      <c r="C31" s="30" t="s">
        <v>500</v>
      </c>
      <c r="D31" s="169" t="n">
        <v>46538</v>
      </c>
      <c r="E31" s="169" t="n">
        <v>46538</v>
      </c>
      <c r="F31" s="92" t="n">
        <v>30220505</v>
      </c>
      <c r="G31" s="184" t="n">
        <v>0.0461</v>
      </c>
      <c r="H31" s="184" t="n">
        <v>0.0512</v>
      </c>
      <c r="I31" s="31" t="n">
        <f aca="false">$F31*$G31</f>
        <v>1393165.2805</v>
      </c>
      <c r="J31" s="31" t="n">
        <f aca="false">$F31*$H31</f>
        <v>1547289.856</v>
      </c>
      <c r="K31" s="92" t="n">
        <v>1532666</v>
      </c>
      <c r="L31" s="92" t="n">
        <v>13599227</v>
      </c>
      <c r="M31" s="152" t="n">
        <f aca="false">IF($I31&lt;=0,1,$J31/$I31)</f>
        <v>1.11062906724512</v>
      </c>
      <c r="N31" s="152" t="n">
        <f aca="false">IF($K31&lt;=0,1,$J31/$K31)</f>
        <v>1.00954144999628</v>
      </c>
      <c r="O31" s="93" t="s">
        <v>1520</v>
      </c>
      <c r="P31" s="46" t="str">
        <f aca="false">IF(AND($M31&gt;=0.95,$N31&gt;=0.95),"Green",IF(OR($M31&lt;0.85,$N31&lt;0.85),"Red","Amber"))</f>
        <v>Green</v>
      </c>
      <c r="Q31" s="31" t="n">
        <f aca="false">MAX(0,$E31-$D31)</f>
        <v>0</v>
      </c>
      <c r="R31" s="5"/>
      <c r="S31" s="5"/>
      <c r="T31" s="5"/>
    </row>
    <row r="32" customFormat="false" ht="13.5" hidden="false" customHeight="true" outlineLevel="0" collapsed="false">
      <c r="A32" s="47" t="s">
        <v>501</v>
      </c>
      <c r="B32" s="37" t="s">
        <v>534</v>
      </c>
      <c r="C32" s="37" t="s">
        <v>503</v>
      </c>
      <c r="D32" s="96" t="n">
        <v>46599</v>
      </c>
      <c r="E32" s="96" t="n">
        <v>46599</v>
      </c>
      <c r="F32" s="99" t="n">
        <v>22819565</v>
      </c>
      <c r="G32" s="102" t="n">
        <v>0</v>
      </c>
      <c r="H32" s="102" t="n">
        <v>0</v>
      </c>
      <c r="I32" s="49" t="n">
        <f aca="false">$F32*$G32</f>
        <v>0</v>
      </c>
      <c r="J32" s="49" t="n">
        <f aca="false">$F32*$H32</f>
        <v>0</v>
      </c>
      <c r="K32" s="99" t="n">
        <v>0</v>
      </c>
      <c r="L32" s="99" t="n">
        <v>6845870</v>
      </c>
      <c r="M32" s="157" t="n">
        <f aca="false">IF($I32&lt;=0,1,$J32/$I32)</f>
        <v>1</v>
      </c>
      <c r="N32" s="157" t="n">
        <f aca="false">IF($K32&lt;=0,1,$J32/$K32)</f>
        <v>1</v>
      </c>
      <c r="O32" s="103" t="s">
        <v>1521</v>
      </c>
      <c r="P32" s="52" t="str">
        <f aca="false">IF(AND($M32&gt;=0.95,$N32&gt;=0.95),"Green",IF(OR($M32&lt;0.85,$N32&lt;0.85),"Red","Amber"))</f>
        <v>Green</v>
      </c>
      <c r="Q32" s="49" t="n">
        <f aca="false">MAX(0,$E32-$D32)</f>
        <v>0</v>
      </c>
      <c r="R32" s="5"/>
      <c r="S32" s="5"/>
      <c r="T32" s="5"/>
    </row>
    <row r="33" customFormat="false" ht="13.5" hidden="false" customHeight="true" outlineLevel="0" collapsed="false">
      <c r="A33" s="42" t="s">
        <v>506</v>
      </c>
      <c r="B33" s="30" t="s">
        <v>537</v>
      </c>
      <c r="C33" s="30" t="s">
        <v>508</v>
      </c>
      <c r="D33" s="169" t="n">
        <v>46630</v>
      </c>
      <c r="E33" s="169" t="n">
        <v>46630</v>
      </c>
      <c r="F33" s="92" t="n">
        <v>16652115</v>
      </c>
      <c r="G33" s="184" t="n">
        <v>0</v>
      </c>
      <c r="H33" s="184" t="n">
        <v>0</v>
      </c>
      <c r="I33" s="31" t="n">
        <f aca="false">$F33*$G33</f>
        <v>0</v>
      </c>
      <c r="J33" s="31" t="n">
        <f aca="false">$F33*$H33</f>
        <v>0</v>
      </c>
      <c r="K33" s="92" t="n">
        <v>0</v>
      </c>
      <c r="L33" s="92" t="n">
        <v>2997381</v>
      </c>
      <c r="M33" s="152" t="n">
        <f aca="false">IF($I33&lt;=0,1,$J33/$I33)</f>
        <v>1</v>
      </c>
      <c r="N33" s="152" t="n">
        <f aca="false">IF($K33&lt;=0,1,$J33/$K33)</f>
        <v>1</v>
      </c>
      <c r="O33" s="93" t="s">
        <v>1521</v>
      </c>
      <c r="P33" s="46" t="str">
        <f aca="false">IF(AND($M33&gt;=0.95,$N33&gt;=0.95),"Green",IF(OR($M33&lt;0.85,$N33&lt;0.85),"Red","Amber"))</f>
        <v>Green</v>
      </c>
      <c r="Q33" s="31" t="n">
        <f aca="false">MAX(0,$E33-$D33)</f>
        <v>0</v>
      </c>
      <c r="R33" s="5"/>
      <c r="S33" s="5"/>
      <c r="T33" s="5"/>
    </row>
    <row r="34" customFormat="false" ht="13.5" hidden="false" customHeight="true" outlineLevel="0" collapsed="false">
      <c r="A34" s="47" t="s">
        <v>511</v>
      </c>
      <c r="B34" s="37" t="s">
        <v>512</v>
      </c>
      <c r="C34" s="37" t="s">
        <v>513</v>
      </c>
      <c r="D34" s="96" t="n">
        <v>46660</v>
      </c>
      <c r="E34" s="96" t="n">
        <v>46660</v>
      </c>
      <c r="F34" s="99" t="n">
        <v>9251175</v>
      </c>
      <c r="G34" s="102" t="n">
        <v>0</v>
      </c>
      <c r="H34" s="102" t="n">
        <v>0</v>
      </c>
      <c r="I34" s="49" t="n">
        <f aca="false">$F34*$G34</f>
        <v>0</v>
      </c>
      <c r="J34" s="49" t="n">
        <f aca="false">$F34*$H34</f>
        <v>0</v>
      </c>
      <c r="K34" s="99" t="n">
        <v>0</v>
      </c>
      <c r="L34" s="99" t="n">
        <v>462559</v>
      </c>
      <c r="M34" s="157" t="n">
        <f aca="false">IF($I34&lt;=0,1,$J34/$I34)</f>
        <v>1</v>
      </c>
      <c r="N34" s="157" t="n">
        <f aca="false">IF($K34&lt;=0,1,$J34/$K34)</f>
        <v>1</v>
      </c>
      <c r="O34" s="103" t="s">
        <v>1521</v>
      </c>
      <c r="P34" s="52" t="str">
        <f aca="false">IF(AND($M34&gt;=0.95,$N34&gt;=0.95),"Green",IF(OR($M34&lt;0.85,$N34&lt;0.85),"Red","Amber"))</f>
        <v>Green</v>
      </c>
      <c r="Q34" s="49" t="n">
        <f aca="false">MAX(0,$E34-$D34)</f>
        <v>0</v>
      </c>
      <c r="R34" s="5"/>
      <c r="S34" s="5"/>
      <c r="T34" s="5"/>
    </row>
    <row r="35" customFormat="false" ht="13.5" hidden="false" customHeight="true" outlineLevel="0" collapsed="false">
      <c r="A35" s="42" t="s">
        <v>516</v>
      </c>
      <c r="B35" s="30" t="s">
        <v>517</v>
      </c>
      <c r="C35" s="30" t="s">
        <v>518</v>
      </c>
      <c r="D35" s="169" t="n">
        <v>46630</v>
      </c>
      <c r="E35" s="169" t="n">
        <v>46660</v>
      </c>
      <c r="F35" s="158" t="n">
        <f aca="false">$T$8</f>
        <v>2322954</v>
      </c>
      <c r="G35" s="184" t="n">
        <v>0.1676</v>
      </c>
      <c r="H35" s="184" t="n">
        <v>0.169</v>
      </c>
      <c r="I35" s="31" t="n">
        <f aca="false">$F35*$G35</f>
        <v>389327.0904</v>
      </c>
      <c r="J35" s="31" t="n">
        <f aca="false">$F35*$H35</f>
        <v>392579.226</v>
      </c>
      <c r="K35" s="92" t="n">
        <v>386002</v>
      </c>
      <c r="L35" s="92" t="n">
        <v>1277625</v>
      </c>
      <c r="M35" s="152" t="n">
        <f aca="false">IF($I35&lt;=0,1,$J35/$I35)</f>
        <v>1.00835322195704</v>
      </c>
      <c r="N35" s="152" t="n">
        <f aca="false">IF($K35&lt;=0,1,$J35/$K35)</f>
        <v>1.01703935730903</v>
      </c>
      <c r="O35" s="93" t="s">
        <v>1520</v>
      </c>
      <c r="P35" s="46" t="str">
        <f aca="false">IF(AND($M35&gt;=0.95,$N35&gt;=0.95),"Green",IF(OR($M35&lt;0.85,$N35&lt;0.85),"Red","Amber"))</f>
        <v>Green</v>
      </c>
      <c r="Q35" s="31" t="n">
        <f aca="false">MAX(0,$E35-$D35)</f>
        <v>30</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125671954</v>
      </c>
      <c r="G41" s="104" t="n">
        <f aca="false">IF($F41=0,0,$I41/$F41)</f>
        <v>0.167665761554085</v>
      </c>
      <c r="H41" s="104" t="n">
        <f aca="false">IF($F41=0,0,$J41/$F41)</f>
        <v>0.169036316082107</v>
      </c>
      <c r="I41" s="28" t="n">
        <f aca="false">SUM($I$27:$I$35)</f>
        <v>21070883.8734</v>
      </c>
      <c r="J41" s="28" t="n">
        <f aca="false">SUM($J$27:$J$35)</f>
        <v>21243124.139</v>
      </c>
      <c r="K41" s="28" t="n">
        <f aca="false">SUM($K$27:$K$35)</f>
        <v>20465094</v>
      </c>
      <c r="L41" s="28" t="n">
        <f aca="false">SUM($L$27:$L$35)</f>
        <v>58974121</v>
      </c>
      <c r="M41" s="29" t="n">
        <f aca="false">IF($I41&lt;=0,1,$J41/$I41)</f>
        <v>1.0081743256066</v>
      </c>
      <c r="N41" s="29" t="n">
        <f aca="false">IF($K41&lt;=0,1,$J41/$K41)</f>
        <v>1.03801742317919</v>
      </c>
      <c r="O41" s="105"/>
      <c r="P41" s="234" t="n">
        <f aca="false">$I41</f>
        <v>21070883.8734</v>
      </c>
      <c r="Q41" s="234" t="n">
        <f aca="false">$J41</f>
        <v>21243124.139</v>
      </c>
      <c r="R41" s="147" t="n">
        <f aca="false">$K41</f>
        <v>20465094</v>
      </c>
      <c r="S41" s="147" t="n">
        <f aca="false">$L41</f>
        <v>58974121</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8634430</v>
      </c>
      <c r="F47" s="92" t="n">
        <v>0</v>
      </c>
      <c r="G47" s="92" t="n">
        <v>1964686</v>
      </c>
      <c r="H47" s="92" t="n">
        <v>4327237</v>
      </c>
      <c r="I47" s="31" t="n">
        <f aca="false">($E47+$F47)*1.012</f>
        <v>8738043.16</v>
      </c>
      <c r="J47" s="87" t="n">
        <f aca="false">IF(($E47+$F47)=0,0,(($E47+$F47)-$I47)/($E47+$F47))</f>
        <v>-0.012</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7647638</v>
      </c>
      <c r="F48" s="99" t="n">
        <v>0</v>
      </c>
      <c r="G48" s="99" t="n">
        <v>1669983</v>
      </c>
      <c r="H48" s="99" t="n">
        <v>3461790</v>
      </c>
      <c r="I48" s="49" t="n">
        <f aca="false">($E48+$F48)*1.012</f>
        <v>7739409.656</v>
      </c>
      <c r="J48" s="100" t="n">
        <f aca="false">IF(($E48+$F48)=0,0,(($E48+$F48)-$I48)/($E48+$F48))</f>
        <v>-0.0120000000000001</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6167450</v>
      </c>
      <c r="F49" s="92" t="n">
        <v>0</v>
      </c>
      <c r="G49" s="92" t="n">
        <v>432231</v>
      </c>
      <c r="H49" s="92" t="n">
        <v>2596342</v>
      </c>
      <c r="I49" s="31" t="n">
        <f aca="false">($E49+$F49)*1.012</f>
        <v>6241459.4</v>
      </c>
      <c r="J49" s="87" t="n">
        <f aca="false">IF(($E49+$F49)=0,0,(($E49+$F49)-$I49)/($E49+$F49))</f>
        <v>-0.0120000000000001</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9251175</v>
      </c>
      <c r="F50" s="99" t="n">
        <v>0</v>
      </c>
      <c r="G50" s="99" t="n">
        <v>1218105</v>
      </c>
      <c r="H50" s="99" t="n">
        <v>3173307</v>
      </c>
      <c r="I50" s="49" t="n">
        <f aca="false">($E50+$F50)*1.012</f>
        <v>9362189.1</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51806580</v>
      </c>
      <c r="F51" s="92" t="n">
        <v>0</v>
      </c>
      <c r="G51" s="92" t="n">
        <v>10216368</v>
      </c>
      <c r="H51" s="92" t="n">
        <v>27117353</v>
      </c>
      <c r="I51" s="31" t="n">
        <f aca="false">($E51+$F51)*1.012</f>
        <v>52428258.96</v>
      </c>
      <c r="J51" s="87" t="n">
        <f aca="false">IF(($E51+$F51)=0,0,(($E51+$F51)-$I51)/($E51+$F51))</f>
        <v>-0.012</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24669800</v>
      </c>
      <c r="F52" s="99" t="n">
        <v>0</v>
      </c>
      <c r="G52" s="99" t="n">
        <v>2947029</v>
      </c>
      <c r="H52" s="99" t="n">
        <v>12404747</v>
      </c>
      <c r="I52" s="49" t="n">
        <f aca="false">($E52+$F52)*1.012</f>
        <v>24965837.6</v>
      </c>
      <c r="J52" s="100" t="n">
        <f aca="false">IF(($E52+$F52)=0,0,(($E52+$F52)-$I52)/($E52+$F52))</f>
        <v>-0.0120000000000001</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5550705</v>
      </c>
      <c r="F53" s="92" t="n">
        <v>0</v>
      </c>
      <c r="G53" s="92" t="n">
        <v>746581</v>
      </c>
      <c r="H53" s="92" t="n">
        <v>2307860</v>
      </c>
      <c r="I53" s="31" t="n">
        <f aca="false">($E53+$F53)*1.012</f>
        <v>5617313.46</v>
      </c>
      <c r="J53" s="87" t="n">
        <f aca="false">IF(($E53+$F53)=0,0,(($E53+$F53)-$I53)/($E53+$F53))</f>
        <v>-0.012</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2713678</v>
      </c>
      <c r="F54" s="99" t="n">
        <v>0</v>
      </c>
      <c r="G54" s="99" t="n">
        <v>432231</v>
      </c>
      <c r="H54" s="99" t="n">
        <v>1153930</v>
      </c>
      <c r="I54" s="49" t="n">
        <f aca="false">($E54+$F54)*1.012</f>
        <v>2746242.136</v>
      </c>
      <c r="J54" s="100" t="n">
        <f aca="false">IF(($E54+$F54)=0,0,(($E54+$F54)-$I54)/($E54+$F54))</f>
        <v>-0.012</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3207074</v>
      </c>
      <c r="F55" s="92" t="n">
        <v>0</v>
      </c>
      <c r="G55" s="92" t="n">
        <v>451878</v>
      </c>
      <c r="H55" s="92" t="n">
        <v>1153930</v>
      </c>
      <c r="I55" s="31" t="n">
        <f aca="false">($E55+$F55)*1.012</f>
        <v>3245558.888</v>
      </c>
      <c r="J55" s="87" t="n">
        <f aca="false">IF(($E55+$F55)=0,0,(($E55+$F55)-$I55)/($E55+$F55))</f>
        <v>-0.0119999999999999</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3700470</v>
      </c>
      <c r="F56" s="99" t="n">
        <v>0</v>
      </c>
      <c r="G56" s="99" t="n">
        <v>0</v>
      </c>
      <c r="H56" s="99" t="n">
        <v>0</v>
      </c>
      <c r="I56" s="49" t="n">
        <f aca="false">($E56+$F56)*1.012</f>
        <v>3744875.64</v>
      </c>
      <c r="J56" s="100" t="n">
        <f aca="false">IF(($E56+$F56)=0,0,(($E56+$F56)-$I56)/($E56+$F56))</f>
        <v>-0.012</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2322954</v>
      </c>
      <c r="G57" s="92" t="n">
        <v>386002</v>
      </c>
      <c r="H57" s="92" t="n">
        <v>1277625</v>
      </c>
      <c r="I57" s="31" t="n">
        <f aca="false">($E57+$F57)*1.012</f>
        <v>2350829.448</v>
      </c>
      <c r="J57" s="87" t="n">
        <f aca="false">IF(($E57+$F57)=0,0,(($E57+$F57)-$I57)/($E57+$F57))</f>
        <v>-0.0119999999999999</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123349000</v>
      </c>
      <c r="F58" s="28" t="n">
        <f aca="false">SUM($F$47:$F$57)</f>
        <v>2322954</v>
      </c>
      <c r="G58" s="28" t="n">
        <f aca="false">SUM($G$47:$G$57)</f>
        <v>20465094</v>
      </c>
      <c r="H58" s="28" t="n">
        <f aca="false">SUM($H$47:$H$57)</f>
        <v>58974121</v>
      </c>
      <c r="I58" s="28" t="n">
        <f aca="false">SUM($I$47:$I$57)</f>
        <v>127180017.448</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731</v>
      </c>
      <c r="B63" s="30" t="s">
        <v>778</v>
      </c>
      <c r="C63" s="30"/>
      <c r="D63" s="30"/>
      <c r="E63" s="45" t="s">
        <v>779</v>
      </c>
      <c r="F63" s="92" t="n">
        <v>1925100</v>
      </c>
      <c r="G63" s="92" t="n">
        <v>1655586</v>
      </c>
      <c r="H63" s="92" t="n">
        <v>0</v>
      </c>
      <c r="I63" s="93" t="s">
        <v>1536</v>
      </c>
      <c r="J63" s="45" t="s">
        <v>729</v>
      </c>
      <c r="K63" s="5"/>
      <c r="L63" s="5"/>
      <c r="M63" s="5"/>
      <c r="N63" s="5"/>
      <c r="O63" s="5"/>
      <c r="P63" s="5"/>
      <c r="Q63" s="5"/>
      <c r="R63" s="5"/>
      <c r="S63" s="5"/>
      <c r="T63" s="5"/>
    </row>
    <row r="64" customFormat="false" ht="13.5" hidden="false" customHeight="true" outlineLevel="0" collapsed="false">
      <c r="A64" s="47" t="s">
        <v>734</v>
      </c>
      <c r="B64" s="37" t="s">
        <v>781</v>
      </c>
      <c r="C64" s="37"/>
      <c r="D64" s="37"/>
      <c r="E64" s="51" t="s">
        <v>674</v>
      </c>
      <c r="F64" s="99" t="n">
        <v>741520</v>
      </c>
      <c r="G64" s="99" t="n">
        <v>667368</v>
      </c>
      <c r="H64" s="99" t="n">
        <v>7</v>
      </c>
      <c r="I64" s="103" t="s">
        <v>1536</v>
      </c>
      <c r="J64" s="51" t="s">
        <v>732</v>
      </c>
      <c r="K64" s="5"/>
      <c r="L64" s="5"/>
      <c r="M64" s="5"/>
      <c r="N64" s="5"/>
      <c r="O64" s="5"/>
      <c r="P64" s="5"/>
      <c r="Q64" s="5"/>
      <c r="R64" s="5"/>
      <c r="S64" s="5"/>
      <c r="T64" s="5"/>
    </row>
    <row r="65" customFormat="false" ht="13.5" hidden="false" customHeight="true" outlineLevel="0" collapsed="false">
      <c r="A65" s="42" t="s">
        <v>737</v>
      </c>
      <c r="B65" s="30" t="s">
        <v>782</v>
      </c>
      <c r="C65" s="30"/>
      <c r="D65" s="30"/>
      <c r="E65" s="45" t="s">
        <v>783</v>
      </c>
      <c r="F65" s="92" t="n">
        <v>2823480</v>
      </c>
      <c r="G65" s="92" t="n">
        <v>2456428</v>
      </c>
      <c r="H65" s="92" t="n">
        <v>21</v>
      </c>
      <c r="I65" s="93" t="s">
        <v>1537</v>
      </c>
      <c r="J65" s="45" t="s">
        <v>735</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729</v>
      </c>
      <c r="B68" s="30" t="s">
        <v>668</v>
      </c>
      <c r="C68" s="30"/>
      <c r="D68" s="30"/>
      <c r="E68" s="45" t="s">
        <v>95</v>
      </c>
      <c r="F68" s="92" t="n">
        <v>1655586</v>
      </c>
      <c r="G68" s="92" t="n">
        <v>0</v>
      </c>
      <c r="H68" s="93" t="s">
        <v>1539</v>
      </c>
      <c r="I68" s="45" t="s">
        <v>731</v>
      </c>
      <c r="J68" s="5"/>
      <c r="K68" s="5"/>
      <c r="L68" s="5"/>
      <c r="M68" s="5"/>
      <c r="N68" s="5"/>
      <c r="O68" s="5"/>
      <c r="P68" s="5"/>
      <c r="Q68" s="5"/>
      <c r="R68" s="5"/>
      <c r="S68" s="5"/>
      <c r="T68" s="5"/>
    </row>
    <row r="69" customFormat="false" ht="13.5" hidden="false" customHeight="true" outlineLevel="0" collapsed="false">
      <c r="A69" s="47" t="s">
        <v>732</v>
      </c>
      <c r="B69" s="37" t="s">
        <v>675</v>
      </c>
      <c r="C69" s="37"/>
      <c r="D69" s="37"/>
      <c r="E69" s="51" t="s">
        <v>674</v>
      </c>
      <c r="F69" s="99" t="n">
        <v>667368</v>
      </c>
      <c r="G69" s="99" t="n">
        <v>7</v>
      </c>
      <c r="H69" s="103" t="s">
        <v>1539</v>
      </c>
      <c r="I69" s="51" t="s">
        <v>734</v>
      </c>
      <c r="J69" s="5"/>
      <c r="K69" s="5"/>
      <c r="L69" s="5"/>
      <c r="M69" s="5"/>
      <c r="N69" s="5"/>
      <c r="O69" s="5"/>
      <c r="P69" s="5"/>
      <c r="Q69" s="5"/>
      <c r="R69" s="5"/>
      <c r="S69" s="5"/>
      <c r="T69" s="5"/>
    </row>
    <row r="70" customFormat="false" ht="13.5" hidden="false" customHeight="true" outlineLevel="0" collapsed="false">
      <c r="A70" s="42" t="s">
        <v>735</v>
      </c>
      <c r="B70" s="30" t="s">
        <v>681</v>
      </c>
      <c r="C70" s="30"/>
      <c r="D70" s="30"/>
      <c r="E70" s="45" t="s">
        <v>356</v>
      </c>
      <c r="F70" s="92" t="n">
        <v>2456428</v>
      </c>
      <c r="G70" s="92" t="n">
        <v>21</v>
      </c>
      <c r="H70" s="93" t="s">
        <v>1540</v>
      </c>
      <c r="I70" s="45" t="s">
        <v>737</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852</v>
      </c>
      <c r="B75" s="30" t="s">
        <v>823</v>
      </c>
      <c r="C75" s="30"/>
      <c r="D75" s="30"/>
      <c r="E75" s="30" t="s">
        <v>824</v>
      </c>
      <c r="F75" s="92" t="n">
        <v>20677000</v>
      </c>
      <c r="G75" s="92" t="n">
        <v>20677000</v>
      </c>
      <c r="H75" s="169" t="n">
        <v>46177</v>
      </c>
      <c r="I75" s="169"/>
      <c r="J75" s="184" t="n">
        <v>0.059</v>
      </c>
      <c r="K75" s="93" t="s">
        <v>1520</v>
      </c>
      <c r="L75" s="5"/>
      <c r="M75" s="5"/>
      <c r="N75" s="5"/>
      <c r="O75" s="5"/>
      <c r="P75" s="5"/>
      <c r="Q75" s="5"/>
      <c r="R75" s="5"/>
      <c r="S75" s="5"/>
      <c r="T75" s="5"/>
    </row>
    <row r="76" customFormat="false" ht="13.5" hidden="false" customHeight="true" outlineLevel="0" collapsed="false">
      <c r="A76" s="47" t="s">
        <v>853</v>
      </c>
      <c r="B76" s="37" t="s">
        <v>826</v>
      </c>
      <c r="C76" s="37"/>
      <c r="D76" s="37"/>
      <c r="E76" s="37" t="s">
        <v>824</v>
      </c>
      <c r="F76" s="99" t="n">
        <v>12121000</v>
      </c>
      <c r="G76" s="99" t="n">
        <v>12121000</v>
      </c>
      <c r="H76" s="96" t="n">
        <v>46200</v>
      </c>
      <c r="I76" s="96"/>
      <c r="J76" s="102" t="n">
        <v>0.059</v>
      </c>
      <c r="K76" s="103" t="s">
        <v>1520</v>
      </c>
      <c r="L76" s="5"/>
      <c r="M76" s="5"/>
      <c r="N76" s="5"/>
      <c r="O76" s="5"/>
      <c r="P76" s="5"/>
      <c r="Q76" s="5"/>
      <c r="R76" s="5"/>
      <c r="S76" s="5"/>
      <c r="T76" s="5"/>
    </row>
    <row r="77" customFormat="false" ht="13.5" hidden="false" customHeight="true" outlineLevel="0" collapsed="false">
      <c r="A77" s="42" t="s">
        <v>854</v>
      </c>
      <c r="B77" s="30" t="s">
        <v>828</v>
      </c>
      <c r="C77" s="30"/>
      <c r="D77" s="30"/>
      <c r="E77" s="30" t="s">
        <v>824</v>
      </c>
      <c r="F77" s="92" t="n">
        <v>7415200</v>
      </c>
      <c r="G77" s="92" t="n">
        <v>7415200</v>
      </c>
      <c r="H77" s="169" t="n">
        <v>46253</v>
      </c>
      <c r="I77" s="169" t="n">
        <v>46470</v>
      </c>
      <c r="J77" s="184" t="n">
        <v>0.059</v>
      </c>
      <c r="K77" s="93" t="s">
        <v>1520</v>
      </c>
      <c r="L77" s="5"/>
      <c r="M77" s="5"/>
      <c r="N77" s="5"/>
      <c r="O77" s="5"/>
      <c r="P77" s="5"/>
      <c r="Q77" s="5"/>
      <c r="R77" s="5"/>
      <c r="S77" s="5"/>
      <c r="T77" s="5"/>
    </row>
    <row r="78" customFormat="false" ht="13.5" hidden="false" customHeight="true" outlineLevel="0" collapsed="false">
      <c r="A78" s="47" t="s">
        <v>855</v>
      </c>
      <c r="B78" s="37" t="s">
        <v>831</v>
      </c>
      <c r="C78" s="37"/>
      <c r="D78" s="37"/>
      <c r="E78" s="37" t="s">
        <v>824</v>
      </c>
      <c r="F78" s="99" t="n">
        <v>9982000</v>
      </c>
      <c r="G78" s="99" t="n">
        <v>9982000</v>
      </c>
      <c r="H78" s="96" t="n">
        <v>46265</v>
      </c>
      <c r="I78" s="96"/>
      <c r="J78" s="102" t="n">
        <v>0.059</v>
      </c>
      <c r="K78" s="103" t="s">
        <v>1520</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2</v>
      </c>
      <c r="F83" s="92" t="n">
        <v>2</v>
      </c>
      <c r="G83" s="87" t="n">
        <f aca="false">IF($E83=0,1,$F83/$E83)</f>
        <v>1</v>
      </c>
      <c r="H83" s="92" t="n">
        <v>2136</v>
      </c>
      <c r="I83" s="92" t="n">
        <v>2054</v>
      </c>
      <c r="J83" s="87" t="n">
        <f aca="false">IF($H83=0,0,$I83/$H83)</f>
        <v>0.961610486891386</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1</v>
      </c>
      <c r="G84" s="100" t="n">
        <f aca="false">IF($E84=0,1,$F84/$E84)</f>
        <v>1</v>
      </c>
      <c r="H84" s="99" t="n">
        <v>997</v>
      </c>
      <c r="I84" s="99" t="n">
        <v>959</v>
      </c>
      <c r="J84" s="100" t="n">
        <f aca="false">IF($H84=0,0,$I84/$H84)</f>
        <v>0.961885656970913</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3</v>
      </c>
      <c r="F85" s="92" t="n">
        <v>3</v>
      </c>
      <c r="G85" s="87" t="n">
        <f aca="false">IF($E85=0,1,$F85/$E85)</f>
        <v>1</v>
      </c>
      <c r="H85" s="92" t="n">
        <v>2955</v>
      </c>
      <c r="I85" s="92" t="n">
        <v>2686</v>
      </c>
      <c r="J85" s="87" t="n">
        <f aca="false">IF($H85=0,0,$I85/$H85)</f>
        <v>0.908967851099831</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10</v>
      </c>
      <c r="F86" s="99" t="n">
        <v>10</v>
      </c>
      <c r="G86" s="100" t="n">
        <f aca="false">IF($E86=0,1,$F86/$E86)</f>
        <v>1</v>
      </c>
      <c r="H86" s="99" t="n">
        <v>9973</v>
      </c>
      <c r="I86" s="99" t="n">
        <v>9066</v>
      </c>
      <c r="J86" s="100" t="n">
        <f aca="false">IF($H86=0,0,$I86/$H86)</f>
        <v>0.909054447006919</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40</v>
      </c>
      <c r="F87" s="92" t="n">
        <v>40</v>
      </c>
      <c r="G87" s="87" t="n">
        <f aca="false">IF($E87=0,1,$F87/$E87)</f>
        <v>1</v>
      </c>
      <c r="H87" s="92" t="n">
        <v>39088</v>
      </c>
      <c r="I87" s="92" t="n">
        <v>35535</v>
      </c>
      <c r="J87" s="87" t="n">
        <f aca="false">IF($H87=0,0,$I87/$H87)</f>
        <v>0.909102537863283</v>
      </c>
      <c r="K87" s="46" t="str">
        <f aca="false">IF(AND($G87&gt;=0.95,$J87&gt;=0.85),"Green",IF(OR($G87&lt;0.8,$J87&lt;0.7),"Red","Amber"))</f>
        <v>Green</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19</v>
      </c>
      <c r="F88" s="99" t="n">
        <v>19</v>
      </c>
      <c r="G88" s="100" t="n">
        <f aca="false">IF($E88=0,1,$F88/$E88)</f>
        <v>1</v>
      </c>
      <c r="H88" s="99" t="n">
        <v>18542</v>
      </c>
      <c r="I88" s="99" t="n">
        <v>16856</v>
      </c>
      <c r="J88" s="100" t="n">
        <f aca="false">IF($H88=0,0,$I88/$H88)</f>
        <v>0.90907129759465</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335</v>
      </c>
      <c r="E91" s="163"/>
      <c r="F91" s="163"/>
      <c r="G91" s="53" t="s">
        <v>1554</v>
      </c>
      <c r="H91" s="53"/>
      <c r="I91" s="53"/>
      <c r="J91" s="163" t="n">
        <v>224</v>
      </c>
      <c r="K91" s="163"/>
      <c r="L91" s="163"/>
      <c r="M91" s="53" t="s">
        <v>1555</v>
      </c>
      <c r="N91" s="53"/>
      <c r="O91" s="53"/>
      <c r="P91" s="163" t="n">
        <v>37</v>
      </c>
      <c r="Q91" s="163"/>
      <c r="R91" s="163"/>
      <c r="S91" s="5"/>
      <c r="T91" s="5"/>
    </row>
    <row r="92" customFormat="false" ht="15.75" hidden="false" customHeight="true" outlineLevel="0" collapsed="false">
      <c r="A92" s="53" t="s">
        <v>1556</v>
      </c>
      <c r="B92" s="53"/>
      <c r="C92" s="53"/>
      <c r="D92" s="163" t="n">
        <v>94</v>
      </c>
      <c r="E92" s="163"/>
      <c r="F92" s="163"/>
      <c r="G92" s="53" t="s">
        <v>1557</v>
      </c>
      <c r="H92" s="53"/>
      <c r="I92" s="53"/>
      <c r="J92" s="163" t="n">
        <v>73</v>
      </c>
      <c r="K92" s="163"/>
      <c r="L92" s="163"/>
      <c r="M92" s="53" t="s">
        <v>1558</v>
      </c>
      <c r="N92" s="53"/>
      <c r="O92" s="53"/>
      <c r="P92" s="121" t="n">
        <f aca="false">IF(($D$91+$D$92)=0,0,($J$91+$J$92)/($D$91+$D$92))</f>
        <v>0.692307692307692</v>
      </c>
      <c r="Q92" s="121"/>
      <c r="R92" s="121"/>
      <c r="S92" s="5"/>
      <c r="T92" s="5"/>
    </row>
    <row r="93" customFormat="false" ht="15.75" hidden="false" customHeight="true" outlineLevel="0" collapsed="false">
      <c r="A93" s="53" t="s">
        <v>1559</v>
      </c>
      <c r="B93" s="53"/>
      <c r="C93" s="53"/>
      <c r="D93" s="163" t="n">
        <v>73691</v>
      </c>
      <c r="E93" s="163"/>
      <c r="F93" s="163"/>
      <c r="G93" s="53" t="s">
        <v>1560</v>
      </c>
      <c r="H93" s="53"/>
      <c r="I93" s="53"/>
      <c r="J93" s="163" t="n">
        <v>0</v>
      </c>
      <c r="K93" s="163"/>
      <c r="L93" s="163"/>
      <c r="M93" s="53" t="s">
        <v>1561</v>
      </c>
      <c r="N93" s="53"/>
      <c r="O93" s="53"/>
      <c r="P93" s="233" t="n">
        <v>0.68</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84</v>
      </c>
      <c r="K94" s="163"/>
      <c r="L94" s="163"/>
      <c r="M94" s="53" t="s">
        <v>1564</v>
      </c>
      <c r="N94" s="53"/>
      <c r="O94" s="53"/>
      <c r="P94" s="163" t="n">
        <v>69</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1044</v>
      </c>
      <c r="B97" s="30" t="s">
        <v>1014</v>
      </c>
      <c r="C97" s="30"/>
      <c r="D97" s="30"/>
      <c r="E97" s="93" t="s">
        <v>1015</v>
      </c>
      <c r="F97" s="30" t="s">
        <v>1016</v>
      </c>
      <c r="G97" s="92" t="n">
        <v>223479</v>
      </c>
      <c r="H97" s="93" t="s">
        <v>1017</v>
      </c>
      <c r="I97" s="5"/>
      <c r="J97" s="5"/>
      <c r="K97" s="5"/>
      <c r="L97" s="5"/>
      <c r="M97" s="5"/>
      <c r="N97" s="5"/>
      <c r="O97" s="5"/>
      <c r="P97" s="5"/>
      <c r="Q97" s="5"/>
      <c r="R97" s="5"/>
      <c r="S97" s="5"/>
      <c r="T97" s="5"/>
    </row>
    <row r="98" customFormat="false" ht="13.5" hidden="false" customHeight="true" outlineLevel="0" collapsed="false">
      <c r="A98" s="47" t="s">
        <v>1045</v>
      </c>
      <c r="B98" s="37" t="s">
        <v>1020</v>
      </c>
      <c r="C98" s="37"/>
      <c r="D98" s="37"/>
      <c r="E98" s="103" t="s">
        <v>1021</v>
      </c>
      <c r="F98" s="37" t="s">
        <v>1022</v>
      </c>
      <c r="G98" s="99" t="n">
        <v>55870</v>
      </c>
      <c r="H98" s="103" t="s">
        <v>1023</v>
      </c>
      <c r="I98" s="5"/>
      <c r="J98" s="5"/>
      <c r="K98" s="5"/>
      <c r="L98" s="5"/>
      <c r="M98" s="5"/>
      <c r="N98" s="5"/>
      <c r="O98" s="5"/>
      <c r="P98" s="5"/>
      <c r="Q98" s="5"/>
      <c r="R98" s="5"/>
      <c r="S98" s="5"/>
      <c r="T98" s="5"/>
    </row>
    <row r="99" customFormat="false" ht="13.5" hidden="false" customHeight="true" outlineLevel="0" collapsed="false">
      <c r="A99" s="42" t="s">
        <v>1046</v>
      </c>
      <c r="B99" s="30" t="s">
        <v>1026</v>
      </c>
      <c r="C99" s="30"/>
      <c r="D99" s="30"/>
      <c r="E99" s="93" t="s">
        <v>1015</v>
      </c>
      <c r="F99" s="30" t="s">
        <v>1027</v>
      </c>
      <c r="G99" s="92" t="n">
        <v>150418</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730</v>
      </c>
      <c r="B104" s="30" t="s">
        <v>1143</v>
      </c>
      <c r="C104" s="30"/>
      <c r="D104" s="30"/>
      <c r="E104" s="84" t="n">
        <v>3</v>
      </c>
      <c r="F104" s="84" t="n">
        <v>4</v>
      </c>
      <c r="G104" s="43" t="n">
        <f aca="false">$E104*$F104</f>
        <v>12</v>
      </c>
      <c r="H104" s="92" t="n">
        <v>4775534</v>
      </c>
      <c r="I104" s="31" t="n">
        <f aca="false">(($E104*2-1)/10)*$H104</f>
        <v>2387767</v>
      </c>
      <c r="J104" s="93" t="s">
        <v>1145</v>
      </c>
      <c r="K104" s="30" t="s">
        <v>1147</v>
      </c>
      <c r="L104" s="93" t="s">
        <v>1023</v>
      </c>
      <c r="M104" s="5"/>
      <c r="N104" s="5"/>
      <c r="O104" s="5"/>
      <c r="P104" s="5"/>
      <c r="Q104" s="5"/>
      <c r="R104" s="5"/>
      <c r="S104" s="5"/>
      <c r="T104" s="5"/>
    </row>
    <row r="105" customFormat="false" ht="13.5" hidden="false" customHeight="true" outlineLevel="0" collapsed="false">
      <c r="A105" s="47" t="s">
        <v>733</v>
      </c>
      <c r="B105" s="37" t="s">
        <v>1149</v>
      </c>
      <c r="C105" s="37"/>
      <c r="D105" s="37"/>
      <c r="E105" s="97" t="n">
        <v>3</v>
      </c>
      <c r="F105" s="97" t="n">
        <v>4</v>
      </c>
      <c r="G105" s="48" t="n">
        <f aca="false">$E105*$F105</f>
        <v>12</v>
      </c>
      <c r="H105" s="99" t="n">
        <v>3895831</v>
      </c>
      <c r="I105" s="49" t="n">
        <f aca="false">(($E105*2-1)/10)*$H105</f>
        <v>1947915.5</v>
      </c>
      <c r="J105" s="103" t="s">
        <v>1145</v>
      </c>
      <c r="K105" s="37" t="s">
        <v>1152</v>
      </c>
      <c r="L105" s="103" t="s">
        <v>1023</v>
      </c>
      <c r="M105" s="5"/>
      <c r="N105" s="5"/>
      <c r="O105" s="5"/>
      <c r="P105" s="5"/>
      <c r="Q105" s="5"/>
      <c r="R105" s="5"/>
      <c r="S105" s="5"/>
      <c r="T105" s="5"/>
    </row>
    <row r="106" customFormat="false" ht="13.5" hidden="false" customHeight="true" outlineLevel="0" collapsed="false">
      <c r="A106" s="42" t="s">
        <v>736</v>
      </c>
      <c r="B106" s="30" t="s">
        <v>1153</v>
      </c>
      <c r="C106" s="30"/>
      <c r="D106" s="30"/>
      <c r="E106" s="84" t="n">
        <v>2</v>
      </c>
      <c r="F106" s="84" t="n">
        <v>4</v>
      </c>
      <c r="G106" s="43" t="n">
        <f aca="false">$E106*$F106</f>
        <v>8</v>
      </c>
      <c r="H106" s="92" t="n">
        <v>2764783</v>
      </c>
      <c r="I106" s="31" t="n">
        <f aca="false">(($E106*2-1)/10)*$H106</f>
        <v>829434.9</v>
      </c>
      <c r="J106" s="93" t="s">
        <v>1145</v>
      </c>
      <c r="K106" s="30" t="s">
        <v>667</v>
      </c>
      <c r="L106" s="93" t="s">
        <v>1023</v>
      </c>
      <c r="M106" s="5"/>
      <c r="N106" s="5"/>
      <c r="O106" s="5"/>
      <c r="P106" s="5"/>
      <c r="Q106" s="5"/>
      <c r="R106" s="5"/>
      <c r="S106" s="5"/>
      <c r="T106" s="5"/>
    </row>
    <row r="107" customFormat="false" ht="13.5" hidden="false" customHeight="true" outlineLevel="0" collapsed="false">
      <c r="A107" s="47" t="s">
        <v>1167</v>
      </c>
      <c r="B107" s="37" t="s">
        <v>1157</v>
      </c>
      <c r="C107" s="37"/>
      <c r="D107" s="37"/>
      <c r="E107" s="97" t="n">
        <v>3</v>
      </c>
      <c r="F107" s="97" t="n">
        <v>3</v>
      </c>
      <c r="G107" s="48" t="n">
        <f aca="false">$E107*$F107</f>
        <v>9</v>
      </c>
      <c r="H107" s="99" t="n">
        <v>3141799</v>
      </c>
      <c r="I107" s="49" t="n">
        <f aca="false">(($E107*2-1)/10)*$H107</f>
        <v>1570899.5</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1226</v>
      </c>
      <c r="B110" s="30" t="s">
        <v>1199</v>
      </c>
      <c r="C110" s="30"/>
      <c r="D110" s="30"/>
      <c r="E110" s="93" t="s">
        <v>1097</v>
      </c>
      <c r="F110" s="92" t="n">
        <v>0</v>
      </c>
      <c r="G110" s="92" t="n">
        <v>21</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1227</v>
      </c>
      <c r="B111" s="37" t="s">
        <v>1204</v>
      </c>
      <c r="C111" s="37"/>
      <c r="D111" s="37"/>
      <c r="E111" s="103" t="s">
        <v>1570</v>
      </c>
      <c r="F111" s="99" t="n">
        <v>0</v>
      </c>
      <c r="G111" s="99" t="n">
        <v>0</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1228</v>
      </c>
      <c r="B112" s="30" t="s">
        <v>1190</v>
      </c>
      <c r="C112" s="30"/>
      <c r="D112" s="30"/>
      <c r="E112" s="93" t="s">
        <v>1570</v>
      </c>
      <c r="F112" s="92" t="n">
        <v>0</v>
      </c>
      <c r="G112" s="92" t="n">
        <v>18</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1229</v>
      </c>
      <c r="B113" s="37" t="s">
        <v>1195</v>
      </c>
      <c r="C113" s="37"/>
      <c r="D113" s="37"/>
      <c r="E113" s="103" t="s">
        <v>1571</v>
      </c>
      <c r="F113" s="99" t="n">
        <v>754032</v>
      </c>
      <c r="G113" s="99" t="n">
        <v>34</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1588</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1589</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t="s">
        <v>304</v>
      </c>
      <c r="E7" s="229"/>
      <c r="F7" s="229"/>
      <c r="G7" s="53" t="s">
        <v>5</v>
      </c>
      <c r="H7" s="53"/>
      <c r="I7" s="53"/>
      <c r="J7" s="229" t="s">
        <v>412</v>
      </c>
      <c r="K7" s="229"/>
      <c r="L7" s="229"/>
      <c r="M7" s="53" t="s">
        <v>258</v>
      </c>
      <c r="N7" s="53"/>
      <c r="O7" s="53"/>
      <c r="P7" s="229" t="s">
        <v>1485</v>
      </c>
      <c r="Q7" s="229"/>
      <c r="R7" s="229"/>
      <c r="S7" s="5"/>
      <c r="T7" s="230" t="n">
        <f aca="false">SUMIF($I$63:$I$65,"Approved",$F$63:$F$65)</f>
        <v>390165</v>
      </c>
    </row>
    <row r="8" customFormat="false" ht="15.75" hidden="false" customHeight="true" outlineLevel="0" collapsed="false">
      <c r="A8" s="53" t="s">
        <v>257</v>
      </c>
      <c r="B8" s="53"/>
      <c r="C8" s="53"/>
      <c r="D8" s="229" t="s">
        <v>1589</v>
      </c>
      <c r="E8" s="229"/>
      <c r="F8" s="229"/>
      <c r="G8" s="53" t="s">
        <v>1486</v>
      </c>
      <c r="H8" s="53"/>
      <c r="I8" s="53"/>
      <c r="J8" s="229" t="s">
        <v>526</v>
      </c>
      <c r="K8" s="229"/>
      <c r="L8" s="229"/>
      <c r="M8" s="53" t="s">
        <v>260</v>
      </c>
      <c r="N8" s="53"/>
      <c r="O8" s="53"/>
      <c r="P8" s="229" t="s">
        <v>294</v>
      </c>
      <c r="Q8" s="229"/>
      <c r="R8" s="229"/>
      <c r="S8" s="5"/>
      <c r="T8" s="230" t="n">
        <f aca="false">SUMIF($I$63:$I$65,"Approved",$G$63:$G$65)</f>
        <v>339101</v>
      </c>
    </row>
    <row r="9" customFormat="false" ht="15.75" hidden="false" customHeight="true" outlineLevel="0" collapsed="false">
      <c r="A9" s="53" t="s">
        <v>1487</v>
      </c>
      <c r="B9" s="53"/>
      <c r="C9" s="53"/>
      <c r="D9" s="229" t="s">
        <v>1488</v>
      </c>
      <c r="E9" s="229"/>
      <c r="F9" s="229"/>
      <c r="G9" s="53" t="s">
        <v>1489</v>
      </c>
      <c r="H9" s="53"/>
      <c r="I9" s="53"/>
      <c r="J9" s="229" t="s">
        <v>295</v>
      </c>
      <c r="K9" s="229"/>
      <c r="L9" s="229"/>
      <c r="M9" s="53" t="s">
        <v>10</v>
      </c>
      <c r="N9" s="53"/>
      <c r="O9" s="53"/>
      <c r="P9" s="163" t="n">
        <v>5</v>
      </c>
      <c r="Q9" s="163"/>
      <c r="R9" s="163"/>
      <c r="S9" s="5"/>
      <c r="T9" s="5"/>
    </row>
    <row r="10" customFormat="false" ht="15.75" hidden="false" customHeight="true" outlineLevel="0" collapsed="false">
      <c r="A10" s="53" t="s">
        <v>1490</v>
      </c>
      <c r="B10" s="53"/>
      <c r="C10" s="53"/>
      <c r="D10" s="231" t="n">
        <v>46143</v>
      </c>
      <c r="E10" s="231"/>
      <c r="F10" s="231"/>
      <c r="G10" s="53" t="s">
        <v>1491</v>
      </c>
      <c r="H10" s="53"/>
      <c r="I10" s="53"/>
      <c r="J10" s="231" t="n">
        <v>46599</v>
      </c>
      <c r="K10" s="231"/>
      <c r="L10" s="231"/>
      <c r="M10" s="53" t="s">
        <v>9</v>
      </c>
      <c r="N10" s="53"/>
      <c r="O10" s="53"/>
      <c r="P10" s="231" t="n">
        <v>46265</v>
      </c>
      <c r="Q10" s="231"/>
      <c r="R10" s="231"/>
      <c r="S10" s="5"/>
      <c r="T10" s="5"/>
    </row>
    <row r="11" customFormat="false" ht="15.75" hidden="false" customHeight="true" outlineLevel="0" collapsed="false">
      <c r="A11" s="53" t="s">
        <v>1492</v>
      </c>
      <c r="B11" s="53"/>
      <c r="C11" s="53"/>
      <c r="D11" s="163" t="n">
        <v>0</v>
      </c>
      <c r="E11" s="163"/>
      <c r="F11" s="163"/>
      <c r="G11" s="53" t="s">
        <v>1493</v>
      </c>
      <c r="H11" s="53"/>
      <c r="I11" s="53"/>
      <c r="J11" s="232" t="n">
        <f aca="false">$P$10+$D$11</f>
        <v>46265</v>
      </c>
      <c r="K11" s="232"/>
      <c r="L11" s="232"/>
      <c r="M11" s="53" t="s">
        <v>78</v>
      </c>
      <c r="N11" s="53"/>
      <c r="O11" s="53"/>
      <c r="P11" s="229" t="s">
        <v>297</v>
      </c>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68450000</v>
      </c>
      <c r="E14" s="163"/>
      <c r="F14" s="163"/>
      <c r="G14" s="53" t="s">
        <v>1496</v>
      </c>
      <c r="H14" s="53"/>
      <c r="I14" s="53"/>
      <c r="J14" s="233" t="n">
        <v>0.1</v>
      </c>
      <c r="K14" s="233"/>
      <c r="L14" s="233"/>
      <c r="M14" s="53" t="s">
        <v>1497</v>
      </c>
      <c r="N14" s="53"/>
      <c r="O14" s="53"/>
      <c r="P14" s="233" t="n">
        <v>0.05</v>
      </c>
      <c r="Q14" s="233"/>
      <c r="R14" s="233"/>
      <c r="S14" s="5"/>
      <c r="T14" s="5"/>
    </row>
    <row r="15" customFormat="false" ht="15.75" hidden="false" customHeight="true" outlineLevel="0" collapsed="false">
      <c r="A15" s="53" t="s">
        <v>1498</v>
      </c>
      <c r="B15" s="53"/>
      <c r="C15" s="53"/>
      <c r="D15" s="163" t="n">
        <v>58524750</v>
      </c>
      <c r="E15" s="163"/>
      <c r="F15" s="163"/>
      <c r="G15" s="53" t="s">
        <v>1499</v>
      </c>
      <c r="H15" s="53"/>
      <c r="I15" s="53"/>
      <c r="J15" s="117" t="n">
        <f aca="false">$T$7</f>
        <v>390165</v>
      </c>
      <c r="K15" s="117"/>
      <c r="L15" s="117"/>
      <c r="M15" s="53" t="s">
        <v>1500</v>
      </c>
      <c r="N15" s="53"/>
      <c r="O15" s="53"/>
      <c r="P15" s="117" t="n">
        <f aca="false">$T$8</f>
        <v>339101</v>
      </c>
      <c r="Q15" s="117"/>
      <c r="R15" s="117"/>
      <c r="S15" s="5"/>
      <c r="T15" s="5"/>
    </row>
    <row r="16" customFormat="false" ht="15.75" hidden="false" customHeight="true" outlineLevel="0" collapsed="false">
      <c r="A16" s="53" t="s">
        <v>1501</v>
      </c>
      <c r="B16" s="53"/>
      <c r="C16" s="53"/>
      <c r="D16" s="117" t="n">
        <f aca="false">$D$14+$J$15</f>
        <v>68840165</v>
      </c>
      <c r="E16" s="117"/>
      <c r="F16" s="117"/>
      <c r="G16" s="53" t="s">
        <v>1502</v>
      </c>
      <c r="H16" s="53"/>
      <c r="I16" s="53"/>
      <c r="J16" s="117" t="n">
        <f aca="false">$D$15+$R$15</f>
        <v>58524750</v>
      </c>
      <c r="K16" s="117"/>
      <c r="L16" s="117"/>
      <c r="M16" s="53" t="s">
        <v>1503</v>
      </c>
      <c r="N16" s="53"/>
      <c r="O16" s="53"/>
      <c r="P16" s="117" t="n">
        <f aca="false">$D$16-$J$16</f>
        <v>10315415</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9207945.0868</v>
      </c>
      <c r="E19" s="117"/>
      <c r="F19" s="117"/>
      <c r="G19" s="53" t="s">
        <v>1506</v>
      </c>
      <c r="H19" s="53"/>
      <c r="I19" s="53"/>
      <c r="J19" s="117" t="n">
        <f aca="false">$Q$41</f>
        <v>8615473.2268</v>
      </c>
      <c r="K19" s="117"/>
      <c r="L19" s="117"/>
      <c r="M19" s="53" t="s">
        <v>1507</v>
      </c>
      <c r="N19" s="53"/>
      <c r="O19" s="53"/>
      <c r="P19" s="117" t="n">
        <f aca="false">$R$41</f>
        <v>8900234</v>
      </c>
      <c r="Q19" s="117"/>
      <c r="R19" s="117"/>
      <c r="S19" s="5"/>
      <c r="T19" s="5"/>
    </row>
    <row r="20" customFormat="false" ht="15.75" hidden="false" customHeight="true" outlineLevel="0" collapsed="false">
      <c r="A20" s="53" t="s">
        <v>1508</v>
      </c>
      <c r="B20" s="53"/>
      <c r="C20" s="53"/>
      <c r="D20" s="117" t="n">
        <f aca="false">$S$41</f>
        <v>27561458</v>
      </c>
      <c r="E20" s="117"/>
      <c r="F20" s="117"/>
      <c r="G20" s="53" t="s">
        <v>1509</v>
      </c>
      <c r="H20" s="53"/>
      <c r="I20" s="53"/>
      <c r="J20" s="117" t="n">
        <f aca="false">$J$19-$D$19</f>
        <v>-592471.860000001</v>
      </c>
      <c r="K20" s="117"/>
      <c r="L20" s="117"/>
      <c r="M20" s="53" t="s">
        <v>1510</v>
      </c>
      <c r="N20" s="53"/>
      <c r="O20" s="53"/>
      <c r="P20" s="117" t="n">
        <f aca="false">$J$19-$P$19</f>
        <v>-284760.773200002</v>
      </c>
      <c r="Q20" s="117"/>
      <c r="R20" s="117"/>
      <c r="S20" s="5"/>
      <c r="T20" s="5"/>
    </row>
    <row r="21" customFormat="false" ht="15.75" hidden="false" customHeight="true" outlineLevel="0" collapsed="false">
      <c r="A21" s="53" t="s">
        <v>1511</v>
      </c>
      <c r="B21" s="53"/>
      <c r="C21" s="53"/>
      <c r="D21" s="120" t="n">
        <f aca="false">IF($D$19&lt;=0,1,$J$19/$D$19)</f>
        <v>0.935656451638777</v>
      </c>
      <c r="E21" s="120"/>
      <c r="F21" s="120"/>
      <c r="G21" s="53" t="s">
        <v>1512</v>
      </c>
      <c r="H21" s="53"/>
      <c r="I21" s="53"/>
      <c r="J21" s="120" t="n">
        <f aca="false">IF($P$19&lt;=0,1,$J$19/$P$19)</f>
        <v>0.968005248715932</v>
      </c>
      <c r="K21" s="120"/>
      <c r="L21" s="120"/>
      <c r="M21" s="53" t="s">
        <v>344</v>
      </c>
      <c r="N21" s="53"/>
      <c r="O21" s="53"/>
      <c r="P21" s="121" t="n">
        <f aca="false">IF($J$16=0,0,$J$19/$J$16)</f>
        <v>0.147210765134409</v>
      </c>
      <c r="Q21" s="121"/>
      <c r="R21" s="121"/>
      <c r="S21" s="5"/>
      <c r="T21" s="5"/>
    </row>
    <row r="22" customFormat="false" ht="15.75" hidden="false" customHeight="true" outlineLevel="0" collapsed="false">
      <c r="A22" s="53" t="s">
        <v>1513</v>
      </c>
      <c r="B22" s="53"/>
      <c r="C22" s="53"/>
      <c r="D22" s="117" t="n">
        <f aca="false">IF($J$21&lt;=0,$J$16,$J$16/$J$21)</f>
        <v>60459124.6562285</v>
      </c>
      <c r="E22" s="117"/>
      <c r="F22" s="117"/>
      <c r="G22" s="53" t="s">
        <v>1514</v>
      </c>
      <c r="H22" s="53"/>
      <c r="I22" s="53"/>
      <c r="J22" s="117" t="n">
        <f aca="false">$J$16-$D$22</f>
        <v>-1934374.65622847</v>
      </c>
      <c r="K22" s="117"/>
      <c r="L22" s="117"/>
      <c r="M22" s="53" t="s">
        <v>1515</v>
      </c>
      <c r="N22" s="53"/>
      <c r="O22" s="53"/>
      <c r="P22" s="117" t="n">
        <f aca="false">$D$22-$P$19</f>
        <v>51558890.6562285</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t="n">
        <v>46173</v>
      </c>
      <c r="E27" s="169" t="n">
        <v>46234</v>
      </c>
      <c r="F27" s="92" t="n">
        <v>2633614</v>
      </c>
      <c r="G27" s="184" t="n">
        <v>1</v>
      </c>
      <c r="H27" s="184" t="n">
        <v>1</v>
      </c>
      <c r="I27" s="31" t="n">
        <f aca="false">$F27*$G27</f>
        <v>2633614</v>
      </c>
      <c r="J27" s="31" t="n">
        <f aca="false">$F27*$H27</f>
        <v>2633614</v>
      </c>
      <c r="K27" s="92" t="n">
        <v>2637853</v>
      </c>
      <c r="L27" s="92" t="n">
        <v>2633614</v>
      </c>
      <c r="M27" s="152" t="n">
        <f aca="false">IF($I27&lt;=0,1,$J27/$I27)</f>
        <v>1</v>
      </c>
      <c r="N27" s="152" t="n">
        <f aca="false">IF($K27&lt;=0,1,$J27/$K27)</f>
        <v>0.998393011286072</v>
      </c>
      <c r="O27" s="93" t="s">
        <v>1579</v>
      </c>
      <c r="P27" s="46" t="str">
        <f aca="false">IF(AND($M27&gt;=0.95,$N27&gt;=0.95),"Green",IF(OR($M27&lt;0.85,$N27&lt;0.85),"Red","Amber"))</f>
        <v>Green</v>
      </c>
      <c r="Q27" s="31" t="n">
        <f aca="false">MAX(0,$E27-$D27)</f>
        <v>61</v>
      </c>
      <c r="R27" s="5"/>
      <c r="S27" s="5"/>
      <c r="T27" s="5"/>
    </row>
    <row r="28" customFormat="false" ht="13.5" hidden="false" customHeight="true" outlineLevel="0" collapsed="false">
      <c r="A28" s="47" t="s">
        <v>486</v>
      </c>
      <c r="B28" s="37" t="s">
        <v>487</v>
      </c>
      <c r="C28" s="37" t="s">
        <v>483</v>
      </c>
      <c r="D28" s="96" t="n">
        <v>46599</v>
      </c>
      <c r="E28" s="96" t="n">
        <v>46660</v>
      </c>
      <c r="F28" s="99" t="n">
        <v>4389356</v>
      </c>
      <c r="G28" s="102" t="n">
        <v>0.2667</v>
      </c>
      <c r="H28" s="102" t="n">
        <v>0.2571</v>
      </c>
      <c r="I28" s="49" t="n">
        <f aca="false">$F28*$G28</f>
        <v>1170641.2452</v>
      </c>
      <c r="J28" s="49" t="n">
        <f aca="false">$F28*$H28</f>
        <v>1128503.4276</v>
      </c>
      <c r="K28" s="99" t="n">
        <v>1175826</v>
      </c>
      <c r="L28" s="99" t="n">
        <v>3950420</v>
      </c>
      <c r="M28" s="157" t="n">
        <f aca="false">IF($I28&lt;=0,1,$J28/$I28)</f>
        <v>0.96400449943757</v>
      </c>
      <c r="N28" s="157" t="n">
        <f aca="false">IF($K28&lt;=0,1,$J28/$K28)</f>
        <v>0.959753762546499</v>
      </c>
      <c r="O28" s="103" t="s">
        <v>1520</v>
      </c>
      <c r="P28" s="52" t="str">
        <f aca="false">IF(AND($M28&gt;=0.95,$N28&gt;=0.95),"Green",IF(OR($M28&lt;0.85,$N28&lt;0.85),"Red","Amber"))</f>
        <v>Green</v>
      </c>
      <c r="Q28" s="49" t="n">
        <f aca="false">MAX(0,$E28-$D28)</f>
        <v>61</v>
      </c>
      <c r="R28" s="5"/>
      <c r="S28" s="5"/>
      <c r="T28" s="5"/>
    </row>
    <row r="29" customFormat="false" ht="13.5" hidden="false" customHeight="true" outlineLevel="0" collapsed="false">
      <c r="A29" s="42" t="s">
        <v>490</v>
      </c>
      <c r="B29" s="30" t="s">
        <v>491</v>
      </c>
      <c r="C29" s="30" t="s">
        <v>492</v>
      </c>
      <c r="D29" s="169" t="n">
        <v>46326</v>
      </c>
      <c r="E29" s="169" t="n">
        <v>46387</v>
      </c>
      <c r="F29" s="92" t="n">
        <v>3218861</v>
      </c>
      <c r="G29" s="184" t="n">
        <v>0.6373</v>
      </c>
      <c r="H29" s="184" t="n">
        <v>0.5406</v>
      </c>
      <c r="I29" s="31" t="n">
        <f aca="false">$F29*$G29</f>
        <v>2051380.1153</v>
      </c>
      <c r="J29" s="31" t="n">
        <f aca="false">$F29*$H29</f>
        <v>1740116.2566</v>
      </c>
      <c r="K29" s="92" t="n">
        <v>1909900</v>
      </c>
      <c r="L29" s="92" t="n">
        <v>2736032</v>
      </c>
      <c r="M29" s="152" t="n">
        <f aca="false">IF($I29&lt;=0,1,$J29/$I29)</f>
        <v>0.848266122705162</v>
      </c>
      <c r="N29" s="152" t="n">
        <f aca="false">IF($K29&lt;=0,1,$J29/$K29)</f>
        <v>0.911103333472957</v>
      </c>
      <c r="O29" s="93" t="s">
        <v>292</v>
      </c>
      <c r="P29" s="46" t="str">
        <f aca="false">IF(AND($M29&gt;=0.95,$N29&gt;=0.95),"Green",IF(OR($M29&lt;0.85,$N29&lt;0.85),"Red","Amber"))</f>
        <v>Red</v>
      </c>
      <c r="Q29" s="31" t="n">
        <f aca="false">MAX(0,$E29-$D29)</f>
        <v>61</v>
      </c>
      <c r="R29" s="5"/>
      <c r="S29" s="5"/>
      <c r="T29" s="5"/>
    </row>
    <row r="30" customFormat="false" ht="13.5" hidden="false" customHeight="true" outlineLevel="0" collapsed="false">
      <c r="A30" s="47" t="s">
        <v>495</v>
      </c>
      <c r="B30" s="37" t="s">
        <v>532</v>
      </c>
      <c r="C30" s="37" t="s">
        <v>497</v>
      </c>
      <c r="D30" s="96" t="n">
        <v>46418</v>
      </c>
      <c r="E30" s="96" t="n">
        <v>46477</v>
      </c>
      <c r="F30" s="99" t="n">
        <v>10827079</v>
      </c>
      <c r="G30" s="102" t="n">
        <v>0.2593</v>
      </c>
      <c r="H30" s="102" t="n">
        <v>0.2374</v>
      </c>
      <c r="I30" s="49" t="n">
        <f aca="false">$F30*$G30</f>
        <v>2807461.5847</v>
      </c>
      <c r="J30" s="49" t="n">
        <f aca="false">$F30*$H30</f>
        <v>2570348.5546</v>
      </c>
      <c r="K30" s="99" t="n">
        <v>2600026</v>
      </c>
      <c r="L30" s="99" t="n">
        <v>6712789</v>
      </c>
      <c r="M30" s="157" t="n">
        <f aca="false">IF($I30&lt;=0,1,$J30/$I30)</f>
        <v>0.915541843424605</v>
      </c>
      <c r="N30" s="157" t="n">
        <f aca="false">IF($K30&lt;=0,1,$J30/$K30)</f>
        <v>0.988585712065956</v>
      </c>
      <c r="O30" s="103" t="s">
        <v>1520</v>
      </c>
      <c r="P30" s="52" t="str">
        <f aca="false">IF(AND($M30&gt;=0.95,$N30&gt;=0.95),"Green",IF(OR($M30&lt;0.85,$N30&lt;0.85),"Red","Amber"))</f>
        <v>Amber</v>
      </c>
      <c r="Q30" s="49" t="n">
        <f aca="false">MAX(0,$E30-$D30)</f>
        <v>59</v>
      </c>
      <c r="R30" s="5"/>
      <c r="S30" s="5"/>
      <c r="T30" s="5"/>
    </row>
    <row r="31" customFormat="false" ht="13.5" hidden="false" customHeight="true" outlineLevel="0" collapsed="false">
      <c r="A31" s="42" t="s">
        <v>498</v>
      </c>
      <c r="B31" s="30" t="s">
        <v>533</v>
      </c>
      <c r="C31" s="30" t="s">
        <v>500</v>
      </c>
      <c r="D31" s="169" t="n">
        <v>46507</v>
      </c>
      <c r="E31" s="169" t="n">
        <v>46568</v>
      </c>
      <c r="F31" s="92" t="n">
        <v>14338564</v>
      </c>
      <c r="G31" s="184" t="n">
        <v>0.0343</v>
      </c>
      <c r="H31" s="184" t="n">
        <v>0.0344</v>
      </c>
      <c r="I31" s="31" t="n">
        <f aca="false">$F31*$G31</f>
        <v>491812.7452</v>
      </c>
      <c r="J31" s="31" t="n">
        <f aca="false">$F31*$H31</f>
        <v>493246.6016</v>
      </c>
      <c r="K31" s="92" t="n">
        <v>524310</v>
      </c>
      <c r="L31" s="92" t="n">
        <v>6452354</v>
      </c>
      <c r="M31" s="152" t="n">
        <f aca="false">IF($I31&lt;=0,1,$J31/$I31)</f>
        <v>1.00291545189504</v>
      </c>
      <c r="N31" s="152" t="n">
        <f aca="false">IF($K31&lt;=0,1,$J31/$K31)</f>
        <v>0.940753755602602</v>
      </c>
      <c r="O31" s="93" t="s">
        <v>1520</v>
      </c>
      <c r="P31" s="46" t="str">
        <f aca="false">IF(AND($M31&gt;=0.95,$N31&gt;=0.95),"Green",IF(OR($M31&lt;0.85,$N31&lt;0.85),"Red","Amber"))</f>
        <v>Amber</v>
      </c>
      <c r="Q31" s="31" t="n">
        <f aca="false">MAX(0,$E31-$D31)</f>
        <v>61</v>
      </c>
      <c r="R31" s="5"/>
      <c r="S31" s="5"/>
      <c r="T31" s="5"/>
    </row>
    <row r="32" customFormat="false" ht="13.5" hidden="false" customHeight="true" outlineLevel="0" collapsed="false">
      <c r="A32" s="47" t="s">
        <v>501</v>
      </c>
      <c r="B32" s="37" t="s">
        <v>534</v>
      </c>
      <c r="C32" s="37" t="s">
        <v>503</v>
      </c>
      <c r="D32" s="96" t="n">
        <v>46538</v>
      </c>
      <c r="E32" s="96" t="n">
        <v>46599</v>
      </c>
      <c r="F32" s="99" t="n">
        <v>10827079</v>
      </c>
      <c r="G32" s="102" t="n">
        <v>0</v>
      </c>
      <c r="H32" s="102" t="n">
        <v>0</v>
      </c>
      <c r="I32" s="49" t="n">
        <f aca="false">$F32*$G32</f>
        <v>0</v>
      </c>
      <c r="J32" s="49" t="n">
        <f aca="false">$F32*$H32</f>
        <v>0</v>
      </c>
      <c r="K32" s="99" t="n">
        <v>0</v>
      </c>
      <c r="L32" s="99" t="n">
        <v>3248124</v>
      </c>
      <c r="M32" s="157" t="n">
        <f aca="false">IF($I32&lt;=0,1,$J32/$I32)</f>
        <v>1</v>
      </c>
      <c r="N32" s="157" t="n">
        <f aca="false">IF($K32&lt;=0,1,$J32/$K32)</f>
        <v>1</v>
      </c>
      <c r="O32" s="103" t="s">
        <v>1521</v>
      </c>
      <c r="P32" s="52" t="str">
        <f aca="false">IF(AND($M32&gt;=0.95,$N32&gt;=0.95),"Green",IF(OR($M32&lt;0.85,$N32&lt;0.85),"Red","Amber"))</f>
        <v>Green</v>
      </c>
      <c r="Q32" s="49" t="n">
        <f aca="false">MAX(0,$E32-$D32)</f>
        <v>61</v>
      </c>
      <c r="R32" s="5"/>
      <c r="S32" s="5"/>
      <c r="T32" s="5"/>
    </row>
    <row r="33" customFormat="false" ht="13.5" hidden="false" customHeight="true" outlineLevel="0" collapsed="false">
      <c r="A33" s="42" t="s">
        <v>506</v>
      </c>
      <c r="B33" s="30" t="s">
        <v>537</v>
      </c>
      <c r="C33" s="30" t="s">
        <v>508</v>
      </c>
      <c r="D33" s="169" t="n">
        <v>46568</v>
      </c>
      <c r="E33" s="169" t="n">
        <v>46630</v>
      </c>
      <c r="F33" s="92" t="n">
        <v>7900841</v>
      </c>
      <c r="G33" s="184" t="n">
        <v>0</v>
      </c>
      <c r="H33" s="184" t="n">
        <v>0</v>
      </c>
      <c r="I33" s="31" t="n">
        <f aca="false">$F33*$G33</f>
        <v>0</v>
      </c>
      <c r="J33" s="31" t="n">
        <f aca="false">$F33*$H33</f>
        <v>0</v>
      </c>
      <c r="K33" s="92" t="n">
        <v>0</v>
      </c>
      <c r="L33" s="92" t="n">
        <v>1422151</v>
      </c>
      <c r="M33" s="152" t="n">
        <f aca="false">IF($I33&lt;=0,1,$J33/$I33)</f>
        <v>1</v>
      </c>
      <c r="N33" s="152" t="n">
        <f aca="false">IF($K33&lt;=0,1,$J33/$K33)</f>
        <v>1</v>
      </c>
      <c r="O33" s="93" t="s">
        <v>1521</v>
      </c>
      <c r="P33" s="46" t="str">
        <f aca="false">IF(AND($M33&gt;=0.95,$N33&gt;=0.95),"Green",IF(OR($M33&lt;0.85,$N33&lt;0.85),"Red","Amber"))</f>
        <v>Green</v>
      </c>
      <c r="Q33" s="31" t="n">
        <f aca="false">MAX(0,$E33-$D33)</f>
        <v>62</v>
      </c>
      <c r="R33" s="5"/>
      <c r="S33" s="5"/>
      <c r="T33" s="5"/>
    </row>
    <row r="34" customFormat="false" ht="13.5" hidden="false" customHeight="true" outlineLevel="0" collapsed="false">
      <c r="A34" s="47" t="s">
        <v>511</v>
      </c>
      <c r="B34" s="37" t="s">
        <v>512</v>
      </c>
      <c r="C34" s="37" t="s">
        <v>513</v>
      </c>
      <c r="D34" s="96" t="n">
        <v>46599</v>
      </c>
      <c r="E34" s="96" t="n">
        <v>46660</v>
      </c>
      <c r="F34" s="99" t="n">
        <v>4389356</v>
      </c>
      <c r="G34" s="102" t="n">
        <v>0</v>
      </c>
      <c r="H34" s="102" t="n">
        <v>0</v>
      </c>
      <c r="I34" s="49" t="n">
        <f aca="false">$F34*$G34</f>
        <v>0</v>
      </c>
      <c r="J34" s="49" t="n">
        <f aca="false">$F34*$H34</f>
        <v>0</v>
      </c>
      <c r="K34" s="99" t="n">
        <v>0</v>
      </c>
      <c r="L34" s="99" t="n">
        <v>219468</v>
      </c>
      <c r="M34" s="157" t="n">
        <f aca="false">IF($I34&lt;=0,1,$J34/$I34)</f>
        <v>1</v>
      </c>
      <c r="N34" s="157" t="n">
        <f aca="false">IF($K34&lt;=0,1,$J34/$K34)</f>
        <v>1</v>
      </c>
      <c r="O34" s="103" t="s">
        <v>1521</v>
      </c>
      <c r="P34" s="52" t="str">
        <f aca="false">IF(AND($M34&gt;=0.95,$N34&gt;=0.95),"Green",IF(OR($M34&lt;0.85,$N34&lt;0.85),"Red","Amber"))</f>
        <v>Green</v>
      </c>
      <c r="Q34" s="49" t="n">
        <f aca="false">MAX(0,$E34-$D34)</f>
        <v>61</v>
      </c>
      <c r="R34" s="5"/>
      <c r="S34" s="5"/>
      <c r="T34" s="5"/>
    </row>
    <row r="35" customFormat="false" ht="13.5" hidden="false" customHeight="true" outlineLevel="0" collapsed="false">
      <c r="A35" s="42" t="s">
        <v>516</v>
      </c>
      <c r="B35" s="30" t="s">
        <v>517</v>
      </c>
      <c r="C35" s="30" t="s">
        <v>518</v>
      </c>
      <c r="D35" s="169" t="n">
        <v>46568</v>
      </c>
      <c r="E35" s="169" t="n">
        <v>46599</v>
      </c>
      <c r="F35" s="158" t="n">
        <f aca="false">$T$8</f>
        <v>339101</v>
      </c>
      <c r="G35" s="184" t="n">
        <v>0.1564</v>
      </c>
      <c r="H35" s="184" t="n">
        <v>0.1464</v>
      </c>
      <c r="I35" s="31" t="n">
        <f aca="false">$F35*$G35</f>
        <v>53035.3964</v>
      </c>
      <c r="J35" s="31" t="n">
        <f aca="false">$F35*$H35</f>
        <v>49644.3864</v>
      </c>
      <c r="K35" s="92" t="n">
        <v>52319</v>
      </c>
      <c r="L35" s="92" t="n">
        <v>186506</v>
      </c>
      <c r="M35" s="152" t="n">
        <f aca="false">IF($I35&lt;=0,1,$J35/$I35)</f>
        <v>0.936061381074169</v>
      </c>
      <c r="N35" s="152" t="n">
        <f aca="false">IF($K35&lt;=0,1,$J35/$K35)</f>
        <v>0.948878732391674</v>
      </c>
      <c r="O35" s="93" t="s">
        <v>1520</v>
      </c>
      <c r="P35" s="46" t="str">
        <f aca="false">IF(AND($M35&gt;=0.95,$N35&gt;=0.95),"Green",IF(OR($M35&lt;0.85,$N35&lt;0.85),"Red","Amber"))</f>
        <v>Amber</v>
      </c>
      <c r="Q35" s="31" t="n">
        <f aca="false">MAX(0,$E35-$D35)</f>
        <v>31</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58863851</v>
      </c>
      <c r="G41" s="104" t="n">
        <f aca="false">IF($F41=0,0,$I41/$F41)</f>
        <v>0.156427840353157</v>
      </c>
      <c r="H41" s="104" t="n">
        <f aca="false">IF($F41=0,0,$J41/$F41)</f>
        <v>0.146362718042352</v>
      </c>
      <c r="I41" s="28" t="n">
        <f aca="false">SUM($I$27:$I$35)</f>
        <v>9207945.0868</v>
      </c>
      <c r="J41" s="28" t="n">
        <f aca="false">SUM($J$27:$J$35)</f>
        <v>8615473.2268</v>
      </c>
      <c r="K41" s="28" t="n">
        <f aca="false">SUM($K$27:$K$35)</f>
        <v>8900234</v>
      </c>
      <c r="L41" s="28" t="n">
        <f aca="false">SUM($L$27:$L$35)</f>
        <v>27561458</v>
      </c>
      <c r="M41" s="29" t="n">
        <f aca="false">IF($I41&lt;=0,1,$J41/$I41)</f>
        <v>0.935656451638777</v>
      </c>
      <c r="N41" s="29" t="n">
        <f aca="false">IF($K41&lt;=0,1,$J41/$K41)</f>
        <v>0.968005248715932</v>
      </c>
      <c r="O41" s="105"/>
      <c r="P41" s="234" t="n">
        <f aca="false">$I41</f>
        <v>9207945.0868</v>
      </c>
      <c r="Q41" s="234" t="n">
        <f aca="false">$J41</f>
        <v>8615473.2268</v>
      </c>
      <c r="R41" s="147" t="n">
        <f aca="false">$K41</f>
        <v>8900234</v>
      </c>
      <c r="S41" s="147" t="n">
        <f aca="false">$L41</f>
        <v>27561458</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4096733</v>
      </c>
      <c r="F47" s="92" t="n">
        <v>0</v>
      </c>
      <c r="G47" s="92" t="n">
        <v>865745</v>
      </c>
      <c r="H47" s="92" t="n">
        <v>2053121</v>
      </c>
      <c r="I47" s="31" t="n">
        <f aca="false">($E47+$F47)*1.012</f>
        <v>4145893.796</v>
      </c>
      <c r="J47" s="87" t="n">
        <f aca="false">IF(($E47+$F47)=0,0,(($E47+$F47)-$I47)/($E47+$F47))</f>
        <v>-0.012</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3628534</v>
      </c>
      <c r="F48" s="99" t="n">
        <v>0</v>
      </c>
      <c r="G48" s="99" t="n">
        <v>735883</v>
      </c>
      <c r="H48" s="99" t="n">
        <v>1642497</v>
      </c>
      <c r="I48" s="49" t="n">
        <f aca="false">($E48+$F48)*1.012</f>
        <v>3672076.408</v>
      </c>
      <c r="J48" s="100" t="n">
        <f aca="false">IF(($E48+$F48)=0,0,(($E48+$F48)-$I48)/($E48+$F48))</f>
        <v>-0.012</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2926238</v>
      </c>
      <c r="F49" s="92" t="n">
        <v>0</v>
      </c>
      <c r="G49" s="92" t="n">
        <v>190464</v>
      </c>
      <c r="H49" s="92" t="n">
        <v>1231873</v>
      </c>
      <c r="I49" s="31" t="n">
        <f aca="false">($E49+$F49)*1.012</f>
        <v>2961352.856</v>
      </c>
      <c r="J49" s="87" t="n">
        <f aca="false">IF(($E49+$F49)=0,0,(($E49+$F49)-$I49)/($E49+$F49))</f>
        <v>-0.012</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4389356</v>
      </c>
      <c r="F50" s="99" t="n">
        <v>0</v>
      </c>
      <c r="G50" s="99" t="n">
        <v>536762</v>
      </c>
      <c r="H50" s="99" t="n">
        <v>1505622</v>
      </c>
      <c r="I50" s="49" t="n">
        <f aca="false">($E50+$F50)*1.012</f>
        <v>4442028.272</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24580395</v>
      </c>
      <c r="F51" s="92" t="n">
        <v>0</v>
      </c>
      <c r="G51" s="92" t="n">
        <v>4501875</v>
      </c>
      <c r="H51" s="92" t="n">
        <v>12866228</v>
      </c>
      <c r="I51" s="31" t="n">
        <f aca="false">($E51+$F51)*1.012</f>
        <v>24875359.74</v>
      </c>
      <c r="J51" s="87" t="n">
        <f aca="false">IF(($E51+$F51)=0,0,(($E51+$F51)-$I51)/($E51+$F51))</f>
        <v>-0.0120000000000001</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11704950</v>
      </c>
      <c r="F52" s="99" t="n">
        <v>0</v>
      </c>
      <c r="G52" s="99" t="n">
        <v>1298618</v>
      </c>
      <c r="H52" s="99" t="n">
        <v>5885615</v>
      </c>
      <c r="I52" s="49" t="n">
        <f aca="false">($E52+$F52)*1.012</f>
        <v>11845409.4</v>
      </c>
      <c r="J52" s="100" t="n">
        <f aca="false">IF(($E52+$F52)=0,0,(($E52+$F52)-$I52)/($E52+$F52))</f>
        <v>-0.012</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2633614</v>
      </c>
      <c r="F53" s="92" t="n">
        <v>0</v>
      </c>
      <c r="G53" s="92" t="n">
        <v>328983</v>
      </c>
      <c r="H53" s="92" t="n">
        <v>1094998</v>
      </c>
      <c r="I53" s="31" t="n">
        <f aca="false">($E53+$F53)*1.012</f>
        <v>2665217.368</v>
      </c>
      <c r="J53" s="87" t="n">
        <f aca="false">IF(($E53+$F53)=0,0,(($E53+$F53)-$I53)/($E53+$F53))</f>
        <v>-0.0120000000000001</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1287544</v>
      </c>
      <c r="F54" s="99" t="n">
        <v>0</v>
      </c>
      <c r="G54" s="99" t="n">
        <v>190464</v>
      </c>
      <c r="H54" s="99" t="n">
        <v>547499</v>
      </c>
      <c r="I54" s="49" t="n">
        <f aca="false">($E54+$F54)*1.012</f>
        <v>1302994.528</v>
      </c>
      <c r="J54" s="100" t="n">
        <f aca="false">IF(($E54+$F54)=0,0,(($E54+$F54)-$I54)/($E54+$F54))</f>
        <v>-0.0119999999999999</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1521644</v>
      </c>
      <c r="F55" s="92" t="n">
        <v>0</v>
      </c>
      <c r="G55" s="92" t="n">
        <v>199121</v>
      </c>
      <c r="H55" s="92" t="n">
        <v>547499</v>
      </c>
      <c r="I55" s="31" t="n">
        <f aca="false">($E55+$F55)*1.012</f>
        <v>1539903.728</v>
      </c>
      <c r="J55" s="87" t="n">
        <f aca="false">IF(($E55+$F55)=0,0,(($E55+$F55)-$I55)/($E55+$F55))</f>
        <v>-0.0120000000000001</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1755742</v>
      </c>
      <c r="F56" s="99" t="n">
        <v>0</v>
      </c>
      <c r="G56" s="99" t="n">
        <v>0</v>
      </c>
      <c r="H56" s="99" t="n">
        <v>0</v>
      </c>
      <c r="I56" s="49" t="n">
        <f aca="false">($E56+$F56)*1.012</f>
        <v>1776810.904</v>
      </c>
      <c r="J56" s="100" t="n">
        <f aca="false">IF(($E56+$F56)=0,0,(($E56+$F56)-$I56)/($E56+$F56))</f>
        <v>-0.0120000000000001</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339101</v>
      </c>
      <c r="G57" s="92" t="n">
        <v>52319</v>
      </c>
      <c r="H57" s="92" t="n">
        <v>186506</v>
      </c>
      <c r="I57" s="31" t="n">
        <f aca="false">($E57+$F57)*1.012</f>
        <v>343170.212</v>
      </c>
      <c r="J57" s="87" t="n">
        <f aca="false">IF(($E57+$F57)=0,0,(($E57+$F57)-$I57)/($E57+$F57))</f>
        <v>-0.012</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58524750</v>
      </c>
      <c r="F58" s="28" t="n">
        <f aca="false">SUM($F$47:$F$57)</f>
        <v>339101</v>
      </c>
      <c r="G58" s="28" t="n">
        <f aca="false">SUM($G$47:$G$57)</f>
        <v>8900234</v>
      </c>
      <c r="H58" s="28" t="n">
        <f aca="false">SUM($H$47:$H$57)</f>
        <v>27561458</v>
      </c>
      <c r="I58" s="28" t="n">
        <f aca="false">SUM($I$47:$I$57)</f>
        <v>59570217.212</v>
      </c>
      <c r="J58" s="146" t="str">
        <f aca="false">IF($R$41=$G58,"Ties to WBS","CHECK: differs from WBS")</f>
        <v>Ties to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740</v>
      </c>
      <c r="B63" s="30" t="s">
        <v>785</v>
      </c>
      <c r="C63" s="30"/>
      <c r="D63" s="30"/>
      <c r="E63" s="45" t="s">
        <v>779</v>
      </c>
      <c r="F63" s="92" t="n">
        <v>602360</v>
      </c>
      <c r="G63" s="92" t="n">
        <v>530077</v>
      </c>
      <c r="H63" s="92" t="n">
        <v>0</v>
      </c>
      <c r="I63" s="93" t="s">
        <v>1536</v>
      </c>
      <c r="J63" s="45" t="s">
        <v>738</v>
      </c>
      <c r="K63" s="5"/>
      <c r="L63" s="5"/>
      <c r="M63" s="5"/>
      <c r="N63" s="5"/>
      <c r="O63" s="5"/>
      <c r="P63" s="5"/>
      <c r="Q63" s="5"/>
      <c r="R63" s="5"/>
      <c r="S63" s="5"/>
      <c r="T63" s="5"/>
    </row>
    <row r="64" customFormat="false" ht="13.5" hidden="false" customHeight="true" outlineLevel="0" collapsed="false">
      <c r="A64" s="47" t="s">
        <v>743</v>
      </c>
      <c r="B64" s="37" t="s">
        <v>786</v>
      </c>
      <c r="C64" s="37"/>
      <c r="D64" s="37"/>
      <c r="E64" s="51" t="s">
        <v>787</v>
      </c>
      <c r="F64" s="99" t="n">
        <v>-212195</v>
      </c>
      <c r="G64" s="99" t="n">
        <v>-190976</v>
      </c>
      <c r="H64" s="99" t="n">
        <v>0</v>
      </c>
      <c r="I64" s="103" t="s">
        <v>1536</v>
      </c>
      <c r="J64" s="51" t="s">
        <v>741</v>
      </c>
      <c r="K64" s="5"/>
      <c r="L64" s="5"/>
      <c r="M64" s="5"/>
      <c r="N64" s="5"/>
      <c r="O64" s="5"/>
      <c r="P64" s="5"/>
      <c r="Q64" s="5"/>
      <c r="R64" s="5"/>
      <c r="S64" s="5"/>
      <c r="T64" s="5"/>
    </row>
    <row r="65" customFormat="false" ht="13.5" hidden="false" customHeight="true" outlineLevel="0" collapsed="false">
      <c r="A65" s="42" t="s">
        <v>746</v>
      </c>
      <c r="B65" s="30" t="s">
        <v>788</v>
      </c>
      <c r="C65" s="30"/>
      <c r="D65" s="30"/>
      <c r="E65" s="45" t="s">
        <v>787</v>
      </c>
      <c r="F65" s="92" t="n">
        <v>971990</v>
      </c>
      <c r="G65" s="92" t="n">
        <v>806752</v>
      </c>
      <c r="H65" s="92" t="n">
        <v>0</v>
      </c>
      <c r="I65" s="93" t="s">
        <v>1576</v>
      </c>
      <c r="J65" s="45" t="s">
        <v>744</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738</v>
      </c>
      <c r="B68" s="30" t="s">
        <v>668</v>
      </c>
      <c r="C68" s="30"/>
      <c r="D68" s="30"/>
      <c r="E68" s="45" t="s">
        <v>95</v>
      </c>
      <c r="F68" s="92" t="n">
        <v>530077</v>
      </c>
      <c r="G68" s="92" t="n">
        <v>0</v>
      </c>
      <c r="H68" s="93" t="s">
        <v>1539</v>
      </c>
      <c r="I68" s="45" t="s">
        <v>740</v>
      </c>
      <c r="J68" s="5"/>
      <c r="K68" s="5"/>
      <c r="L68" s="5"/>
      <c r="M68" s="5"/>
      <c r="N68" s="5"/>
      <c r="O68" s="5"/>
      <c r="P68" s="5"/>
      <c r="Q68" s="5"/>
      <c r="R68" s="5"/>
      <c r="S68" s="5"/>
      <c r="T68" s="5"/>
    </row>
    <row r="69" customFormat="false" ht="13.5" hidden="false" customHeight="true" outlineLevel="0" collapsed="false">
      <c r="A69" s="47" t="s">
        <v>741</v>
      </c>
      <c r="B69" s="37" t="s">
        <v>675</v>
      </c>
      <c r="C69" s="37"/>
      <c r="D69" s="37"/>
      <c r="E69" s="51" t="s">
        <v>674</v>
      </c>
      <c r="F69" s="99" t="n">
        <v>-190976</v>
      </c>
      <c r="G69" s="99" t="n">
        <v>0</v>
      </c>
      <c r="H69" s="103" t="s">
        <v>1539</v>
      </c>
      <c r="I69" s="51" t="s">
        <v>743</v>
      </c>
      <c r="J69" s="5"/>
      <c r="K69" s="5"/>
      <c r="L69" s="5"/>
      <c r="M69" s="5"/>
      <c r="N69" s="5"/>
      <c r="O69" s="5"/>
      <c r="P69" s="5"/>
      <c r="Q69" s="5"/>
      <c r="R69" s="5"/>
      <c r="S69" s="5"/>
      <c r="T69" s="5"/>
    </row>
    <row r="70" customFormat="false" ht="13.5" hidden="false" customHeight="true" outlineLevel="0" collapsed="false">
      <c r="A70" s="42" t="s">
        <v>744</v>
      </c>
      <c r="B70" s="30" t="s">
        <v>681</v>
      </c>
      <c r="C70" s="30"/>
      <c r="D70" s="30"/>
      <c r="E70" s="45" t="s">
        <v>356</v>
      </c>
      <c r="F70" s="92" t="n">
        <v>806752</v>
      </c>
      <c r="G70" s="92" t="n">
        <v>0</v>
      </c>
      <c r="H70" s="93" t="s">
        <v>1023</v>
      </c>
      <c r="I70" s="45" t="s">
        <v>746</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856</v>
      </c>
      <c r="B75" s="30" t="s">
        <v>823</v>
      </c>
      <c r="C75" s="30"/>
      <c r="D75" s="30"/>
      <c r="E75" s="30" t="s">
        <v>824</v>
      </c>
      <c r="F75" s="92" t="n">
        <v>9925250</v>
      </c>
      <c r="G75" s="92" t="n">
        <v>9925250</v>
      </c>
      <c r="H75" s="169" t="n">
        <v>46207</v>
      </c>
      <c r="I75" s="169"/>
      <c r="J75" s="184" t="n">
        <v>0.055</v>
      </c>
      <c r="K75" s="93" t="s">
        <v>1520</v>
      </c>
      <c r="L75" s="5"/>
      <c r="M75" s="5"/>
      <c r="N75" s="5"/>
      <c r="O75" s="5"/>
      <c r="P75" s="5"/>
      <c r="Q75" s="5"/>
      <c r="R75" s="5"/>
      <c r="S75" s="5"/>
      <c r="T75" s="5"/>
    </row>
    <row r="76" customFormat="false" ht="13.5" hidden="false" customHeight="true" outlineLevel="0" collapsed="false">
      <c r="A76" s="47" t="s">
        <v>857</v>
      </c>
      <c r="B76" s="37" t="s">
        <v>826</v>
      </c>
      <c r="C76" s="37"/>
      <c r="D76" s="37"/>
      <c r="E76" s="37" t="s">
        <v>824</v>
      </c>
      <c r="F76" s="99" t="n">
        <v>5818250</v>
      </c>
      <c r="G76" s="99" t="n">
        <v>5818250</v>
      </c>
      <c r="H76" s="96" t="n">
        <v>46231</v>
      </c>
      <c r="I76" s="96"/>
      <c r="J76" s="102" t="n">
        <v>0.055</v>
      </c>
      <c r="K76" s="103" t="s">
        <v>1520</v>
      </c>
      <c r="L76" s="5"/>
      <c r="M76" s="5"/>
      <c r="N76" s="5"/>
      <c r="O76" s="5"/>
      <c r="P76" s="5"/>
      <c r="Q76" s="5"/>
      <c r="R76" s="5"/>
      <c r="S76" s="5"/>
      <c r="T76" s="5"/>
    </row>
    <row r="77" customFormat="false" ht="13.5" hidden="false" customHeight="true" outlineLevel="0" collapsed="false">
      <c r="A77" s="42" t="s">
        <v>858</v>
      </c>
      <c r="B77" s="30" t="s">
        <v>828</v>
      </c>
      <c r="C77" s="30"/>
      <c r="D77" s="30"/>
      <c r="E77" s="30" t="s">
        <v>829</v>
      </c>
      <c r="F77" s="92" t="n">
        <v>3559400</v>
      </c>
      <c r="G77" s="92" t="n">
        <v>0</v>
      </c>
      <c r="H77" s="169"/>
      <c r="I77" s="169" t="n">
        <v>46501</v>
      </c>
      <c r="J77" s="184" t="n">
        <v>0</v>
      </c>
      <c r="K77" s="93" t="s">
        <v>1544</v>
      </c>
      <c r="L77" s="5"/>
      <c r="M77" s="5"/>
      <c r="N77" s="5"/>
      <c r="O77" s="5"/>
      <c r="P77" s="5"/>
      <c r="Q77" s="5"/>
      <c r="R77" s="5"/>
      <c r="S77" s="5"/>
      <c r="T77" s="5"/>
    </row>
    <row r="78" customFormat="false" ht="13.5" hidden="false" customHeight="true" outlineLevel="0" collapsed="false">
      <c r="A78" s="47" t="s">
        <v>859</v>
      </c>
      <c r="B78" s="37" t="s">
        <v>831</v>
      </c>
      <c r="C78" s="37"/>
      <c r="D78" s="37"/>
      <c r="E78" s="37" t="s">
        <v>829</v>
      </c>
      <c r="F78" s="99" t="n">
        <v>4791500</v>
      </c>
      <c r="G78" s="99" t="n">
        <v>0</v>
      </c>
      <c r="H78" s="96"/>
      <c r="I78" s="96"/>
      <c r="J78" s="102" t="n">
        <v>0</v>
      </c>
      <c r="K78" s="103" t="s">
        <v>1544</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1</v>
      </c>
      <c r="F83" s="92" t="n">
        <v>1</v>
      </c>
      <c r="G83" s="87" t="n">
        <f aca="false">IF($E83=0,1,$F83/$E83)</f>
        <v>1</v>
      </c>
      <c r="H83" s="92" t="n">
        <v>903</v>
      </c>
      <c r="I83" s="92" t="n">
        <v>868</v>
      </c>
      <c r="J83" s="87" t="n">
        <f aca="false">IF($H83=0,0,$I83/$H83)</f>
        <v>0.961240310077519</v>
      </c>
      <c r="K83" s="46" t="str">
        <f aca="false">IF(AND($G83&gt;=0.95,$J83&gt;=0.85),"Green",IF(OR($G83&lt;0.8,$J83&lt;0.7),"Red","Amber"))</f>
        <v>Green</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1</v>
      </c>
      <c r="G84" s="100" t="n">
        <f aca="false">IF($E84=0,1,$F84/$E84)</f>
        <v>1</v>
      </c>
      <c r="H84" s="99" t="n">
        <v>421</v>
      </c>
      <c r="I84" s="99" t="n">
        <v>405</v>
      </c>
      <c r="J84" s="100" t="n">
        <f aca="false">IF($H84=0,0,$I84/$H84)</f>
        <v>0.961995249406176</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2</v>
      </c>
      <c r="F85" s="92" t="n">
        <v>2</v>
      </c>
      <c r="G85" s="87" t="n">
        <f aca="false">IF($E85=0,1,$F85/$E85)</f>
        <v>1</v>
      </c>
      <c r="H85" s="92" t="n">
        <v>1269</v>
      </c>
      <c r="I85" s="92" t="n">
        <v>1154</v>
      </c>
      <c r="J85" s="87" t="n">
        <f aca="false">IF($H85=0,0,$I85/$H85)</f>
        <v>0.909377462568952</v>
      </c>
      <c r="K85" s="46" t="str">
        <f aca="false">IF(AND($G85&gt;=0.95,$J85&gt;=0.85),"Green",IF(OR($G85&lt;0.8,$J85&lt;0.7),"Red","Amber"))</f>
        <v>Green</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6</v>
      </c>
      <c r="F86" s="99" t="n">
        <v>6</v>
      </c>
      <c r="G86" s="100" t="n">
        <f aca="false">IF($E86=0,1,$F86/$E86)</f>
        <v>1</v>
      </c>
      <c r="H86" s="99" t="n">
        <v>4283</v>
      </c>
      <c r="I86" s="99" t="n">
        <v>3894</v>
      </c>
      <c r="J86" s="100" t="n">
        <f aca="false">IF($H86=0,0,$I86/$H86)</f>
        <v>0.909175811347187</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22</v>
      </c>
      <c r="F87" s="92" t="n">
        <v>22</v>
      </c>
      <c r="G87" s="87" t="n">
        <f aca="false">IF($E87=0,1,$F87/$E87)</f>
        <v>1</v>
      </c>
      <c r="H87" s="92" t="n">
        <v>16815</v>
      </c>
      <c r="I87" s="92" t="n">
        <v>15286</v>
      </c>
      <c r="J87" s="87" t="n">
        <f aca="false">IF($H87=0,0,$I87/$H87)</f>
        <v>0.909069283377936</v>
      </c>
      <c r="K87" s="46" t="str">
        <f aca="false">IF(AND($G87&gt;=0.95,$J87&gt;=0.85),"Green",IF(OR($G87&lt;0.8,$J87&lt;0.7),"Red","Amber"))</f>
        <v>Green</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10</v>
      </c>
      <c r="F88" s="99" t="n">
        <v>10</v>
      </c>
      <c r="G88" s="100" t="n">
        <f aca="false">IF($E88=0,1,$F88/$E88)</f>
        <v>1</v>
      </c>
      <c r="H88" s="99" t="n">
        <v>7965</v>
      </c>
      <c r="I88" s="99" t="n">
        <v>7241</v>
      </c>
      <c r="J88" s="100" t="n">
        <f aca="false">IF($H88=0,0,$I88/$H88)</f>
        <v>0.909102322661645</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216</v>
      </c>
      <c r="E91" s="163"/>
      <c r="F91" s="163"/>
      <c r="G91" s="53" t="s">
        <v>1554</v>
      </c>
      <c r="H91" s="53"/>
      <c r="I91" s="53"/>
      <c r="J91" s="163" t="n">
        <v>144</v>
      </c>
      <c r="K91" s="163"/>
      <c r="L91" s="163"/>
      <c r="M91" s="53" t="s">
        <v>1555</v>
      </c>
      <c r="N91" s="53"/>
      <c r="O91" s="53"/>
      <c r="P91" s="163" t="n">
        <v>24</v>
      </c>
      <c r="Q91" s="163"/>
      <c r="R91" s="163"/>
      <c r="S91" s="5"/>
      <c r="T91" s="5"/>
    </row>
    <row r="92" customFormat="false" ht="15.75" hidden="false" customHeight="true" outlineLevel="0" collapsed="false">
      <c r="A92" s="53" t="s">
        <v>1556</v>
      </c>
      <c r="B92" s="53"/>
      <c r="C92" s="53"/>
      <c r="D92" s="163" t="n">
        <v>60</v>
      </c>
      <c r="E92" s="163"/>
      <c r="F92" s="163"/>
      <c r="G92" s="53" t="s">
        <v>1557</v>
      </c>
      <c r="H92" s="53"/>
      <c r="I92" s="53"/>
      <c r="J92" s="163" t="n">
        <v>46</v>
      </c>
      <c r="K92" s="163"/>
      <c r="L92" s="163"/>
      <c r="M92" s="53" t="s">
        <v>1558</v>
      </c>
      <c r="N92" s="53"/>
      <c r="O92" s="53"/>
      <c r="P92" s="121" t="n">
        <f aca="false">IF(($D$91+$D$92)=0,0,($J$91+$J$92)/($D$91+$D$92))</f>
        <v>0.688405797101449</v>
      </c>
      <c r="Q92" s="121"/>
      <c r="R92" s="121"/>
      <c r="S92" s="5"/>
      <c r="T92" s="5"/>
    </row>
    <row r="93" customFormat="false" ht="15.75" hidden="false" customHeight="true" outlineLevel="0" collapsed="false">
      <c r="A93" s="53" t="s">
        <v>1559</v>
      </c>
      <c r="B93" s="53"/>
      <c r="C93" s="53"/>
      <c r="D93" s="163" t="n">
        <v>31656</v>
      </c>
      <c r="E93" s="163"/>
      <c r="F93" s="163"/>
      <c r="G93" s="53" t="s">
        <v>1560</v>
      </c>
      <c r="H93" s="53"/>
      <c r="I93" s="53"/>
      <c r="J93" s="163" t="n">
        <v>0</v>
      </c>
      <c r="K93" s="163"/>
      <c r="L93" s="163"/>
      <c r="M93" s="53" t="s">
        <v>1561</v>
      </c>
      <c r="N93" s="53"/>
      <c r="O93" s="53"/>
      <c r="P93" s="233" t="n">
        <v>0.72</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81</v>
      </c>
      <c r="K94" s="163"/>
      <c r="L94" s="163"/>
      <c r="M94" s="53" t="s">
        <v>1564</v>
      </c>
      <c r="N94" s="53"/>
      <c r="O94" s="53"/>
      <c r="P94" s="163" t="n">
        <v>67</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1047</v>
      </c>
      <c r="B97" s="30" t="s">
        <v>1014</v>
      </c>
      <c r="C97" s="30"/>
      <c r="D97" s="30"/>
      <c r="E97" s="93" t="s">
        <v>1015</v>
      </c>
      <c r="F97" s="30" t="s">
        <v>1016</v>
      </c>
      <c r="G97" s="92" t="n">
        <v>97191</v>
      </c>
      <c r="H97" s="93" t="s">
        <v>1017</v>
      </c>
      <c r="I97" s="5"/>
      <c r="J97" s="5"/>
      <c r="K97" s="5"/>
      <c r="L97" s="5"/>
      <c r="M97" s="5"/>
      <c r="N97" s="5"/>
      <c r="O97" s="5"/>
      <c r="P97" s="5"/>
      <c r="Q97" s="5"/>
      <c r="R97" s="5"/>
      <c r="S97" s="5"/>
      <c r="T97" s="5"/>
    </row>
    <row r="98" customFormat="false" ht="13.5" hidden="false" customHeight="true" outlineLevel="0" collapsed="false">
      <c r="A98" s="47" t="s">
        <v>1048</v>
      </c>
      <c r="B98" s="37" t="s">
        <v>1020</v>
      </c>
      <c r="C98" s="37"/>
      <c r="D98" s="37"/>
      <c r="E98" s="103" t="s">
        <v>1021</v>
      </c>
      <c r="F98" s="37" t="s">
        <v>1022</v>
      </c>
      <c r="G98" s="99" t="n">
        <v>24298</v>
      </c>
      <c r="H98" s="103" t="s">
        <v>1023</v>
      </c>
      <c r="I98" s="5"/>
      <c r="J98" s="5"/>
      <c r="K98" s="5"/>
      <c r="L98" s="5"/>
      <c r="M98" s="5"/>
      <c r="N98" s="5"/>
      <c r="O98" s="5"/>
      <c r="P98" s="5"/>
      <c r="Q98" s="5"/>
      <c r="R98" s="5"/>
      <c r="S98" s="5"/>
      <c r="T98" s="5"/>
    </row>
    <row r="99" customFormat="false" ht="13.5" hidden="false" customHeight="true" outlineLevel="0" collapsed="false">
      <c r="A99" s="42" t="s">
        <v>1049</v>
      </c>
      <c r="B99" s="30" t="s">
        <v>1026</v>
      </c>
      <c r="C99" s="30"/>
      <c r="D99" s="30"/>
      <c r="E99" s="93" t="s">
        <v>1015</v>
      </c>
      <c r="F99" s="30" t="s">
        <v>1027</v>
      </c>
      <c r="G99" s="92" t="n">
        <v>65416</v>
      </c>
      <c r="H99" s="93" t="s">
        <v>1023</v>
      </c>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739</v>
      </c>
      <c r="B104" s="30" t="s">
        <v>1143</v>
      </c>
      <c r="C104" s="30"/>
      <c r="D104" s="30"/>
      <c r="E104" s="84" t="n">
        <v>4</v>
      </c>
      <c r="F104" s="84" t="n">
        <v>4</v>
      </c>
      <c r="G104" s="43" t="n">
        <f aca="false">$E104*$F104</f>
        <v>16</v>
      </c>
      <c r="H104" s="92" t="n">
        <v>2236826</v>
      </c>
      <c r="I104" s="31" t="n">
        <f aca="false">(($E104*2-1)/10)*$H104</f>
        <v>1565778.2</v>
      </c>
      <c r="J104" s="93" t="s">
        <v>1145</v>
      </c>
      <c r="K104" s="30" t="s">
        <v>1147</v>
      </c>
      <c r="L104" s="93" t="s">
        <v>1023</v>
      </c>
      <c r="M104" s="5"/>
      <c r="N104" s="5"/>
      <c r="O104" s="5"/>
      <c r="P104" s="5"/>
      <c r="Q104" s="5"/>
      <c r="R104" s="5"/>
      <c r="S104" s="5"/>
      <c r="T104" s="5"/>
    </row>
    <row r="105" customFormat="false" ht="13.5" hidden="false" customHeight="true" outlineLevel="0" collapsed="false">
      <c r="A105" s="47" t="s">
        <v>742</v>
      </c>
      <c r="B105" s="37" t="s">
        <v>1149</v>
      </c>
      <c r="C105" s="37"/>
      <c r="D105" s="37"/>
      <c r="E105" s="97" t="n">
        <v>4</v>
      </c>
      <c r="F105" s="97" t="n">
        <v>4</v>
      </c>
      <c r="G105" s="48" t="n">
        <f aca="false">$E105*$F105</f>
        <v>16</v>
      </c>
      <c r="H105" s="99" t="n">
        <v>1824779</v>
      </c>
      <c r="I105" s="49" t="n">
        <f aca="false">(($E105*2-1)/10)*$H105</f>
        <v>1277345.3</v>
      </c>
      <c r="J105" s="103" t="s">
        <v>1145</v>
      </c>
      <c r="K105" s="37" t="s">
        <v>1152</v>
      </c>
      <c r="L105" s="103" t="s">
        <v>1023</v>
      </c>
      <c r="M105" s="5"/>
      <c r="N105" s="5"/>
      <c r="O105" s="5"/>
      <c r="P105" s="5"/>
      <c r="Q105" s="5"/>
      <c r="R105" s="5"/>
      <c r="S105" s="5"/>
      <c r="T105" s="5"/>
    </row>
    <row r="106" customFormat="false" ht="13.5" hidden="false" customHeight="true" outlineLevel="0" collapsed="false">
      <c r="A106" s="42" t="s">
        <v>745</v>
      </c>
      <c r="B106" s="30" t="s">
        <v>1153</v>
      </c>
      <c r="C106" s="30"/>
      <c r="D106" s="30"/>
      <c r="E106" s="84" t="n">
        <v>3</v>
      </c>
      <c r="F106" s="84" t="n">
        <v>4</v>
      </c>
      <c r="G106" s="43" t="n">
        <f aca="false">$E106*$F106</f>
        <v>12</v>
      </c>
      <c r="H106" s="92" t="n">
        <v>1295005</v>
      </c>
      <c r="I106" s="31" t="n">
        <f aca="false">(($E106*2-1)/10)*$H106</f>
        <v>647502.5</v>
      </c>
      <c r="J106" s="93" t="s">
        <v>1145</v>
      </c>
      <c r="K106" s="30" t="s">
        <v>667</v>
      </c>
      <c r="L106" s="93" t="s">
        <v>1023</v>
      </c>
      <c r="M106" s="5"/>
      <c r="N106" s="5"/>
      <c r="O106" s="5"/>
      <c r="P106" s="5"/>
      <c r="Q106" s="5"/>
      <c r="R106" s="5"/>
      <c r="S106" s="5"/>
      <c r="T106" s="5"/>
    </row>
    <row r="107" customFormat="false" ht="13.5" hidden="false" customHeight="true" outlineLevel="0" collapsed="false">
      <c r="A107" s="47" t="s">
        <v>1168</v>
      </c>
      <c r="B107" s="37" t="s">
        <v>1157</v>
      </c>
      <c r="C107" s="37"/>
      <c r="D107" s="37"/>
      <c r="E107" s="97" t="n">
        <v>4</v>
      </c>
      <c r="F107" s="97" t="n">
        <v>3</v>
      </c>
      <c r="G107" s="48" t="n">
        <f aca="false">$E107*$F107</f>
        <v>12</v>
      </c>
      <c r="H107" s="99" t="n">
        <v>1471596</v>
      </c>
      <c r="I107" s="49" t="n">
        <f aca="false">(($E107*2-1)/10)*$H107</f>
        <v>1030117.2</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1230</v>
      </c>
      <c r="B110" s="30" t="s">
        <v>1204</v>
      </c>
      <c r="C110" s="30"/>
      <c r="D110" s="30"/>
      <c r="E110" s="93" t="s">
        <v>1570</v>
      </c>
      <c r="F110" s="92" t="n">
        <v>0</v>
      </c>
      <c r="G110" s="92" t="n">
        <v>0</v>
      </c>
      <c r="H110" s="30" t="s">
        <v>1192</v>
      </c>
      <c r="I110" s="93" t="s">
        <v>1023</v>
      </c>
      <c r="J110" s="5"/>
      <c r="K110" s="5"/>
      <c r="L110" s="5"/>
      <c r="M110" s="5"/>
      <c r="N110" s="5"/>
      <c r="O110" s="5"/>
      <c r="P110" s="5"/>
      <c r="Q110" s="5"/>
      <c r="R110" s="5"/>
      <c r="S110" s="5"/>
      <c r="T110" s="5"/>
    </row>
    <row r="111" customFormat="false" ht="13.5" hidden="false" customHeight="true" outlineLevel="0" collapsed="false">
      <c r="A111" s="47" t="s">
        <v>1231</v>
      </c>
      <c r="B111" s="37" t="s">
        <v>1190</v>
      </c>
      <c r="C111" s="37"/>
      <c r="D111" s="37"/>
      <c r="E111" s="103" t="s">
        <v>1570</v>
      </c>
      <c r="F111" s="99" t="n">
        <v>0</v>
      </c>
      <c r="G111" s="99" t="n">
        <v>18</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1232</v>
      </c>
      <c r="B112" s="30" t="s">
        <v>1195</v>
      </c>
      <c r="C112" s="30"/>
      <c r="D112" s="30"/>
      <c r="E112" s="93" t="s">
        <v>1571</v>
      </c>
      <c r="F112" s="92" t="n">
        <v>0</v>
      </c>
      <c r="G112" s="92" t="n">
        <v>34</v>
      </c>
      <c r="H112" s="30" t="s">
        <v>1201</v>
      </c>
      <c r="I112" s="93" t="s">
        <v>1202</v>
      </c>
      <c r="J112" s="5"/>
      <c r="K112" s="5"/>
      <c r="L112" s="5"/>
      <c r="M112" s="5"/>
      <c r="N112" s="5"/>
      <c r="O112" s="5"/>
      <c r="P112" s="5"/>
      <c r="Q112" s="5"/>
      <c r="R112" s="5"/>
      <c r="S112" s="5"/>
      <c r="T112" s="5"/>
    </row>
    <row r="113" customFormat="false" ht="13.5" hidden="false" customHeight="true" outlineLevel="0" collapsed="false">
      <c r="A113" s="47" t="s">
        <v>1233</v>
      </c>
      <c r="B113" s="37" t="s">
        <v>1199</v>
      </c>
      <c r="C113" s="37"/>
      <c r="D113" s="37"/>
      <c r="E113" s="103" t="s">
        <v>1097</v>
      </c>
      <c r="F113" s="99" t="n">
        <v>353183</v>
      </c>
      <c r="G113" s="99" t="n">
        <v>21</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conditionalFormatting sqref="P27:P35">
    <cfRule type="cellIs" priority="2" operator="equal" aboveAverage="0" equalAverage="0" bottom="0" percent="0" rank="0" text="" dxfId="0">
      <formula>"Green"</formula>
    </cfRule>
    <cfRule type="cellIs" priority="3" operator="equal" aboveAverage="0" equalAverage="0" bottom="0" percent="0" rank="0" text="" dxfId="1">
      <formula>"Amber"</formula>
    </cfRule>
    <cfRule type="cellIs" priority="4" operator="equal" aboveAverage="0" equalAverage="0" bottom="0" percent="0" rank="0" text="" dxfId="2">
      <formula>"Red"</formula>
    </cfRule>
  </conditionalFormatting>
  <conditionalFormatting sqref="O27:O35">
    <cfRule type="cellIs" priority="5" operator="equal" aboveAverage="0" equalAverage="0" bottom="0" percent="0" rank="0" text="" dxfId="0">
      <formula>"Complete"</formula>
    </cfRule>
    <cfRule type="cellIs" priority="6" operator="equal" aboveAverage="0" equalAverage="0" bottom="0" percent="0" rank="0" text="" dxfId="1">
      <formula>"In Progress"</formula>
    </cfRule>
    <cfRule type="cellIs" priority="7" operator="equal" aboveAverage="0" equalAverage="0" bottom="0" percent="0" rank="0" text="" dxfId="1">
      <formula>"On Hold"</formula>
    </cfRule>
    <cfRule type="cellIs" priority="8" operator="equal" aboveAverage="0" equalAverage="0" bottom="0" percent="0" rank="0" text="" dxfId="2">
      <formula>"At Risk"</formula>
    </cfRule>
  </conditionalFormatting>
  <conditionalFormatting sqref="K47:K57">
    <cfRule type="cellIs" priority="9" operator="equal" aboveAverage="0" equalAverage="0" bottom="0" percent="0" rank="0" text="" dxfId="0">
      <formula>"Green"</formula>
    </cfRule>
    <cfRule type="cellIs" priority="10" operator="equal" aboveAverage="0" equalAverage="0" bottom="0" percent="0" rank="0" text="" dxfId="1">
      <formula>"Amber"</formula>
    </cfRule>
    <cfRule type="cellIs" priority="11" operator="equal" aboveAverage="0" equalAverage="0" bottom="0" percent="0" rank="0" text="" dxfId="2">
      <formula>"Red"</formula>
    </cfRule>
  </conditionalFormatting>
  <conditionalFormatting sqref="I63:I65">
    <cfRule type="cellIs" priority="12" operator="equal" aboveAverage="0" equalAverage="0" bottom="0" percent="0" rank="0" text="" dxfId="0">
      <formula>"Approved"</formula>
    </cfRule>
    <cfRule type="cellIs" priority="13" operator="equal" aboveAverage="0" equalAverage="0" bottom="0" percent="0" rank="0" text="" dxfId="1">
      <formula>"Submitted"</formula>
    </cfRule>
    <cfRule type="cellIs" priority="14" operator="equal" aboveAverage="0" equalAverage="0" bottom="0" percent="0" rank="0" text="" dxfId="1">
      <formula>"Under Review"</formula>
    </cfRule>
    <cfRule type="cellIs" priority="15" operator="equal" aboveAverage="0" equalAverage="0" bottom="0" percent="0" rank="0" text="" dxfId="1">
      <formula>"Draft"</formula>
    </cfRule>
    <cfRule type="cellIs" priority="16" operator="equal" aboveAverage="0" equalAverage="0" bottom="0" percent="0" rank="0" text="" dxfId="2">
      <formula>"Rejected"</formula>
    </cfRule>
    <cfRule type="cellIs" priority="17" operator="equal" aboveAverage="0" equalAverage="0" bottom="0" percent="0" rank="0" text="" dxfId="2">
      <formula>"Withdrawn"</formula>
    </cfRule>
  </conditionalFormatting>
  <conditionalFormatting sqref="H68:H70">
    <cfRule type="cellIs" priority="18" operator="equal" aboveAverage="0" equalAverage="0" bottom="0" percent="0" rank="0" text="" dxfId="0">
      <formula>"Implemented"</formula>
    </cfRule>
    <cfRule type="cellIs" priority="19" operator="equal" aboveAverage="0" equalAverage="0" bottom="0" percent="0" rank="0" text="" dxfId="0">
      <formula>"Closed"</formula>
    </cfRule>
    <cfRule type="cellIs" priority="20" operator="equal" aboveAverage="0" equalAverage="0" bottom="0" percent="0" rank="0" text="" dxfId="0">
      <formula>"Approved"</formula>
    </cfRule>
    <cfRule type="cellIs" priority="21" operator="equal" aboveAverage="0" equalAverage="0" bottom="0" percent="0" rank="0" text="" dxfId="1">
      <formula>"Under Assessment"</formula>
    </cfRule>
    <cfRule type="cellIs" priority="22" operator="equal" aboveAverage="0" equalAverage="0" bottom="0" percent="0" rank="0" text="" dxfId="2">
      <formula>"Open"</formula>
    </cfRule>
    <cfRule type="cellIs" priority="23" operator="equal" aboveAverage="0" equalAverage="0" bottom="0" percent="0" rank="0" text="" dxfId="2">
      <formula>"Rejected"</formula>
    </cfRule>
  </conditionalFormatting>
  <conditionalFormatting sqref="K83:K88">
    <cfRule type="cellIs" priority="24" operator="equal" aboveAverage="0" equalAverage="0" bottom="0" percent="0" rank="0" text="" dxfId="0">
      <formula>"Green"</formula>
    </cfRule>
    <cfRule type="cellIs" priority="25" operator="equal" aboveAverage="0" equalAverage="0" bottom="0" percent="0" rank="0" text="" dxfId="1">
      <formula>"Amber"</formula>
    </cfRule>
    <cfRule type="cellIs" priority="26" operator="equal" aboveAverage="0" equalAverage="0" bottom="0" percent="0" rank="0" text="" dxfId="2">
      <formula>"Red"</formula>
    </cfRule>
  </conditionalFormatting>
  <conditionalFormatting sqref="E97:E99">
    <cfRule type="cellIs" priority="27" operator="equal" aboveAverage="0" equalAverage="0" bottom="0" percent="0" rank="0" text="" dxfId="0">
      <formula>"Minor"</formula>
    </cfRule>
    <cfRule type="cellIs" priority="28" operator="equal" aboveAverage="0" equalAverage="0" bottom="0" percent="0" rank="0" text="" dxfId="1">
      <formula>"Major"</formula>
    </cfRule>
    <cfRule type="cellIs" priority="29" operator="equal" aboveAverage="0" equalAverage="0" bottom="0" percent="0" rank="0" text="" dxfId="2">
      <formula>"Critical"</formula>
    </cfRule>
  </conditionalFormatting>
  <conditionalFormatting sqref="H97:H99">
    <cfRule type="cellIs" priority="30" operator="equal" aboveAverage="0" equalAverage="0" bottom="0" percent="0" rank="0" text="" dxfId="0">
      <formula>"Closed"</formula>
    </cfRule>
    <cfRule type="cellIs" priority="31" operator="equal" aboveAverage="0" equalAverage="0" bottom="0" percent="0" rank="0" text="" dxfId="0">
      <formula>"Void"</formula>
    </cfRule>
    <cfRule type="cellIs" priority="32" operator="equal" aboveAverage="0" equalAverage="0" bottom="0" percent="0" rank="0" text="" dxfId="1">
      <formula>"Under Action"</formula>
    </cfRule>
    <cfRule type="cellIs" priority="33" operator="equal" aboveAverage="0" equalAverage="0" bottom="0" percent="0" rank="0" text="" dxfId="2">
      <formula>"Open"</formula>
    </cfRule>
  </conditionalFormatting>
  <conditionalFormatting sqref="L104:L107">
    <cfRule type="cellIs" priority="34" operator="equal" aboveAverage="0" equalAverage="0" bottom="0" percent="0" rank="0" text="" dxfId="0">
      <formula>"Closed"</formula>
    </cfRule>
    <cfRule type="cellIs" priority="35" operator="equal" aboveAverage="0" equalAverage="0" bottom="0" percent="0" rank="0" text="" dxfId="0">
      <formula>"Transferred"</formula>
    </cfRule>
    <cfRule type="cellIs" priority="36" operator="equal" aboveAverage="0" equalAverage="0" bottom="0" percent="0" rank="0" text="" dxfId="1">
      <formula>"Mitigating"</formula>
    </cfRule>
    <cfRule type="cellIs" priority="37" operator="equal" aboveAverage="0" equalAverage="0" bottom="0" percent="0" rank="0" text="" dxfId="2">
      <formula>"Open"</formula>
    </cfRule>
    <cfRule type="cellIs" priority="38" operator="equal" aboveAverage="0" equalAverage="0" bottom="0" percent="0" rank="0" text="" dxfId="2">
      <formula>"Realised"</formula>
    </cfRule>
  </conditionalFormatting>
  <conditionalFormatting sqref="E110:E113">
    <cfRule type="cellIs" priority="39" operator="equal" aboveAverage="0" equalAverage="0" bottom="0" percent="0" rank="0" text="" dxfId="0">
      <formula>"Low"</formula>
    </cfRule>
    <cfRule type="cellIs" priority="40" operator="equal" aboveAverage="0" equalAverage="0" bottom="0" percent="0" rank="0" text="" dxfId="1">
      <formula>"Medium"</formula>
    </cfRule>
    <cfRule type="cellIs" priority="41" operator="equal" aboveAverage="0" equalAverage="0" bottom="0" percent="0" rank="0" text="" dxfId="2">
      <formula>"High"</formula>
    </cfRule>
    <cfRule type="cellIs" priority="42" operator="equal" aboveAverage="0" equalAverage="0" bottom="0" percent="0" rank="0" text="" dxfId="2">
      <formula>"Critical"</formula>
    </cfRule>
  </conditionalFormatting>
  <conditionalFormatting sqref="I110:I113">
    <cfRule type="cellIs" priority="43" operator="equal" aboveAverage="0" equalAverage="0" bottom="0" percent="0" rank="0" text="" dxfId="0">
      <formula>"Closed"</formula>
    </cfRule>
    <cfRule type="cellIs" priority="44" operator="equal" aboveAverage="0" equalAverage="0" bottom="0" percent="0" rank="0" text="" dxfId="1">
      <formula>"In Progress"</formula>
    </cfRule>
    <cfRule type="cellIs" priority="45" operator="equal" aboveAverage="0" equalAverage="0" bottom="0" percent="0" rank="0" text="" dxfId="2">
      <formula>"Open"</formula>
    </cfRule>
    <cfRule type="cellIs" priority="46" operator="equal" aboveAverage="0" equalAverage="0" bottom="0" percent="0" rank="0" text="" dxfId="2">
      <formula>"Escalated"</formula>
    </cfRule>
  </conditionalFormatting>
  <dataValidations count="14">
    <dataValidation allowBlank="true" errorStyle="stop" operator="between" showDropDown="false" showErrorMessage="false" showInputMessage="false" sqref="F7" type="list">
      <formula1>"Residential,Commercial,Mixed Use,Land Development"</formula1>
      <formula2>0</formula2>
    </dataValidation>
    <dataValidation allowBlank="true" errorStyle="stop" operator="between" showDropDown="false" showErrorMessage="false" showInputMessage="false" sqref="R7" type="list">
      <formula1>"PMC-Delivered,Self-Execution"</formula1>
      <formula2>0</formula2>
    </dataValidation>
    <dataValidation allowBlank="true" errorStyle="stop" operator="between" showDropDown="false" showErrorMessage="false" showInputMessage="false" sqref="R11" type="list">
      <formula1>"On Track,Watch,At Risk,On Hold,Complete"</formula1>
      <formula2>0</formula2>
    </dataValidation>
    <dataValidation allowBlank="true" errorStyle="stop" operator="between" showDropDown="false" showErrorMessage="false" showInputMessage="false" sqref="O27:O35" type="list">
      <formula1>"Not Started,In Progress,At Risk,On Hold,Complete"</formula1>
      <formula2>0</formula2>
    </dataValidation>
    <dataValidation allowBlank="true" errorStyle="stop" operator="between" showDropDown="false" showErrorMessage="false" showInputMessage="false" sqref="I63:I65" type="list">
      <formula1>"Draft,Submitted,Under Review,Approved,Rejected,Withdrawn"</formula1>
      <formula2>0</formula2>
    </dataValidation>
    <dataValidation allowBlank="true" errorStyle="stop" operator="between" showDropDown="false" showErrorMessage="false" showInputMessage="false" sqref="H68:H70" type="list">
      <formula1>"Open,Under Assessment,Approved,Rejected,Implemented,Closed"</formula1>
      <formula2>0</formula2>
    </dataValidation>
    <dataValidation allowBlank="true" errorStyle="stop" operator="between" showDropDown="false" showErrorMessage="false" showInputMessage="false" sqref="K75:K78" type="list">
      <formula1>"Tender Preparation,Tender Issued,Bid Evaluation,Award Recommended,Awarded,In Progress,Completed"</formula1>
      <formula2>0</formula2>
    </dataValidation>
    <dataValidation allowBlank="true" errorStyle="stop" operator="between" showDropDown="false" showErrorMessage="false" showInputMessage="false" sqref="E97:E99" type="list">
      <formula1>"Minor,Major,Critical"</formula1>
      <formula2>0</formula2>
    </dataValidation>
    <dataValidation allowBlank="true" errorStyle="stop" operator="between" showDropDown="false" showErrorMessage="false" showInputMessage="false" sqref="H97:H99" type="list">
      <formula1>"Open,Under Action,Closed,Void"</formula1>
      <formula2>0</formula2>
    </dataValidation>
    <dataValidation allowBlank="true" errorStyle="stop" operator="between" showDropDown="false" showErrorMessage="false" showInputMessage="false" sqref="J104:J107" type="list">
      <formula1>"Avoid,Mitigate,Transfer,Accept,Exploit"</formula1>
      <formula2>0</formula2>
    </dataValidation>
    <dataValidation allowBlank="true" errorStyle="stop" operator="between" showDropDown="false" showErrorMessage="false" showInputMessage="false" sqref="L104:L107" type="list">
      <formula1>"Open,Mitigating,Closed,Realised,Transferred"</formula1>
      <formula2>0</formula2>
    </dataValidation>
    <dataValidation allowBlank="true" errorStyle="stop" operator="between" showDropDown="false" showErrorMessage="false" showInputMessage="false" sqref="E110:E113" type="list">
      <formula1>"Low,Medium,High,Critical"</formula1>
      <formula2>0</formula2>
    </dataValidation>
    <dataValidation allowBlank="true" errorStyle="stop" operator="between" showDropDown="false" showErrorMessage="false" showInputMessage="false" sqref="I110:I113" type="list">
      <formula1>"Open,In Progress,Escalated,Closed"</formula1>
      <formula2>0</formula2>
    </dataValidation>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sheetData>
    <row r="1" customFormat="false" ht="15" hidden="false" customHeight="true" outlineLevel="0" collapsed="false">
      <c r="A1" s="235" t="s">
        <v>1590</v>
      </c>
      <c r="B1" s="5" t="s">
        <v>1591</v>
      </c>
    </row>
    <row r="2" customFormat="false" ht="15" hidden="false" customHeight="true" outlineLevel="0" collapsed="false">
      <c r="A2" s="5" t="s">
        <v>8</v>
      </c>
      <c r="B2" s="5" t="s">
        <v>6</v>
      </c>
    </row>
    <row r="3" customFormat="false" ht="15" hidden="false" customHeight="true" outlineLevel="0" collapsed="false">
      <c r="A3" s="5" t="s">
        <v>293</v>
      </c>
      <c r="B3" s="5" t="s">
        <v>369</v>
      </c>
    </row>
    <row r="4" customFormat="false" ht="15" hidden="false" customHeight="true" outlineLevel="0" collapsed="false">
      <c r="A4" s="5" t="s">
        <v>296</v>
      </c>
      <c r="B4" s="5" t="s">
        <v>411</v>
      </c>
    </row>
    <row r="5" customFormat="false" ht="15" hidden="false" customHeight="true" outlineLevel="0" collapsed="false">
      <c r="A5" s="5" t="s">
        <v>298</v>
      </c>
      <c r="B5" s="5" t="s">
        <v>412</v>
      </c>
    </row>
    <row r="6" customFormat="false" ht="15" hidden="false" customHeight="true" outlineLevel="0" collapsed="false">
      <c r="A6" s="5" t="s">
        <v>300</v>
      </c>
      <c r="B6" s="5"/>
    </row>
    <row r="7" customFormat="false" ht="15" hidden="false" customHeight="true" outlineLevel="0" collapsed="false">
      <c r="A7" s="5" t="s">
        <v>301</v>
      </c>
      <c r="B7" s="5"/>
    </row>
    <row r="8" customFormat="false" ht="15" hidden="false" customHeight="true" outlineLevel="0" collapsed="false">
      <c r="A8" s="5" t="s">
        <v>303</v>
      </c>
      <c r="B8" s="5"/>
    </row>
    <row r="9" customFormat="false" ht="15" hidden="false" customHeight="true" outlineLevel="0" collapsed="false">
      <c r="A9" s="5" t="s">
        <v>304</v>
      </c>
      <c r="B9" s="5"/>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T1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1" width="11"/>
    <col collapsed="false" customWidth="true" hidden="false" outlineLevel="0" max="2" min="2" style="1" width="12"/>
    <col collapsed="false" customWidth="true" hidden="false" outlineLevel="0" max="18" min="3" style="1" width="11"/>
  </cols>
  <sheetData>
    <row r="1" customFormat="false" ht="7.5" hidden="false" customHeight="true" outlineLevel="0" collapsed="false">
      <c r="A1" s="2"/>
      <c r="B1" s="2"/>
      <c r="C1" s="2"/>
      <c r="D1" s="2"/>
      <c r="E1" s="2"/>
      <c r="F1" s="2"/>
      <c r="G1" s="2"/>
      <c r="H1" s="2"/>
      <c r="I1" s="2"/>
      <c r="J1" s="2"/>
      <c r="K1" s="2"/>
      <c r="L1" s="2"/>
      <c r="M1" s="2"/>
      <c r="N1" s="2"/>
      <c r="O1" s="2"/>
      <c r="P1" s="2"/>
      <c r="Q1" s="2"/>
      <c r="R1" s="2"/>
      <c r="S1" s="5"/>
      <c r="T1" s="5"/>
    </row>
    <row r="2" customFormat="false" ht="30" hidden="false" customHeight="true" outlineLevel="0" collapsed="false">
      <c r="A2" s="59" t="s">
        <v>1481</v>
      </c>
      <c r="B2" s="59"/>
      <c r="C2" s="59"/>
      <c r="D2" s="59"/>
      <c r="E2" s="59"/>
      <c r="F2" s="59"/>
      <c r="G2" s="59"/>
      <c r="H2" s="59"/>
      <c r="I2" s="59"/>
      <c r="J2" s="59"/>
      <c r="K2" s="59"/>
      <c r="L2" s="59"/>
      <c r="M2" s="59"/>
      <c r="N2" s="59"/>
      <c r="O2" s="59"/>
      <c r="P2" s="59"/>
      <c r="Q2" s="59"/>
      <c r="R2" s="59"/>
      <c r="S2" s="5"/>
      <c r="T2" s="5"/>
    </row>
    <row r="3" customFormat="false" ht="16.5" hidden="false" customHeight="true" outlineLevel="0" collapsed="false">
      <c r="A3" s="60" t="s">
        <v>1482</v>
      </c>
      <c r="B3" s="60"/>
      <c r="C3" s="60"/>
      <c r="D3" s="60"/>
      <c r="E3" s="60"/>
      <c r="F3" s="60"/>
      <c r="G3" s="60"/>
      <c r="H3" s="60"/>
      <c r="I3" s="60"/>
      <c r="J3" s="60"/>
      <c r="K3" s="60"/>
      <c r="L3" s="60"/>
      <c r="M3" s="60"/>
      <c r="N3" s="60"/>
      <c r="O3" s="60"/>
      <c r="P3" s="60"/>
      <c r="Q3" s="60"/>
      <c r="R3" s="60"/>
      <c r="S3" s="5"/>
      <c r="T3" s="5"/>
    </row>
    <row r="4" customFormat="false" ht="15" hidden="false" customHeight="true" outlineLevel="0" collapsed="false">
      <c r="A4" s="61" t="s">
        <v>1483</v>
      </c>
      <c r="B4" s="61"/>
      <c r="C4" s="61"/>
      <c r="D4" s="61"/>
      <c r="E4" s="61"/>
      <c r="F4" s="61"/>
      <c r="G4" s="61"/>
      <c r="H4" s="61"/>
      <c r="I4" s="61"/>
      <c r="J4" s="61"/>
      <c r="K4" s="61"/>
      <c r="L4" s="61"/>
      <c r="M4" s="61"/>
      <c r="N4" s="61"/>
      <c r="O4" s="61"/>
      <c r="P4" s="61"/>
      <c r="Q4" s="61"/>
      <c r="R4" s="61"/>
      <c r="S4" s="5"/>
      <c r="T4" s="5"/>
    </row>
    <row r="5" customFormat="false" ht="15" hidden="false" customHeight="true" outlineLevel="0" collapsed="false">
      <c r="A5" s="5"/>
      <c r="B5" s="5"/>
      <c r="C5" s="5"/>
      <c r="D5" s="5"/>
      <c r="E5" s="5"/>
      <c r="F5" s="5"/>
      <c r="G5" s="5"/>
      <c r="H5" s="5"/>
      <c r="I5" s="5"/>
      <c r="J5" s="5"/>
      <c r="K5" s="5"/>
      <c r="L5" s="5"/>
      <c r="M5" s="5"/>
      <c r="N5" s="5"/>
      <c r="O5" s="5"/>
      <c r="P5" s="5"/>
      <c r="Q5" s="5"/>
      <c r="R5" s="5"/>
      <c r="S5" s="5"/>
      <c r="T5" s="5"/>
    </row>
    <row r="6" customFormat="false" ht="19.5" hidden="false" customHeight="true" outlineLevel="0" collapsed="false">
      <c r="A6" s="13" t="s">
        <v>1484</v>
      </c>
      <c r="B6" s="13"/>
      <c r="C6" s="13"/>
      <c r="D6" s="13"/>
      <c r="E6" s="13"/>
      <c r="F6" s="13"/>
      <c r="G6" s="13"/>
      <c r="H6" s="13"/>
      <c r="I6" s="13"/>
      <c r="J6" s="13"/>
      <c r="K6" s="13"/>
      <c r="L6" s="13"/>
      <c r="M6" s="13"/>
      <c r="N6" s="13"/>
      <c r="O6" s="13"/>
      <c r="P6" s="13"/>
      <c r="Q6" s="13"/>
      <c r="R6" s="13"/>
      <c r="S6" s="5"/>
      <c r="T6" s="5"/>
    </row>
    <row r="7" customFormat="false" ht="15.75" hidden="false" customHeight="true" outlineLevel="0" collapsed="false">
      <c r="A7" s="53" t="s">
        <v>414</v>
      </c>
      <c r="B7" s="53"/>
      <c r="C7" s="53"/>
      <c r="D7" s="229"/>
      <c r="E7" s="229"/>
      <c r="F7" s="229"/>
      <c r="G7" s="53" t="s">
        <v>5</v>
      </c>
      <c r="H7" s="53"/>
      <c r="I7" s="53"/>
      <c r="J7" s="229"/>
      <c r="K7" s="229"/>
      <c r="L7" s="229"/>
      <c r="M7" s="53" t="s">
        <v>258</v>
      </c>
      <c r="N7" s="53"/>
      <c r="O7" s="53"/>
      <c r="P7" s="229"/>
      <c r="Q7" s="229"/>
      <c r="R7" s="229"/>
      <c r="S7" s="5"/>
      <c r="T7" s="230" t="n">
        <f aca="false">SUMIF($I$63:$I$65,"Approved",$F$63:$F$65)</f>
        <v>509202</v>
      </c>
    </row>
    <row r="8" customFormat="false" ht="15.75" hidden="false" customHeight="true" outlineLevel="0" collapsed="false">
      <c r="A8" s="53" t="s">
        <v>257</v>
      </c>
      <c r="B8" s="53"/>
      <c r="C8" s="53"/>
      <c r="D8" s="229"/>
      <c r="E8" s="229"/>
      <c r="F8" s="229"/>
      <c r="G8" s="53" t="s">
        <v>1486</v>
      </c>
      <c r="H8" s="53"/>
      <c r="I8" s="53"/>
      <c r="J8" s="229"/>
      <c r="K8" s="229"/>
      <c r="L8" s="229"/>
      <c r="M8" s="53" t="s">
        <v>260</v>
      </c>
      <c r="N8" s="53"/>
      <c r="O8" s="53"/>
      <c r="P8" s="229"/>
      <c r="Q8" s="229"/>
      <c r="R8" s="229"/>
      <c r="S8" s="5"/>
      <c r="T8" s="230" t="n">
        <f aca="false">SUMIF($I$63:$I$65,"Approved",$G$63:$G$65)</f>
        <v>458282</v>
      </c>
    </row>
    <row r="9" customFormat="false" ht="15.75" hidden="false" customHeight="true" outlineLevel="0" collapsed="false">
      <c r="A9" s="53" t="s">
        <v>1487</v>
      </c>
      <c r="B9" s="53"/>
      <c r="C9" s="53"/>
      <c r="D9" s="229"/>
      <c r="E9" s="229"/>
      <c r="F9" s="229"/>
      <c r="G9" s="53" t="s">
        <v>1489</v>
      </c>
      <c r="H9" s="53"/>
      <c r="I9" s="53"/>
      <c r="J9" s="229"/>
      <c r="K9" s="229"/>
      <c r="L9" s="229"/>
      <c r="M9" s="53" t="s">
        <v>10</v>
      </c>
      <c r="N9" s="53"/>
      <c r="O9" s="53"/>
      <c r="P9" s="163" t="n">
        <v>0</v>
      </c>
      <c r="Q9" s="163"/>
      <c r="R9" s="163"/>
      <c r="S9" s="5"/>
      <c r="T9" s="5"/>
    </row>
    <row r="10" customFormat="false" ht="15.75" hidden="false" customHeight="true" outlineLevel="0" collapsed="false">
      <c r="A10" s="53" t="s">
        <v>1490</v>
      </c>
      <c r="B10" s="53"/>
      <c r="C10" s="53"/>
      <c r="D10" s="231"/>
      <c r="E10" s="231"/>
      <c r="F10" s="231"/>
      <c r="G10" s="53" t="s">
        <v>1491</v>
      </c>
      <c r="H10" s="53"/>
      <c r="I10" s="53"/>
      <c r="J10" s="231"/>
      <c r="K10" s="231"/>
      <c r="L10" s="231"/>
      <c r="M10" s="53" t="s">
        <v>9</v>
      </c>
      <c r="N10" s="53"/>
      <c r="O10" s="53"/>
      <c r="P10" s="231"/>
      <c r="Q10" s="231"/>
      <c r="R10" s="231"/>
      <c r="S10" s="5"/>
      <c r="T10" s="5"/>
    </row>
    <row r="11" customFormat="false" ht="15.75" hidden="false" customHeight="true" outlineLevel="0" collapsed="false">
      <c r="A11" s="53" t="s">
        <v>1492</v>
      </c>
      <c r="B11" s="53"/>
      <c r="C11" s="53"/>
      <c r="D11" s="163" t="n">
        <v>0</v>
      </c>
      <c r="E11" s="163"/>
      <c r="F11" s="163"/>
      <c r="G11" s="53" t="s">
        <v>1493</v>
      </c>
      <c r="H11" s="53"/>
      <c r="I11" s="53"/>
      <c r="J11" s="232" t="n">
        <f aca="false">$P$10+$D$11</f>
        <v>0</v>
      </c>
      <c r="K11" s="232"/>
      <c r="L11" s="232"/>
      <c r="M11" s="53" t="s">
        <v>78</v>
      </c>
      <c r="N11" s="53"/>
      <c r="O11" s="53"/>
      <c r="P11" s="229"/>
      <c r="Q11" s="229"/>
      <c r="R11" s="229"/>
      <c r="S11" s="5"/>
      <c r="T11" s="5"/>
    </row>
    <row r="12" customFormat="false" ht="15" hidden="false" customHeight="true" outlineLevel="0" collapsed="false">
      <c r="A12" s="5"/>
      <c r="B12" s="5"/>
      <c r="C12" s="5"/>
      <c r="D12" s="5"/>
      <c r="E12" s="5"/>
      <c r="F12" s="5"/>
      <c r="G12" s="5"/>
      <c r="H12" s="5"/>
      <c r="I12" s="5"/>
      <c r="J12" s="5"/>
      <c r="K12" s="5"/>
      <c r="L12" s="5"/>
      <c r="M12" s="5"/>
      <c r="N12" s="5"/>
      <c r="O12" s="5"/>
      <c r="P12" s="5"/>
      <c r="Q12" s="5"/>
      <c r="R12" s="5"/>
      <c r="S12" s="5"/>
      <c r="T12" s="5"/>
    </row>
    <row r="13" customFormat="false" ht="19.5" hidden="false" customHeight="true" outlineLevel="0" collapsed="false">
      <c r="A13" s="13" t="s">
        <v>1494</v>
      </c>
      <c r="B13" s="13"/>
      <c r="C13" s="13"/>
      <c r="D13" s="13"/>
      <c r="E13" s="13"/>
      <c r="F13" s="13"/>
      <c r="G13" s="13"/>
      <c r="H13" s="13"/>
      <c r="I13" s="13"/>
      <c r="J13" s="13"/>
      <c r="K13" s="13"/>
      <c r="L13" s="13"/>
      <c r="M13" s="13"/>
      <c r="N13" s="13"/>
      <c r="O13" s="13"/>
      <c r="P13" s="13"/>
      <c r="Q13" s="13"/>
      <c r="R13" s="13"/>
      <c r="S13" s="5"/>
      <c r="T13" s="5"/>
    </row>
    <row r="14" customFormat="false" ht="15.75" hidden="false" customHeight="true" outlineLevel="0" collapsed="false">
      <c r="A14" s="53" t="s">
        <v>1495</v>
      </c>
      <c r="B14" s="53"/>
      <c r="C14" s="53"/>
      <c r="D14" s="163" t="n">
        <v>0</v>
      </c>
      <c r="E14" s="163"/>
      <c r="F14" s="163"/>
      <c r="G14" s="53" t="s">
        <v>1496</v>
      </c>
      <c r="H14" s="53"/>
      <c r="I14" s="53"/>
      <c r="J14" s="233" t="n">
        <v>0</v>
      </c>
      <c r="K14" s="233"/>
      <c r="L14" s="233"/>
      <c r="M14" s="53" t="s">
        <v>1497</v>
      </c>
      <c r="N14" s="53"/>
      <c r="O14" s="53"/>
      <c r="P14" s="233" t="n">
        <v>0</v>
      </c>
      <c r="Q14" s="233"/>
      <c r="R14" s="233"/>
      <c r="S14" s="5"/>
      <c r="T14" s="5"/>
    </row>
    <row r="15" customFormat="false" ht="15.75" hidden="false" customHeight="true" outlineLevel="0" collapsed="false">
      <c r="A15" s="53" t="s">
        <v>1498</v>
      </c>
      <c r="B15" s="53"/>
      <c r="C15" s="53"/>
      <c r="D15" s="163" t="n">
        <v>0</v>
      </c>
      <c r="E15" s="163"/>
      <c r="F15" s="163"/>
      <c r="G15" s="53" t="s">
        <v>1499</v>
      </c>
      <c r="H15" s="53"/>
      <c r="I15" s="53"/>
      <c r="J15" s="117" t="n">
        <f aca="false">$T$7</f>
        <v>509202</v>
      </c>
      <c r="K15" s="117"/>
      <c r="L15" s="117"/>
      <c r="M15" s="53" t="s">
        <v>1500</v>
      </c>
      <c r="N15" s="53"/>
      <c r="O15" s="53"/>
      <c r="P15" s="117" t="n">
        <f aca="false">$T$8</f>
        <v>458282</v>
      </c>
      <c r="Q15" s="117"/>
      <c r="R15" s="117"/>
      <c r="S15" s="5"/>
      <c r="T15" s="5"/>
    </row>
    <row r="16" customFormat="false" ht="15.75" hidden="false" customHeight="true" outlineLevel="0" collapsed="false">
      <c r="A16" s="53" t="s">
        <v>1501</v>
      </c>
      <c r="B16" s="53"/>
      <c r="C16" s="53"/>
      <c r="D16" s="117" t="n">
        <f aca="false">$D$14+$J$15</f>
        <v>509202</v>
      </c>
      <c r="E16" s="117"/>
      <c r="F16" s="117"/>
      <c r="G16" s="53" t="s">
        <v>1502</v>
      </c>
      <c r="H16" s="53"/>
      <c r="I16" s="53"/>
      <c r="J16" s="117" t="n">
        <f aca="false">$D$15+$R$15</f>
        <v>0</v>
      </c>
      <c r="K16" s="117"/>
      <c r="L16" s="117"/>
      <c r="M16" s="53" t="s">
        <v>1503</v>
      </c>
      <c r="N16" s="53"/>
      <c r="O16" s="53"/>
      <c r="P16" s="117" t="n">
        <f aca="false">$D$16-$J$16</f>
        <v>509202</v>
      </c>
      <c r="Q16" s="117"/>
      <c r="R16" s="117"/>
      <c r="S16" s="5"/>
      <c r="T16" s="5"/>
    </row>
    <row r="17" customFormat="false" ht="15" hidden="false" customHeight="true" outlineLevel="0" collapsed="false">
      <c r="A17" s="5"/>
      <c r="B17" s="5"/>
      <c r="C17" s="5"/>
      <c r="D17" s="5"/>
      <c r="E17" s="5"/>
      <c r="F17" s="5"/>
      <c r="G17" s="5"/>
      <c r="H17" s="5"/>
      <c r="I17" s="5"/>
      <c r="J17" s="5"/>
      <c r="K17" s="5"/>
      <c r="L17" s="5"/>
      <c r="M17" s="5"/>
      <c r="N17" s="5"/>
      <c r="O17" s="5"/>
      <c r="P17" s="5"/>
      <c r="Q17" s="5"/>
      <c r="R17" s="5"/>
      <c r="S17" s="5"/>
      <c r="T17" s="5"/>
    </row>
    <row r="18" customFormat="false" ht="19.5" hidden="false" customHeight="true" outlineLevel="0" collapsed="false">
      <c r="A18" s="13" t="s">
        <v>1504</v>
      </c>
      <c r="B18" s="13"/>
      <c r="C18" s="13"/>
      <c r="D18" s="13"/>
      <c r="E18" s="13"/>
      <c r="F18" s="13"/>
      <c r="G18" s="13"/>
      <c r="H18" s="13"/>
      <c r="I18" s="13"/>
      <c r="J18" s="13"/>
      <c r="K18" s="13"/>
      <c r="L18" s="13"/>
      <c r="M18" s="13"/>
      <c r="N18" s="13"/>
      <c r="O18" s="13"/>
      <c r="P18" s="13"/>
      <c r="Q18" s="13"/>
      <c r="R18" s="13"/>
      <c r="S18" s="5"/>
      <c r="T18" s="5"/>
    </row>
    <row r="19" customFormat="false" ht="15.75" hidden="false" customHeight="true" outlineLevel="0" collapsed="false">
      <c r="A19" s="53" t="s">
        <v>1505</v>
      </c>
      <c r="B19" s="53"/>
      <c r="C19" s="53"/>
      <c r="D19" s="117" t="n">
        <f aca="false">$P$41</f>
        <v>6409001.809</v>
      </c>
      <c r="E19" s="117"/>
      <c r="F19" s="117"/>
      <c r="G19" s="53" t="s">
        <v>1506</v>
      </c>
      <c r="H19" s="53"/>
      <c r="I19" s="53"/>
      <c r="J19" s="117" t="n">
        <f aca="false">$Q$41</f>
        <v>5600099.5064</v>
      </c>
      <c r="K19" s="117"/>
      <c r="L19" s="117"/>
      <c r="M19" s="53" t="s">
        <v>1507</v>
      </c>
      <c r="N19" s="53"/>
      <c r="O19" s="53"/>
      <c r="P19" s="117" t="n">
        <f aca="false">$R$41</f>
        <v>5911342</v>
      </c>
      <c r="Q19" s="117"/>
      <c r="R19" s="117"/>
      <c r="S19" s="5"/>
      <c r="T19" s="5"/>
    </row>
    <row r="20" customFormat="false" ht="15.75" hidden="false" customHeight="true" outlineLevel="0" collapsed="false">
      <c r="A20" s="53" t="s">
        <v>1508</v>
      </c>
      <c r="B20" s="53"/>
      <c r="C20" s="53"/>
      <c r="D20" s="117" t="n">
        <f aca="false">$S$41</f>
        <v>20806376</v>
      </c>
      <c r="E20" s="117"/>
      <c r="F20" s="117"/>
      <c r="G20" s="53" t="s">
        <v>1509</v>
      </c>
      <c r="H20" s="53"/>
      <c r="I20" s="53"/>
      <c r="J20" s="117" t="n">
        <f aca="false">$J$19-$D$19</f>
        <v>-808902.302599999</v>
      </c>
      <c r="K20" s="117"/>
      <c r="L20" s="117"/>
      <c r="M20" s="53" t="s">
        <v>1510</v>
      </c>
      <c r="N20" s="53"/>
      <c r="O20" s="53"/>
      <c r="P20" s="117" t="n">
        <f aca="false">$J$19-$P$19</f>
        <v>-311242.4936</v>
      </c>
      <c r="Q20" s="117"/>
      <c r="R20" s="117"/>
      <c r="S20" s="5"/>
      <c r="T20" s="5"/>
    </row>
    <row r="21" customFormat="false" ht="15.75" hidden="false" customHeight="true" outlineLevel="0" collapsed="false">
      <c r="A21" s="53" t="s">
        <v>1511</v>
      </c>
      <c r="B21" s="53"/>
      <c r="C21" s="53"/>
      <c r="D21" s="120" t="n">
        <f aca="false">IF($D$19&lt;=0,1,$J$19/$D$19)</f>
        <v>0.873786538573904</v>
      </c>
      <c r="E21" s="120"/>
      <c r="F21" s="120"/>
      <c r="G21" s="53" t="s">
        <v>1512</v>
      </c>
      <c r="H21" s="53"/>
      <c r="I21" s="53"/>
      <c r="J21" s="120" t="n">
        <f aca="false">IF($P$19&lt;=0,1,$J$19/$P$19)</f>
        <v>0.947348251276952</v>
      </c>
      <c r="K21" s="120"/>
      <c r="L21" s="120"/>
      <c r="M21" s="53" t="s">
        <v>344</v>
      </c>
      <c r="N21" s="53"/>
      <c r="O21" s="53"/>
      <c r="P21" s="121" t="n">
        <f aca="false">IF($J$16=0,0,$J$19/$J$16)</f>
        <v>0</v>
      </c>
      <c r="Q21" s="121"/>
      <c r="R21" s="121"/>
      <c r="S21" s="5"/>
      <c r="T21" s="5"/>
    </row>
    <row r="22" customFormat="false" ht="15.75" hidden="false" customHeight="true" outlineLevel="0" collapsed="false">
      <c r="A22" s="53" t="s">
        <v>1513</v>
      </c>
      <c r="B22" s="53"/>
      <c r="C22" s="53"/>
      <c r="D22" s="117" t="n">
        <f aca="false">IF($J$21&lt;=0,$J$16,$J$16/$J$21)</f>
        <v>0</v>
      </c>
      <c r="E22" s="117"/>
      <c r="F22" s="117"/>
      <c r="G22" s="53" t="s">
        <v>1514</v>
      </c>
      <c r="H22" s="53"/>
      <c r="I22" s="53"/>
      <c r="J22" s="117" t="n">
        <f aca="false">$J$16-$D$22</f>
        <v>0</v>
      </c>
      <c r="K22" s="117"/>
      <c r="L22" s="117"/>
      <c r="M22" s="53" t="s">
        <v>1515</v>
      </c>
      <c r="N22" s="53"/>
      <c r="O22" s="53"/>
      <c r="P22" s="117" t="n">
        <f aca="false">$D$22-$P$19</f>
        <v>-5911342</v>
      </c>
      <c r="Q22" s="117"/>
      <c r="R22" s="117"/>
      <c r="S22" s="5"/>
      <c r="T22" s="5"/>
    </row>
    <row r="23" customFormat="false" ht="15" hidden="false" customHeight="true" outlineLevel="0" collapsed="false">
      <c r="A23" s="5"/>
      <c r="B23" s="5"/>
      <c r="C23" s="5"/>
      <c r="D23" s="5"/>
      <c r="E23" s="5"/>
      <c r="F23" s="5"/>
      <c r="G23" s="5"/>
      <c r="H23" s="5"/>
      <c r="I23" s="5"/>
      <c r="J23" s="5"/>
      <c r="K23" s="5"/>
      <c r="L23" s="5"/>
      <c r="M23" s="5"/>
      <c r="N23" s="5"/>
      <c r="O23" s="5"/>
      <c r="P23" s="5"/>
      <c r="Q23" s="5"/>
      <c r="R23" s="5"/>
      <c r="S23" s="5"/>
      <c r="T23" s="5"/>
    </row>
    <row r="24" customFormat="false" ht="19.5" hidden="false" customHeight="true" outlineLevel="0" collapsed="false">
      <c r="A24" s="13" t="s">
        <v>1516</v>
      </c>
      <c r="B24" s="13"/>
      <c r="C24" s="13"/>
      <c r="D24" s="13"/>
      <c r="E24" s="13"/>
      <c r="F24" s="13"/>
      <c r="G24" s="13"/>
      <c r="H24" s="13"/>
      <c r="I24" s="13"/>
      <c r="J24" s="13"/>
      <c r="K24" s="13"/>
      <c r="L24" s="13"/>
      <c r="M24" s="13"/>
      <c r="N24" s="13"/>
      <c r="O24" s="13"/>
      <c r="P24" s="13"/>
      <c r="Q24" s="13"/>
      <c r="R24" s="13"/>
      <c r="S24" s="5"/>
      <c r="T24" s="5"/>
    </row>
    <row r="25" customFormat="false" ht="13.5" hidden="false" customHeight="true" outlineLevel="0" collapsed="false">
      <c r="A25" s="80" t="s">
        <v>1517</v>
      </c>
      <c r="B25" s="80"/>
      <c r="C25" s="80"/>
      <c r="D25" s="80"/>
      <c r="E25" s="80"/>
      <c r="F25" s="80"/>
      <c r="G25" s="80"/>
      <c r="H25" s="80"/>
      <c r="I25" s="80"/>
      <c r="J25" s="80"/>
      <c r="K25" s="80"/>
      <c r="L25" s="80"/>
      <c r="M25" s="80"/>
      <c r="N25" s="80"/>
      <c r="O25" s="80"/>
      <c r="P25" s="80"/>
      <c r="Q25" s="80"/>
      <c r="R25" s="80"/>
      <c r="S25" s="5"/>
      <c r="T25" s="5"/>
    </row>
    <row r="26" customFormat="false" ht="31.5" hidden="false" customHeight="true" outlineLevel="0" collapsed="false">
      <c r="A26" s="23" t="s">
        <v>767</v>
      </c>
      <c r="B26" s="23" t="s">
        <v>1518</v>
      </c>
      <c r="C26" s="23" t="s">
        <v>464</v>
      </c>
      <c r="D26" s="23" t="s">
        <v>468</v>
      </c>
      <c r="E26" s="23" t="s">
        <v>469</v>
      </c>
      <c r="F26" s="23" t="s">
        <v>470</v>
      </c>
      <c r="G26" s="23" t="s">
        <v>277</v>
      </c>
      <c r="H26" s="23" t="s">
        <v>278</v>
      </c>
      <c r="I26" s="23" t="s">
        <v>273</v>
      </c>
      <c r="J26" s="23" t="s">
        <v>274</v>
      </c>
      <c r="K26" s="23" t="s">
        <v>275</v>
      </c>
      <c r="L26" s="23" t="s">
        <v>1519</v>
      </c>
      <c r="M26" s="23" t="s">
        <v>32</v>
      </c>
      <c r="N26" s="23" t="s">
        <v>33</v>
      </c>
      <c r="O26" s="23" t="s">
        <v>78</v>
      </c>
      <c r="P26" s="23" t="s">
        <v>288</v>
      </c>
      <c r="Q26" s="23" t="s">
        <v>480</v>
      </c>
      <c r="R26" s="23"/>
      <c r="S26" s="5"/>
      <c r="T26" s="5"/>
    </row>
    <row r="27" customFormat="false" ht="13.5" hidden="false" customHeight="true" outlineLevel="0" collapsed="false">
      <c r="A27" s="42" t="s">
        <v>481</v>
      </c>
      <c r="B27" s="30" t="s">
        <v>482</v>
      </c>
      <c r="C27" s="30" t="s">
        <v>483</v>
      </c>
      <c r="D27" s="169"/>
      <c r="E27" s="169"/>
      <c r="F27" s="92" t="n">
        <v>0</v>
      </c>
      <c r="G27" s="184" t="n">
        <v>0</v>
      </c>
      <c r="H27" s="184" t="n">
        <v>0</v>
      </c>
      <c r="I27" s="31" t="n">
        <f aca="false">$F27*$G27</f>
        <v>0</v>
      </c>
      <c r="J27" s="31" t="n">
        <f aca="false">$F27*$H27</f>
        <v>0</v>
      </c>
      <c r="K27" s="92" t="n">
        <v>0</v>
      </c>
      <c r="L27" s="92" t="n">
        <v>0</v>
      </c>
      <c r="M27" s="152" t="n">
        <f aca="false">IF($I27&lt;=0,1,$J27/$I27)</f>
        <v>1</v>
      </c>
      <c r="N27" s="152" t="n">
        <f aca="false">IF($K27&lt;=0,1,$J27/$K27)</f>
        <v>1</v>
      </c>
      <c r="O27" s="93"/>
      <c r="P27" s="46" t="str">
        <f aca="false">IF(AND($M27&gt;=0.95,$N27&gt;=0.95),"Green",IF(OR($M27&lt;0.85,$N27&lt;0.85),"Red","Amber"))</f>
        <v>Green</v>
      </c>
      <c r="Q27" s="31" t="n">
        <f aca="false">MAX(0,$E27-$D27)</f>
        <v>0</v>
      </c>
      <c r="R27" s="5"/>
      <c r="S27" s="5"/>
      <c r="T27" s="5"/>
    </row>
    <row r="28" customFormat="false" ht="13.5" hidden="false" customHeight="true" outlineLevel="0" collapsed="false">
      <c r="A28" s="47" t="s">
        <v>486</v>
      </c>
      <c r="B28" s="37" t="s">
        <v>487</v>
      </c>
      <c r="C28" s="37" t="s">
        <v>483</v>
      </c>
      <c r="D28" s="96" t="n">
        <v>46660</v>
      </c>
      <c r="E28" s="96" t="n">
        <v>46721</v>
      </c>
      <c r="F28" s="99" t="n">
        <v>6462946</v>
      </c>
      <c r="G28" s="102" t="n">
        <v>0.2778</v>
      </c>
      <c r="H28" s="102" t="n">
        <v>0.2518</v>
      </c>
      <c r="I28" s="49" t="n">
        <f aca="false">$F28*$G28</f>
        <v>1795406.3988</v>
      </c>
      <c r="J28" s="49" t="n">
        <f aca="false">$F28*$H28</f>
        <v>1627369.8028</v>
      </c>
      <c r="K28" s="99" t="n">
        <v>1754497</v>
      </c>
      <c r="L28" s="99" t="n">
        <v>5816651</v>
      </c>
      <c r="M28" s="157" t="n">
        <f aca="false">IF($I28&lt;=0,1,$J28/$I28)</f>
        <v>0.906407487401008</v>
      </c>
      <c r="N28" s="157" t="n">
        <f aca="false">IF($K28&lt;=0,1,$J28/$K28)</f>
        <v>0.927542083457538</v>
      </c>
      <c r="O28" s="103" t="s">
        <v>1520</v>
      </c>
      <c r="P28" s="52" t="str">
        <f aca="false">IF(AND($M28&gt;=0.95,$N28&gt;=0.95),"Green",IF(OR($M28&lt;0.85,$N28&lt;0.85),"Red","Amber"))</f>
        <v>Amber</v>
      </c>
      <c r="Q28" s="49" t="n">
        <f aca="false">MAX(0,$E28-$D28)</f>
        <v>61</v>
      </c>
      <c r="R28" s="5"/>
      <c r="S28" s="5"/>
      <c r="T28" s="5"/>
    </row>
    <row r="29" customFormat="false" ht="13.5" hidden="false" customHeight="true" outlineLevel="0" collapsed="false">
      <c r="A29" s="42" t="s">
        <v>490</v>
      </c>
      <c r="B29" s="30" t="s">
        <v>491</v>
      </c>
      <c r="C29" s="30" t="s">
        <v>492</v>
      </c>
      <c r="D29" s="169"/>
      <c r="E29" s="169"/>
      <c r="F29" s="92" t="n">
        <v>0</v>
      </c>
      <c r="G29" s="184" t="n">
        <v>0</v>
      </c>
      <c r="H29" s="184" t="n">
        <v>0</v>
      </c>
      <c r="I29" s="31" t="n">
        <f aca="false">$F29*$G29</f>
        <v>0</v>
      </c>
      <c r="J29" s="31" t="n">
        <f aca="false">$F29*$H29</f>
        <v>0</v>
      </c>
      <c r="K29" s="92" t="n">
        <v>0</v>
      </c>
      <c r="L29" s="92" t="n">
        <v>0</v>
      </c>
      <c r="M29" s="152" t="n">
        <f aca="false">IF($I29&lt;=0,1,$J29/$I29)</f>
        <v>1</v>
      </c>
      <c r="N29" s="152" t="n">
        <f aca="false">IF($K29&lt;=0,1,$J29/$K29)</f>
        <v>1</v>
      </c>
      <c r="O29" s="93"/>
      <c r="P29" s="46" t="str">
        <f aca="false">IF(AND($M29&gt;=0.95,$N29&gt;=0.95),"Green",IF(OR($M29&lt;0.85,$N29&lt;0.85),"Red","Amber"))</f>
        <v>Green</v>
      </c>
      <c r="Q29" s="31" t="n">
        <f aca="false">MAX(0,$E29-$D29)</f>
        <v>0</v>
      </c>
      <c r="R29" s="5"/>
      <c r="S29" s="5"/>
      <c r="T29" s="5"/>
    </row>
    <row r="30" customFormat="false" ht="13.5" hidden="false" customHeight="true" outlineLevel="0" collapsed="false">
      <c r="A30" s="47" t="s">
        <v>495</v>
      </c>
      <c r="B30" s="37" t="s">
        <v>496</v>
      </c>
      <c r="C30" s="37" t="s">
        <v>497</v>
      </c>
      <c r="D30" s="96" t="n">
        <v>46418</v>
      </c>
      <c r="E30" s="96" t="n">
        <v>46477</v>
      </c>
      <c r="F30" s="99" t="n">
        <v>15941933</v>
      </c>
      <c r="G30" s="102" t="n">
        <v>0.2894</v>
      </c>
      <c r="H30" s="102" t="n">
        <v>0.2492</v>
      </c>
      <c r="I30" s="49" t="n">
        <f aca="false">$F30*$G30</f>
        <v>4613595.4102</v>
      </c>
      <c r="J30" s="49" t="n">
        <f aca="false">$F30*$H30</f>
        <v>3972729.7036</v>
      </c>
      <c r="K30" s="99" t="n">
        <v>4156845</v>
      </c>
      <c r="L30" s="99" t="n">
        <v>9883998</v>
      </c>
      <c r="M30" s="157" t="n">
        <f aca="false">IF($I30&lt;=0,1,$J30/$I30)</f>
        <v>0.86109191430546</v>
      </c>
      <c r="N30" s="157" t="n">
        <f aca="false">IF($K30&lt;=0,1,$J30/$K30)</f>
        <v>0.955707923581466</v>
      </c>
      <c r="O30" s="103" t="s">
        <v>1520</v>
      </c>
      <c r="P30" s="52" t="str">
        <f aca="false">IF(AND($M30&gt;=0.95,$N30&gt;=0.95),"Green",IF(OR($M30&lt;0.85,$N30&lt;0.85),"Red","Amber"))</f>
        <v>Amber</v>
      </c>
      <c r="Q30" s="49" t="n">
        <f aca="false">MAX(0,$E30-$D30)</f>
        <v>59</v>
      </c>
      <c r="R30" s="5"/>
      <c r="S30" s="5"/>
      <c r="T30" s="5"/>
    </row>
    <row r="31" customFormat="false" ht="13.5" hidden="false" customHeight="true" outlineLevel="0" collapsed="false">
      <c r="A31" s="42" t="s">
        <v>498</v>
      </c>
      <c r="B31" s="30" t="s">
        <v>499</v>
      </c>
      <c r="C31" s="30" t="s">
        <v>500</v>
      </c>
      <c r="D31" s="169"/>
      <c r="E31" s="169"/>
      <c r="F31" s="92" t="n">
        <v>0</v>
      </c>
      <c r="G31" s="184" t="n">
        <v>0</v>
      </c>
      <c r="H31" s="184" t="n">
        <v>0</v>
      </c>
      <c r="I31" s="31" t="n">
        <f aca="false">$F31*$G31</f>
        <v>0</v>
      </c>
      <c r="J31" s="31" t="n">
        <f aca="false">$F31*$H31</f>
        <v>0</v>
      </c>
      <c r="K31" s="92" t="n">
        <v>0</v>
      </c>
      <c r="L31" s="92" t="n">
        <v>0</v>
      </c>
      <c r="M31" s="152" t="n">
        <f aca="false">IF($I31&lt;=0,1,$J31/$I31)</f>
        <v>1</v>
      </c>
      <c r="N31" s="152" t="n">
        <f aca="false">IF($K31&lt;=0,1,$J31/$K31)</f>
        <v>1</v>
      </c>
      <c r="O31" s="93"/>
      <c r="P31" s="46" t="str">
        <f aca="false">IF(AND($M31&gt;=0.95,$N31&gt;=0.95),"Green",IF(OR($M31&lt;0.85,$N31&lt;0.85),"Red","Amber"))</f>
        <v>Green</v>
      </c>
      <c r="Q31" s="31" t="n">
        <f aca="false">MAX(0,$E31-$D31)</f>
        <v>0</v>
      </c>
      <c r="R31" s="5"/>
      <c r="S31" s="5"/>
      <c r="T31" s="5"/>
    </row>
    <row r="32" customFormat="false" ht="13.5" hidden="false" customHeight="true" outlineLevel="0" collapsed="false">
      <c r="A32" s="47" t="s">
        <v>501</v>
      </c>
      <c r="B32" s="37" t="s">
        <v>502</v>
      </c>
      <c r="C32" s="37" t="s">
        <v>503</v>
      </c>
      <c r="D32" s="96" t="n">
        <v>46599</v>
      </c>
      <c r="E32" s="96" t="n">
        <v>46660</v>
      </c>
      <c r="F32" s="99" t="n">
        <v>15941933</v>
      </c>
      <c r="G32" s="102" t="n">
        <v>0</v>
      </c>
      <c r="H32" s="102" t="n">
        <v>0</v>
      </c>
      <c r="I32" s="49" t="n">
        <f aca="false">$F32*$G32</f>
        <v>0</v>
      </c>
      <c r="J32" s="49" t="n">
        <f aca="false">$F32*$H32</f>
        <v>0</v>
      </c>
      <c r="K32" s="99" t="n">
        <v>0</v>
      </c>
      <c r="L32" s="99" t="n">
        <v>4782580</v>
      </c>
      <c r="M32" s="157" t="n">
        <f aca="false">IF($I32&lt;=0,1,$J32/$I32)</f>
        <v>1</v>
      </c>
      <c r="N32" s="157" t="n">
        <f aca="false">IF($K32&lt;=0,1,$J32/$K32)</f>
        <v>1</v>
      </c>
      <c r="O32" s="103" t="s">
        <v>1521</v>
      </c>
      <c r="P32" s="52" t="str">
        <f aca="false">IF(AND($M32&gt;=0.95,$N32&gt;=0.95),"Green",IF(OR($M32&lt;0.85,$N32&lt;0.85),"Red","Amber"))</f>
        <v>Green</v>
      </c>
      <c r="Q32" s="49" t="n">
        <f aca="false">MAX(0,$E32-$D32)</f>
        <v>61</v>
      </c>
      <c r="R32" s="5"/>
      <c r="S32" s="5"/>
      <c r="T32" s="5"/>
    </row>
    <row r="33" customFormat="false" ht="13.5" hidden="false" customHeight="true" outlineLevel="0" collapsed="false">
      <c r="A33" s="42" t="s">
        <v>506</v>
      </c>
      <c r="B33" s="30" t="s">
        <v>507</v>
      </c>
      <c r="C33" s="30" t="s">
        <v>508</v>
      </c>
      <c r="D33" s="169"/>
      <c r="E33" s="169"/>
      <c r="F33" s="92" t="n">
        <v>0</v>
      </c>
      <c r="G33" s="184" t="n">
        <v>0</v>
      </c>
      <c r="H33" s="184" t="n">
        <v>0</v>
      </c>
      <c r="I33" s="31" t="n">
        <f aca="false">$F33*$G33</f>
        <v>0</v>
      </c>
      <c r="J33" s="31" t="n">
        <f aca="false">$F33*$H33</f>
        <v>0</v>
      </c>
      <c r="K33" s="92" t="n">
        <v>0</v>
      </c>
      <c r="L33" s="92" t="n">
        <v>0</v>
      </c>
      <c r="M33" s="152" t="n">
        <f aca="false">IF($I33&lt;=0,1,$J33/$I33)</f>
        <v>1</v>
      </c>
      <c r="N33" s="152" t="n">
        <f aca="false">IF($K33&lt;=0,1,$J33/$K33)</f>
        <v>1</v>
      </c>
      <c r="O33" s="93"/>
      <c r="P33" s="46" t="str">
        <f aca="false">IF(AND($M33&gt;=0.95,$N33&gt;=0.95),"Green",IF(OR($M33&lt;0.85,$N33&lt;0.85),"Red","Amber"))</f>
        <v>Green</v>
      </c>
      <c r="Q33" s="31" t="n">
        <f aca="false">MAX(0,$E33-$D33)</f>
        <v>0</v>
      </c>
      <c r="R33" s="5"/>
      <c r="S33" s="5"/>
      <c r="T33" s="5"/>
    </row>
    <row r="34" customFormat="false" ht="13.5" hidden="false" customHeight="true" outlineLevel="0" collapsed="false">
      <c r="A34" s="47" t="s">
        <v>511</v>
      </c>
      <c r="B34" s="37" t="s">
        <v>512</v>
      </c>
      <c r="C34" s="37" t="s">
        <v>513</v>
      </c>
      <c r="D34" s="96" t="n">
        <v>46660</v>
      </c>
      <c r="E34" s="96" t="n">
        <v>46721</v>
      </c>
      <c r="F34" s="99" t="n">
        <v>6462946</v>
      </c>
      <c r="G34" s="102" t="n">
        <v>0</v>
      </c>
      <c r="H34" s="102" t="n">
        <v>0</v>
      </c>
      <c r="I34" s="49" t="n">
        <f aca="false">$F34*$G34</f>
        <v>0</v>
      </c>
      <c r="J34" s="49" t="n">
        <f aca="false">$F34*$H34</f>
        <v>0</v>
      </c>
      <c r="K34" s="99" t="n">
        <v>0</v>
      </c>
      <c r="L34" s="99" t="n">
        <v>323147</v>
      </c>
      <c r="M34" s="157" t="n">
        <f aca="false">IF($I34&lt;=0,1,$J34/$I34)</f>
        <v>1</v>
      </c>
      <c r="N34" s="157" t="n">
        <f aca="false">IF($K34&lt;=0,1,$J34/$K34)</f>
        <v>1</v>
      </c>
      <c r="O34" s="103" t="s">
        <v>1521</v>
      </c>
      <c r="P34" s="52" t="str">
        <f aca="false">IF(AND($M34&gt;=0.95,$N34&gt;=0.95),"Green",IF(OR($M34&lt;0.85,$N34&lt;0.85),"Red","Amber"))</f>
        <v>Green</v>
      </c>
      <c r="Q34" s="49" t="n">
        <f aca="false">MAX(0,$E34-$D34)</f>
        <v>61</v>
      </c>
      <c r="R34" s="5"/>
      <c r="S34" s="5"/>
      <c r="T34" s="5"/>
    </row>
    <row r="35" customFormat="false" ht="13.5" hidden="false" customHeight="true" outlineLevel="0" collapsed="false">
      <c r="A35" s="42" t="s">
        <v>516</v>
      </c>
      <c r="B35" s="30" t="s">
        <v>517</v>
      </c>
      <c r="C35" s="30" t="s">
        <v>518</v>
      </c>
      <c r="D35" s="169"/>
      <c r="E35" s="169"/>
      <c r="F35" s="158" t="n">
        <f aca="false">$T$8</f>
        <v>458282</v>
      </c>
      <c r="G35" s="184" t="n">
        <v>0</v>
      </c>
      <c r="H35" s="184" t="n">
        <v>0</v>
      </c>
      <c r="I35" s="31" t="n">
        <f aca="false">$F35*$G35</f>
        <v>0</v>
      </c>
      <c r="J35" s="31" t="n">
        <f aca="false">$F35*$H35</f>
        <v>0</v>
      </c>
      <c r="K35" s="92" t="n">
        <v>0</v>
      </c>
      <c r="L35" s="92" t="n">
        <v>0</v>
      </c>
      <c r="M35" s="152" t="n">
        <f aca="false">IF($I35&lt;=0,1,$J35/$I35)</f>
        <v>1</v>
      </c>
      <c r="N35" s="152" t="n">
        <f aca="false">IF($K35&lt;=0,1,$J35/$K35)</f>
        <v>1</v>
      </c>
      <c r="O35" s="93"/>
      <c r="P35" s="46" t="str">
        <f aca="false">IF(AND($M35&gt;=0.95,$N35&gt;=0.95),"Green",IF(OR($M35&lt;0.85,$N35&lt;0.85),"Red","Amber"))</f>
        <v>Green</v>
      </c>
      <c r="Q35" s="31" t="n">
        <f aca="false">MAX(0,$E35-$D35)</f>
        <v>0</v>
      </c>
      <c r="R35" s="5"/>
      <c r="S35" s="5"/>
      <c r="T35" s="5"/>
    </row>
    <row r="36" customFormat="false" ht="15" hidden="false" customHeight="true" outlineLevel="0" collapsed="false">
      <c r="A36" s="5"/>
      <c r="B36" s="5"/>
      <c r="C36" s="5"/>
      <c r="D36" s="5"/>
      <c r="E36" s="5"/>
      <c r="F36" s="5"/>
      <c r="G36" s="5"/>
      <c r="H36" s="5"/>
      <c r="I36" s="5"/>
      <c r="J36" s="5"/>
      <c r="K36" s="5"/>
      <c r="L36" s="5"/>
      <c r="M36" s="5"/>
      <c r="N36" s="5"/>
      <c r="O36" s="5"/>
      <c r="P36" s="5"/>
      <c r="Q36" s="5"/>
      <c r="R36" s="5"/>
      <c r="S36" s="5"/>
      <c r="T36" s="5"/>
    </row>
    <row r="37" customFormat="false" ht="15" hidden="false" customHeight="true" outlineLevel="0" collapsed="false">
      <c r="A37" s="5"/>
      <c r="B37" s="5"/>
      <c r="C37" s="5"/>
      <c r="D37" s="5"/>
      <c r="E37" s="5"/>
      <c r="F37" s="5"/>
      <c r="G37" s="5"/>
      <c r="H37" s="5"/>
      <c r="I37" s="5"/>
      <c r="J37" s="5"/>
      <c r="K37" s="5"/>
      <c r="L37" s="5"/>
      <c r="M37" s="5"/>
      <c r="N37" s="5"/>
      <c r="O37" s="5"/>
      <c r="P37" s="5"/>
      <c r="Q37" s="5"/>
      <c r="R37" s="5"/>
      <c r="S37" s="5"/>
      <c r="T37" s="5"/>
    </row>
    <row r="38" customFormat="false" ht="15" hidden="false" customHeight="true" outlineLevel="0" collapsed="false">
      <c r="A38" s="5"/>
      <c r="B38" s="5"/>
      <c r="C38" s="5"/>
      <c r="D38" s="5"/>
      <c r="E38" s="5"/>
      <c r="F38" s="5"/>
      <c r="G38" s="5"/>
      <c r="H38" s="5"/>
      <c r="I38" s="5"/>
      <c r="J38" s="5"/>
      <c r="K38" s="5"/>
      <c r="L38" s="5"/>
      <c r="M38" s="5"/>
      <c r="N38" s="5"/>
      <c r="O38" s="5"/>
      <c r="P38" s="5"/>
      <c r="Q38" s="5"/>
      <c r="R38" s="5"/>
      <c r="S38" s="5"/>
      <c r="T38" s="5"/>
    </row>
    <row r="39" customFormat="false" ht="15" hidden="false" customHeight="true" outlineLevel="0" collapsed="false">
      <c r="A39" s="5"/>
      <c r="B39" s="5"/>
      <c r="C39" s="5"/>
      <c r="D39" s="5"/>
      <c r="E39" s="5"/>
      <c r="F39" s="5"/>
      <c r="G39" s="5"/>
      <c r="H39" s="5"/>
      <c r="I39" s="5"/>
      <c r="J39" s="5"/>
      <c r="K39" s="5"/>
      <c r="L39" s="5"/>
      <c r="M39" s="5"/>
      <c r="N39" s="5"/>
      <c r="O39" s="5"/>
      <c r="P39" s="5"/>
      <c r="Q39" s="5"/>
      <c r="R39" s="5"/>
      <c r="S39" s="5"/>
      <c r="T39" s="5"/>
    </row>
    <row r="40" customFormat="false" ht="15" hidden="false" customHeight="true" outlineLevel="0" collapsed="false">
      <c r="A40" s="5"/>
      <c r="B40" s="5"/>
      <c r="C40" s="5"/>
      <c r="D40" s="5"/>
      <c r="E40" s="5"/>
      <c r="F40" s="5"/>
      <c r="G40" s="5"/>
      <c r="H40" s="5"/>
      <c r="I40" s="5"/>
      <c r="J40" s="5"/>
      <c r="K40" s="5"/>
      <c r="L40" s="5"/>
      <c r="M40" s="5"/>
      <c r="N40" s="5"/>
      <c r="O40" s="5"/>
      <c r="P40" s="5"/>
      <c r="Q40" s="5"/>
      <c r="R40" s="5"/>
      <c r="S40" s="5"/>
      <c r="T40" s="5"/>
    </row>
    <row r="41" customFormat="false" ht="15" hidden="false" customHeight="true" outlineLevel="0" collapsed="false">
      <c r="A41" s="27" t="s">
        <v>1522</v>
      </c>
      <c r="B41" s="27"/>
      <c r="C41" s="27"/>
      <c r="D41" s="27"/>
      <c r="E41" s="27"/>
      <c r="F41" s="28" t="n">
        <f aca="false">SUM($F$27:$F$35)</f>
        <v>45268040</v>
      </c>
      <c r="G41" s="104" t="n">
        <f aca="false">IF($F41=0,0,$I41/$F41)</f>
        <v>0.141578955240828</v>
      </c>
      <c r="H41" s="104" t="n">
        <f aca="false">IF($F41=0,0,$J41/$F41)</f>
        <v>0.123709785234793</v>
      </c>
      <c r="I41" s="28" t="n">
        <f aca="false">SUM($I$27:$I$35)</f>
        <v>6409001.809</v>
      </c>
      <c r="J41" s="28" t="n">
        <f aca="false">SUM($J$27:$J$35)</f>
        <v>5600099.5064</v>
      </c>
      <c r="K41" s="28" t="n">
        <f aca="false">SUM($K$27:$K$35)</f>
        <v>5911342</v>
      </c>
      <c r="L41" s="28" t="n">
        <f aca="false">SUM($L$27:$L$35)</f>
        <v>20806376</v>
      </c>
      <c r="M41" s="29" t="n">
        <f aca="false">IF($I41&lt;=0,1,$J41/$I41)</f>
        <v>0.873786538573904</v>
      </c>
      <c r="N41" s="29" t="n">
        <f aca="false">IF($K41&lt;=0,1,$J41/$K41)</f>
        <v>0.947348251276952</v>
      </c>
      <c r="O41" s="105"/>
      <c r="P41" s="234" t="n">
        <f aca="false">$I41</f>
        <v>6409001.809</v>
      </c>
      <c r="Q41" s="234" t="n">
        <f aca="false">$J41</f>
        <v>5600099.5064</v>
      </c>
      <c r="R41" s="147" t="n">
        <f aca="false">$K41</f>
        <v>5911342</v>
      </c>
      <c r="S41" s="147" t="n">
        <f aca="false">$L41</f>
        <v>20806376</v>
      </c>
      <c r="T41" s="5"/>
    </row>
    <row r="42" customFormat="false" ht="15" hidden="false" customHeight="true" outlineLevel="0" collapsed="false">
      <c r="A42" s="5"/>
      <c r="B42" s="5"/>
      <c r="C42" s="5"/>
      <c r="D42" s="5"/>
      <c r="E42" s="5"/>
      <c r="F42" s="5"/>
      <c r="G42" s="5"/>
      <c r="H42" s="5"/>
      <c r="I42" s="5"/>
      <c r="J42" s="5"/>
      <c r="K42" s="5"/>
      <c r="L42" s="5"/>
      <c r="M42" s="5"/>
      <c r="N42" s="5"/>
      <c r="O42" s="5"/>
      <c r="P42" s="5"/>
      <c r="Q42" s="5"/>
      <c r="R42" s="5"/>
      <c r="S42" s="5"/>
      <c r="T42" s="5"/>
    </row>
    <row r="43" customFormat="false" ht="19.5" hidden="false" customHeight="true" outlineLevel="0" collapsed="false">
      <c r="A43" s="13" t="s">
        <v>1523</v>
      </c>
      <c r="B43" s="13"/>
      <c r="C43" s="13"/>
      <c r="D43" s="13"/>
      <c r="E43" s="13"/>
      <c r="F43" s="13"/>
      <c r="G43" s="13"/>
      <c r="H43" s="13"/>
      <c r="I43" s="13"/>
      <c r="J43" s="13"/>
      <c r="K43" s="13"/>
      <c r="L43" s="13"/>
      <c r="M43" s="13"/>
      <c r="N43" s="13"/>
      <c r="O43" s="13"/>
      <c r="P43" s="13"/>
      <c r="Q43" s="13"/>
      <c r="R43" s="13"/>
      <c r="S43" s="5"/>
      <c r="T43" s="5"/>
    </row>
    <row r="44" customFormat="false" ht="13.5" hidden="false" customHeight="true" outlineLevel="0" collapsed="false">
      <c r="A44" s="80" t="s">
        <v>1524</v>
      </c>
      <c r="B44" s="80"/>
      <c r="C44" s="80"/>
      <c r="D44" s="80"/>
      <c r="E44" s="80"/>
      <c r="F44" s="80"/>
      <c r="G44" s="80"/>
      <c r="H44" s="80"/>
      <c r="I44" s="80"/>
      <c r="J44" s="80"/>
      <c r="K44" s="80"/>
      <c r="L44" s="80"/>
      <c r="M44" s="80"/>
      <c r="N44" s="80"/>
      <c r="O44" s="80"/>
      <c r="P44" s="80"/>
      <c r="Q44" s="80"/>
      <c r="R44" s="80"/>
      <c r="S44" s="5"/>
      <c r="T44" s="5"/>
    </row>
    <row r="45" customFormat="false" ht="15" hidden="false" customHeight="true" outlineLevel="0" collapsed="false">
      <c r="A45" s="5"/>
      <c r="B45" s="5"/>
      <c r="C45" s="5"/>
      <c r="D45" s="5"/>
      <c r="E45" s="5"/>
      <c r="F45" s="5"/>
      <c r="G45" s="5"/>
      <c r="H45" s="5"/>
      <c r="I45" s="5"/>
      <c r="J45" s="5"/>
      <c r="K45" s="5"/>
      <c r="L45" s="5"/>
      <c r="M45" s="5"/>
      <c r="N45" s="5"/>
      <c r="O45" s="5"/>
      <c r="P45" s="5"/>
      <c r="Q45" s="5"/>
      <c r="R45" s="5"/>
      <c r="S45" s="5"/>
      <c r="T45" s="5"/>
    </row>
    <row r="46" customFormat="false" ht="27.75" hidden="false" customHeight="true" outlineLevel="0" collapsed="false">
      <c r="A46" s="23" t="s">
        <v>614</v>
      </c>
      <c r="B46" s="23"/>
      <c r="C46" s="23"/>
      <c r="D46" s="23"/>
      <c r="E46" s="23" t="s">
        <v>1525</v>
      </c>
      <c r="F46" s="23" t="s">
        <v>1526</v>
      </c>
      <c r="G46" s="23" t="s">
        <v>1527</v>
      </c>
      <c r="H46" s="23" t="s">
        <v>1528</v>
      </c>
      <c r="I46" s="23" t="s">
        <v>1529</v>
      </c>
      <c r="J46" s="23" t="s">
        <v>621</v>
      </c>
      <c r="K46" s="23" t="s">
        <v>288</v>
      </c>
      <c r="L46" s="23"/>
      <c r="M46" s="23"/>
      <c r="N46" s="23"/>
      <c r="O46" s="23"/>
      <c r="P46" s="23"/>
      <c r="Q46" s="23"/>
      <c r="R46" s="23"/>
      <c r="S46" s="5"/>
      <c r="T46" s="5"/>
    </row>
    <row r="47" customFormat="false" ht="13.5" hidden="false" customHeight="true" outlineLevel="0" collapsed="false">
      <c r="A47" s="30" t="s">
        <v>622</v>
      </c>
      <c r="B47" s="30"/>
      <c r="C47" s="30"/>
      <c r="D47" s="30"/>
      <c r="E47" s="92" t="n">
        <v>0</v>
      </c>
      <c r="F47" s="92" t="n">
        <v>0</v>
      </c>
      <c r="G47" s="92" t="n">
        <v>0</v>
      </c>
      <c r="H47" s="92" t="n">
        <v>0</v>
      </c>
      <c r="I47" s="31" t="n">
        <f aca="false">($E47+$F47)*1.012</f>
        <v>0</v>
      </c>
      <c r="J47" s="87" t="n">
        <f aca="false">IF(($E47+$F47)=0,0,(($E47+$F47)-$I47)/($E47+$F47))</f>
        <v>0</v>
      </c>
      <c r="K47" s="46" t="str">
        <f aca="false">IF($G47&lt;=($E47+$F47),"Green",IF($G47&lt;=($E47+$F47)*1.05,"Amber","Red"))</f>
        <v>Green</v>
      </c>
      <c r="L47" s="5"/>
      <c r="M47" s="5"/>
      <c r="N47" s="5"/>
      <c r="O47" s="5"/>
      <c r="P47" s="5"/>
      <c r="Q47" s="5"/>
      <c r="R47" s="5"/>
      <c r="S47" s="5"/>
      <c r="T47" s="5"/>
    </row>
    <row r="48" customFormat="false" ht="13.5" hidden="false" customHeight="true" outlineLevel="0" collapsed="false">
      <c r="A48" s="37" t="s">
        <v>623</v>
      </c>
      <c r="B48" s="37"/>
      <c r="C48" s="37"/>
      <c r="D48" s="37"/>
      <c r="E48" s="99" t="n">
        <v>5342702</v>
      </c>
      <c r="F48" s="99" t="n">
        <v>0</v>
      </c>
      <c r="G48" s="99" t="n">
        <v>1136843</v>
      </c>
      <c r="H48" s="99" t="n">
        <v>2418434</v>
      </c>
      <c r="I48" s="49" t="n">
        <f aca="false">($E48+$F48)*1.012</f>
        <v>5406814.424</v>
      </c>
      <c r="J48" s="100" t="n">
        <f aca="false">IF(($E48+$F48)=0,0,(($E48+$F48)-$I48)/($E48+$F48))</f>
        <v>-0.0119999999999999</v>
      </c>
      <c r="K48" s="52" t="str">
        <f aca="false">IF($G48&lt;=($E48+$F48),"Green",IF($G48&lt;=($E48+$F48)*1.05,"Amber","Red"))</f>
        <v>Green</v>
      </c>
      <c r="L48" s="5"/>
      <c r="M48" s="5"/>
      <c r="N48" s="5"/>
      <c r="O48" s="5"/>
      <c r="P48" s="5"/>
      <c r="Q48" s="5"/>
      <c r="R48" s="5"/>
      <c r="S48" s="5"/>
      <c r="T48" s="5"/>
    </row>
    <row r="49" customFormat="false" ht="13.5" hidden="false" customHeight="true" outlineLevel="0" collapsed="false">
      <c r="A49" s="30" t="s">
        <v>624</v>
      </c>
      <c r="B49" s="30"/>
      <c r="C49" s="30"/>
      <c r="D49" s="30"/>
      <c r="E49" s="92" t="n">
        <v>0</v>
      </c>
      <c r="F49" s="92" t="n">
        <v>0</v>
      </c>
      <c r="G49" s="92" t="n">
        <v>0</v>
      </c>
      <c r="H49" s="92" t="n">
        <v>0</v>
      </c>
      <c r="I49" s="31" t="n">
        <f aca="false">($E49+$F49)*1.012</f>
        <v>0</v>
      </c>
      <c r="J49" s="87" t="n">
        <f aca="false">IF(($E49+$F49)=0,0,(($E49+$F49)-$I49)/($E49+$F49))</f>
        <v>0</v>
      </c>
      <c r="K49" s="46" t="str">
        <f aca="false">IF($G49&lt;=($E49+$F49),"Green",IF($G49&lt;=($E49+$F49)*1.05,"Amber","Red"))</f>
        <v>Green</v>
      </c>
      <c r="L49" s="5"/>
      <c r="M49" s="5"/>
      <c r="N49" s="5"/>
      <c r="O49" s="5"/>
      <c r="P49" s="5"/>
      <c r="Q49" s="5"/>
      <c r="R49" s="5"/>
      <c r="S49" s="5"/>
      <c r="T49" s="5"/>
    </row>
    <row r="50" customFormat="false" ht="13.5" hidden="false" customHeight="true" outlineLevel="0" collapsed="false">
      <c r="A50" s="37" t="s">
        <v>625</v>
      </c>
      <c r="B50" s="37"/>
      <c r="C50" s="37"/>
      <c r="D50" s="37"/>
      <c r="E50" s="99" t="n">
        <v>6462946</v>
      </c>
      <c r="F50" s="99" t="n">
        <v>0</v>
      </c>
      <c r="G50" s="99" t="n">
        <v>829227</v>
      </c>
      <c r="H50" s="99" t="n">
        <v>2216898</v>
      </c>
      <c r="I50" s="49" t="n">
        <f aca="false">($E50+$F50)*1.012</f>
        <v>6540501.352</v>
      </c>
      <c r="J50" s="100" t="n">
        <f aca="false">IF(($E50+$F50)=0,0,(($E50+$F50)-$I50)/($E50+$F50))</f>
        <v>-0.012</v>
      </c>
      <c r="K50" s="52" t="str">
        <f aca="false">IF($G50&lt;=($E50+$F50),"Green",IF($G50&lt;=($E50+$F50)*1.05,"Amber","Red"))</f>
        <v>Green</v>
      </c>
      <c r="L50" s="5"/>
      <c r="M50" s="5"/>
      <c r="N50" s="5"/>
      <c r="O50" s="5"/>
      <c r="P50" s="5"/>
      <c r="Q50" s="5"/>
      <c r="R50" s="5"/>
      <c r="S50" s="5"/>
      <c r="T50" s="5"/>
    </row>
    <row r="51" customFormat="false" ht="13.5" hidden="false" customHeight="true" outlineLevel="0" collapsed="false">
      <c r="A51" s="30" t="s">
        <v>626</v>
      </c>
      <c r="B51" s="30"/>
      <c r="C51" s="30"/>
      <c r="D51" s="30"/>
      <c r="E51" s="92" t="n">
        <v>0</v>
      </c>
      <c r="F51" s="92" t="n">
        <v>0</v>
      </c>
      <c r="G51" s="92" t="n">
        <v>0</v>
      </c>
      <c r="H51" s="92" t="n">
        <v>0</v>
      </c>
      <c r="I51" s="31" t="n">
        <f aca="false">($E51+$F51)*1.012</f>
        <v>0</v>
      </c>
      <c r="J51" s="87" t="n">
        <f aca="false">IF(($E51+$F51)=0,0,(($E51+$F51)-$I51)/($E51+$F51))</f>
        <v>0</v>
      </c>
      <c r="K51" s="46" t="str">
        <f aca="false">IF($G51&lt;=($E51+$F51),"Green",IF($G51&lt;=($E51+$F51)*1.05,"Amber","Red"))</f>
        <v>Green</v>
      </c>
      <c r="L51" s="5"/>
      <c r="M51" s="5"/>
      <c r="N51" s="5"/>
      <c r="O51" s="5"/>
      <c r="P51" s="5"/>
      <c r="Q51" s="5"/>
      <c r="R51" s="5"/>
      <c r="S51" s="5"/>
      <c r="T51" s="5"/>
    </row>
    <row r="52" customFormat="false" ht="13.5" hidden="false" customHeight="true" outlineLevel="0" collapsed="false">
      <c r="A52" s="37" t="s">
        <v>627</v>
      </c>
      <c r="B52" s="37"/>
      <c r="C52" s="37"/>
      <c r="D52" s="37"/>
      <c r="E52" s="99" t="n">
        <v>17234522</v>
      </c>
      <c r="F52" s="99" t="n">
        <v>0</v>
      </c>
      <c r="G52" s="99" t="n">
        <v>2006194</v>
      </c>
      <c r="H52" s="99" t="n">
        <v>8666056</v>
      </c>
      <c r="I52" s="49" t="n">
        <f aca="false">($E52+$F52)*1.012</f>
        <v>17441336.264</v>
      </c>
      <c r="J52" s="100" t="n">
        <f aca="false">IF(($E52+$F52)=0,0,(($E52+$F52)-$I52)/($E52+$F52))</f>
        <v>-0.0119999999999999</v>
      </c>
      <c r="K52" s="52" t="str">
        <f aca="false">IF($G52&lt;=($E52+$F52),"Green",IF($G52&lt;=($E52+$F52)*1.05,"Amber","Red"))</f>
        <v>Green</v>
      </c>
      <c r="L52" s="5"/>
      <c r="M52" s="5"/>
      <c r="N52" s="5"/>
      <c r="O52" s="5"/>
      <c r="P52" s="5"/>
      <c r="Q52" s="5"/>
      <c r="R52" s="5"/>
      <c r="S52" s="5"/>
      <c r="T52" s="5"/>
    </row>
    <row r="53" customFormat="false" ht="13.5" hidden="false" customHeight="true" outlineLevel="0" collapsed="false">
      <c r="A53" s="30" t="s">
        <v>628</v>
      </c>
      <c r="B53" s="30"/>
      <c r="C53" s="30"/>
      <c r="D53" s="30"/>
      <c r="E53" s="92" t="n">
        <v>0</v>
      </c>
      <c r="F53" s="92" t="n">
        <v>0</v>
      </c>
      <c r="G53" s="92" t="n">
        <v>0</v>
      </c>
      <c r="H53" s="92" t="n">
        <v>0</v>
      </c>
      <c r="I53" s="31" t="n">
        <f aca="false">($E53+$F53)*1.012</f>
        <v>0</v>
      </c>
      <c r="J53" s="87" t="n">
        <f aca="false">IF(($E53+$F53)=0,0,(($E53+$F53)-$I53)/($E53+$F53))</f>
        <v>0</v>
      </c>
      <c r="K53" s="46" t="str">
        <f aca="false">IF($G53&lt;=($E53+$F53),"Green",IF($G53&lt;=($E53+$F53)*1.05,"Amber","Red"))</f>
        <v>Green</v>
      </c>
      <c r="L53" s="5"/>
      <c r="M53" s="5"/>
      <c r="N53" s="5"/>
      <c r="O53" s="5"/>
      <c r="P53" s="5"/>
      <c r="Q53" s="5"/>
      <c r="R53" s="5"/>
      <c r="S53" s="5"/>
      <c r="T53" s="5"/>
    </row>
    <row r="54" customFormat="false" ht="13.5" hidden="false" customHeight="true" outlineLevel="0" collapsed="false">
      <c r="A54" s="37" t="s">
        <v>629</v>
      </c>
      <c r="B54" s="37"/>
      <c r="C54" s="37"/>
      <c r="D54" s="37"/>
      <c r="E54" s="99" t="n">
        <v>1895797</v>
      </c>
      <c r="F54" s="99" t="n">
        <v>0</v>
      </c>
      <c r="G54" s="99" t="n">
        <v>294242</v>
      </c>
      <c r="H54" s="99" t="n">
        <v>806145</v>
      </c>
      <c r="I54" s="49" t="n">
        <f aca="false">($E54+$F54)*1.012</f>
        <v>1918546.564</v>
      </c>
      <c r="J54" s="100" t="n">
        <f aca="false">IF(($E54+$F54)=0,0,(($E54+$F54)-$I54)/($E54+$F54))</f>
        <v>-0.012</v>
      </c>
      <c r="K54" s="52" t="str">
        <f aca="false">IF($G54&lt;=($E54+$F54),"Green",IF($G54&lt;=($E54+$F54)*1.05,"Amber","Red"))</f>
        <v>Green</v>
      </c>
      <c r="L54" s="5"/>
      <c r="M54" s="5"/>
      <c r="N54" s="5"/>
      <c r="O54" s="5"/>
      <c r="P54" s="5"/>
      <c r="Q54" s="5"/>
      <c r="R54" s="5"/>
      <c r="S54" s="5"/>
      <c r="T54" s="5"/>
    </row>
    <row r="55" customFormat="false" ht="13.5" hidden="false" customHeight="true" outlineLevel="0" collapsed="false">
      <c r="A55" s="30" t="s">
        <v>630</v>
      </c>
      <c r="B55" s="30"/>
      <c r="C55" s="30"/>
      <c r="D55" s="30"/>
      <c r="E55" s="92" t="n">
        <v>0</v>
      </c>
      <c r="F55" s="92" t="n">
        <v>0</v>
      </c>
      <c r="G55" s="92" t="n">
        <v>0</v>
      </c>
      <c r="H55" s="92" t="n">
        <v>0</v>
      </c>
      <c r="I55" s="31" t="n">
        <f aca="false">($E55+$F55)*1.012</f>
        <v>0</v>
      </c>
      <c r="J55" s="87" t="n">
        <f aca="false">IF(($E55+$F55)=0,0,(($E55+$F55)-$I55)/($E55+$F55))</f>
        <v>0</v>
      </c>
      <c r="K55" s="46" t="str">
        <f aca="false">IF($G55&lt;=($E55+$F55),"Green",IF($G55&lt;=($E55+$F55)*1.05,"Amber","Red"))</f>
        <v>Green</v>
      </c>
      <c r="L55" s="5"/>
      <c r="M55" s="5"/>
      <c r="N55" s="5"/>
      <c r="O55" s="5"/>
      <c r="P55" s="5"/>
      <c r="Q55" s="5"/>
      <c r="R55" s="5"/>
      <c r="S55" s="5"/>
      <c r="T55" s="5"/>
    </row>
    <row r="56" customFormat="false" ht="13.5" hidden="false" customHeight="true" outlineLevel="0" collapsed="false">
      <c r="A56" s="37" t="s">
        <v>631</v>
      </c>
      <c r="B56" s="37"/>
      <c r="C56" s="37"/>
      <c r="D56" s="37"/>
      <c r="E56" s="99" t="n">
        <v>2585178</v>
      </c>
      <c r="F56" s="99" t="n">
        <v>0</v>
      </c>
      <c r="G56" s="99" t="n">
        <v>0</v>
      </c>
      <c r="H56" s="99" t="n">
        <v>0</v>
      </c>
      <c r="I56" s="49" t="n">
        <f aca="false">($E56+$F56)*1.012</f>
        <v>2616200.136</v>
      </c>
      <c r="J56" s="100" t="n">
        <f aca="false">IF(($E56+$F56)=0,0,(($E56+$F56)-$I56)/($E56+$F56))</f>
        <v>-0.012</v>
      </c>
      <c r="K56" s="52" t="str">
        <f aca="false">IF($G56&lt;=($E56+$F56),"Green",IF($G56&lt;=($E56+$F56)*1.05,"Amber","Red"))</f>
        <v>Green</v>
      </c>
      <c r="L56" s="5"/>
      <c r="M56" s="5"/>
      <c r="N56" s="5"/>
      <c r="O56" s="5"/>
      <c r="P56" s="5"/>
      <c r="Q56" s="5"/>
      <c r="R56" s="5"/>
      <c r="S56" s="5"/>
      <c r="T56" s="5"/>
    </row>
    <row r="57" customFormat="false" ht="13.5" hidden="false" customHeight="true" outlineLevel="0" collapsed="false">
      <c r="A57" s="30" t="s">
        <v>632</v>
      </c>
      <c r="B57" s="30"/>
      <c r="C57" s="30"/>
      <c r="D57" s="30"/>
      <c r="E57" s="92" t="n">
        <v>0</v>
      </c>
      <c r="F57" s="158" t="n">
        <f aca="false">$T$8</f>
        <v>458282</v>
      </c>
      <c r="G57" s="92" t="n">
        <v>0</v>
      </c>
      <c r="H57" s="92" t="n">
        <v>0</v>
      </c>
      <c r="I57" s="31" t="n">
        <f aca="false">($E57+$F57)*1.012</f>
        <v>463781.384</v>
      </c>
      <c r="J57" s="87" t="n">
        <f aca="false">IF(($E57+$F57)=0,0,(($E57+$F57)-$I57)/($E57+$F57))</f>
        <v>-0.012</v>
      </c>
      <c r="K57" s="46" t="str">
        <f aca="false">IF($G57&lt;=($E57+$F57),"Green",IF($G57&lt;=($E57+$F57)*1.05,"Amber","Red"))</f>
        <v>Green</v>
      </c>
      <c r="L57" s="5"/>
      <c r="M57" s="5"/>
      <c r="N57" s="5"/>
      <c r="O57" s="5"/>
      <c r="P57" s="5"/>
      <c r="Q57" s="5"/>
      <c r="R57" s="5"/>
      <c r="S57" s="5"/>
      <c r="T57" s="5"/>
    </row>
    <row r="58" customFormat="false" ht="15" hidden="false" customHeight="true" outlineLevel="0" collapsed="false">
      <c r="A58" s="27" t="s">
        <v>1530</v>
      </c>
      <c r="B58" s="27"/>
      <c r="C58" s="27"/>
      <c r="D58" s="27"/>
      <c r="E58" s="28" t="n">
        <f aca="false">SUM($E$47:$E$57)</f>
        <v>33521145</v>
      </c>
      <c r="F58" s="28" t="n">
        <f aca="false">SUM($F$47:$F$57)</f>
        <v>458282</v>
      </c>
      <c r="G58" s="28" t="n">
        <f aca="false">SUM($G$47:$G$57)</f>
        <v>4266506</v>
      </c>
      <c r="H58" s="28" t="n">
        <f aca="false">SUM($H$47:$H$57)</f>
        <v>14107533</v>
      </c>
      <c r="I58" s="28" t="n">
        <f aca="false">SUM($I$47:$I$57)</f>
        <v>34387180.124</v>
      </c>
      <c r="J58" s="146" t="str">
        <f aca="false">IF($R$41=$G58,"Ties to WBS","CHECK: differs from WBS")</f>
        <v>CHECK: differs from WBS</v>
      </c>
      <c r="K58" s="146"/>
      <c r="L58" s="5"/>
      <c r="M58" s="5"/>
      <c r="N58" s="5"/>
      <c r="O58" s="5"/>
      <c r="P58" s="5"/>
      <c r="Q58" s="5"/>
      <c r="R58" s="5"/>
      <c r="S58" s="5"/>
      <c r="T58" s="5"/>
    </row>
    <row r="59" customFormat="false" ht="15" hidden="false" customHeight="true" outlineLevel="0" collapsed="false">
      <c r="A59" s="5"/>
      <c r="B59" s="5"/>
      <c r="C59" s="5"/>
      <c r="D59" s="5"/>
      <c r="E59" s="5"/>
      <c r="F59" s="5"/>
      <c r="G59" s="5"/>
      <c r="H59" s="5"/>
      <c r="I59" s="5"/>
      <c r="J59" s="5"/>
      <c r="K59" s="5"/>
      <c r="L59" s="5"/>
      <c r="M59" s="5"/>
      <c r="N59" s="5"/>
      <c r="O59" s="5"/>
      <c r="P59" s="5"/>
      <c r="Q59" s="5"/>
      <c r="R59" s="5"/>
      <c r="S59" s="5"/>
      <c r="T59" s="5"/>
    </row>
    <row r="60" customFormat="false" ht="19.5" hidden="false" customHeight="true" outlineLevel="0" collapsed="false">
      <c r="A60" s="13" t="s">
        <v>1531</v>
      </c>
      <c r="B60" s="13"/>
      <c r="C60" s="13"/>
      <c r="D60" s="13"/>
      <c r="E60" s="13"/>
      <c r="F60" s="13"/>
      <c r="G60" s="13"/>
      <c r="H60" s="13"/>
      <c r="I60" s="13"/>
      <c r="J60" s="13"/>
      <c r="K60" s="13"/>
      <c r="L60" s="13"/>
      <c r="M60" s="13"/>
      <c r="N60" s="13"/>
      <c r="O60" s="13"/>
      <c r="P60" s="13"/>
      <c r="Q60" s="13"/>
      <c r="R60" s="13"/>
      <c r="S60" s="5"/>
      <c r="T60" s="5"/>
    </row>
    <row r="61" customFormat="false" ht="13.5" hidden="false" customHeight="true" outlineLevel="0" collapsed="false">
      <c r="A61" s="80" t="s">
        <v>1532</v>
      </c>
      <c r="B61" s="80"/>
      <c r="C61" s="80"/>
      <c r="D61" s="80"/>
      <c r="E61" s="80"/>
      <c r="F61" s="80"/>
      <c r="G61" s="80"/>
      <c r="H61" s="80"/>
      <c r="I61" s="80"/>
      <c r="J61" s="80"/>
      <c r="K61" s="80"/>
      <c r="L61" s="80"/>
      <c r="M61" s="80"/>
      <c r="N61" s="80"/>
      <c r="O61" s="80"/>
      <c r="P61" s="80"/>
      <c r="Q61" s="80"/>
      <c r="R61" s="80"/>
      <c r="S61" s="5"/>
      <c r="T61" s="5"/>
    </row>
    <row r="62" customFormat="false" ht="27.75" hidden="false" customHeight="true" outlineLevel="0" collapsed="false">
      <c r="A62" s="23" t="s">
        <v>1533</v>
      </c>
      <c r="B62" s="23" t="s">
        <v>1082</v>
      </c>
      <c r="C62" s="23"/>
      <c r="D62" s="23"/>
      <c r="E62" s="23" t="s">
        <v>765</v>
      </c>
      <c r="F62" s="23" t="s">
        <v>768</v>
      </c>
      <c r="G62" s="23" t="s">
        <v>1534</v>
      </c>
      <c r="H62" s="23" t="s">
        <v>1535</v>
      </c>
      <c r="I62" s="23" t="s">
        <v>78</v>
      </c>
      <c r="J62" s="23" t="s">
        <v>766</v>
      </c>
      <c r="K62" s="23"/>
      <c r="L62" s="23"/>
      <c r="M62" s="23"/>
      <c r="N62" s="23"/>
      <c r="O62" s="23"/>
      <c r="P62" s="23"/>
      <c r="Q62" s="23"/>
      <c r="R62" s="23"/>
      <c r="S62" s="5"/>
      <c r="T62" s="5"/>
    </row>
    <row r="63" customFormat="false" ht="13.5" hidden="false" customHeight="true" outlineLevel="0" collapsed="false">
      <c r="A63" s="42" t="s">
        <v>670</v>
      </c>
      <c r="B63" s="30" t="s">
        <v>778</v>
      </c>
      <c r="C63" s="30"/>
      <c r="D63" s="30"/>
      <c r="E63" s="45" t="s">
        <v>779</v>
      </c>
      <c r="F63" s="92" t="n">
        <v>0</v>
      </c>
      <c r="G63" s="92" t="n">
        <v>0</v>
      </c>
      <c r="H63" s="92" t="n">
        <v>0</v>
      </c>
      <c r="I63" s="93"/>
      <c r="J63" s="45" t="s">
        <v>666</v>
      </c>
      <c r="K63" s="5"/>
      <c r="L63" s="5"/>
      <c r="M63" s="5"/>
      <c r="N63" s="5"/>
      <c r="O63" s="5"/>
      <c r="P63" s="5"/>
      <c r="Q63" s="5"/>
      <c r="R63" s="5"/>
      <c r="S63" s="5"/>
      <c r="T63" s="5"/>
    </row>
    <row r="64" customFormat="false" ht="13.5" hidden="false" customHeight="true" outlineLevel="0" collapsed="false">
      <c r="A64" s="47" t="s">
        <v>677</v>
      </c>
      <c r="B64" s="37" t="s">
        <v>781</v>
      </c>
      <c r="C64" s="37"/>
      <c r="D64" s="37"/>
      <c r="E64" s="51" t="s">
        <v>674</v>
      </c>
      <c r="F64" s="99" t="n">
        <v>509202</v>
      </c>
      <c r="G64" s="99" t="n">
        <v>458282</v>
      </c>
      <c r="H64" s="99" t="n">
        <v>7</v>
      </c>
      <c r="I64" s="103" t="s">
        <v>1536</v>
      </c>
      <c r="J64" s="51" t="s">
        <v>672</v>
      </c>
      <c r="K64" s="5"/>
      <c r="L64" s="5"/>
      <c r="M64" s="5"/>
      <c r="N64" s="5"/>
      <c r="O64" s="5"/>
      <c r="P64" s="5"/>
      <c r="Q64" s="5"/>
      <c r="R64" s="5"/>
      <c r="S64" s="5"/>
      <c r="T64" s="5"/>
    </row>
    <row r="65" customFormat="false" ht="13.5" hidden="false" customHeight="true" outlineLevel="0" collapsed="false">
      <c r="A65" s="42" t="s">
        <v>683</v>
      </c>
      <c r="B65" s="30" t="s">
        <v>782</v>
      </c>
      <c r="C65" s="30"/>
      <c r="D65" s="30"/>
      <c r="E65" s="45" t="s">
        <v>783</v>
      </c>
      <c r="F65" s="92" t="n">
        <v>0</v>
      </c>
      <c r="G65" s="92" t="n">
        <v>0</v>
      </c>
      <c r="H65" s="92" t="n">
        <v>0</v>
      </c>
      <c r="I65" s="93"/>
      <c r="J65" s="45" t="s">
        <v>679</v>
      </c>
      <c r="K65" s="5"/>
      <c r="L65" s="5"/>
      <c r="M65" s="5"/>
      <c r="N65" s="5"/>
      <c r="O65" s="5"/>
      <c r="P65" s="5"/>
      <c r="Q65" s="5"/>
      <c r="R65" s="5"/>
      <c r="S65" s="5"/>
      <c r="T65" s="5"/>
    </row>
    <row r="66" customFormat="false" ht="15" hidden="false" customHeight="true" outlineLevel="0" collapsed="false">
      <c r="A66" s="5"/>
      <c r="B66" s="5"/>
      <c r="C66" s="5"/>
      <c r="D66" s="5"/>
      <c r="E66" s="5"/>
      <c r="F66" s="5"/>
      <c r="G66" s="5"/>
      <c r="H66" s="5"/>
      <c r="I66" s="5"/>
      <c r="J66" s="5"/>
      <c r="K66" s="5"/>
      <c r="L66" s="5"/>
      <c r="M66" s="5"/>
      <c r="N66" s="5"/>
      <c r="O66" s="5"/>
      <c r="P66" s="5"/>
      <c r="Q66" s="5"/>
      <c r="R66" s="5"/>
      <c r="S66" s="5"/>
      <c r="T66" s="5"/>
    </row>
    <row r="67" customFormat="false" ht="27.75" hidden="false" customHeight="true" outlineLevel="0" collapsed="false">
      <c r="A67" s="23" t="s">
        <v>652</v>
      </c>
      <c r="B67" s="23" t="s">
        <v>1538</v>
      </c>
      <c r="C67" s="23"/>
      <c r="D67" s="23"/>
      <c r="E67" s="23" t="s">
        <v>655</v>
      </c>
      <c r="F67" s="23" t="s">
        <v>657</v>
      </c>
      <c r="G67" s="23" t="s">
        <v>658</v>
      </c>
      <c r="H67" s="23" t="s">
        <v>78</v>
      </c>
      <c r="I67" s="23" t="s">
        <v>660</v>
      </c>
      <c r="J67" s="23"/>
      <c r="K67" s="23"/>
      <c r="L67" s="23"/>
      <c r="M67" s="23"/>
      <c r="N67" s="23"/>
      <c r="O67" s="23"/>
      <c r="P67" s="23"/>
      <c r="Q67" s="23"/>
      <c r="R67" s="23"/>
      <c r="S67" s="5"/>
      <c r="T67" s="5"/>
    </row>
    <row r="68" customFormat="false" ht="13.5" hidden="false" customHeight="true" outlineLevel="0" collapsed="false">
      <c r="A68" s="42" t="s">
        <v>666</v>
      </c>
      <c r="B68" s="30" t="s">
        <v>668</v>
      </c>
      <c r="C68" s="30"/>
      <c r="D68" s="30"/>
      <c r="E68" s="45" t="s">
        <v>95</v>
      </c>
      <c r="F68" s="92" t="n">
        <v>0</v>
      </c>
      <c r="G68" s="92" t="n">
        <v>0</v>
      </c>
      <c r="H68" s="93"/>
      <c r="I68" s="45" t="s">
        <v>670</v>
      </c>
      <c r="J68" s="5"/>
      <c r="K68" s="5"/>
      <c r="L68" s="5"/>
      <c r="M68" s="5"/>
      <c r="N68" s="5"/>
      <c r="O68" s="5"/>
      <c r="P68" s="5"/>
      <c r="Q68" s="5"/>
      <c r="R68" s="5"/>
      <c r="S68" s="5"/>
      <c r="T68" s="5"/>
    </row>
    <row r="69" customFormat="false" ht="13.5" hidden="false" customHeight="true" outlineLevel="0" collapsed="false">
      <c r="A69" s="47" t="s">
        <v>672</v>
      </c>
      <c r="B69" s="37" t="s">
        <v>675</v>
      </c>
      <c r="C69" s="37"/>
      <c r="D69" s="37"/>
      <c r="E69" s="51" t="s">
        <v>674</v>
      </c>
      <c r="F69" s="99" t="n">
        <v>458282</v>
      </c>
      <c r="G69" s="99" t="n">
        <v>7</v>
      </c>
      <c r="H69" s="103" t="s">
        <v>1539</v>
      </c>
      <c r="I69" s="51" t="s">
        <v>677</v>
      </c>
      <c r="J69" s="5"/>
      <c r="K69" s="5"/>
      <c r="L69" s="5"/>
      <c r="M69" s="5"/>
      <c r="N69" s="5"/>
      <c r="O69" s="5"/>
      <c r="P69" s="5"/>
      <c r="Q69" s="5"/>
      <c r="R69" s="5"/>
      <c r="S69" s="5"/>
      <c r="T69" s="5"/>
    </row>
    <row r="70" customFormat="false" ht="13.5" hidden="false" customHeight="true" outlineLevel="0" collapsed="false">
      <c r="A70" s="42" t="s">
        <v>679</v>
      </c>
      <c r="B70" s="30" t="s">
        <v>681</v>
      </c>
      <c r="C70" s="30"/>
      <c r="D70" s="30"/>
      <c r="E70" s="45" t="s">
        <v>356</v>
      </c>
      <c r="F70" s="92" t="n">
        <v>0</v>
      </c>
      <c r="G70" s="92" t="n">
        <v>0</v>
      </c>
      <c r="H70" s="93"/>
      <c r="I70" s="45" t="s">
        <v>683</v>
      </c>
      <c r="J70" s="5"/>
      <c r="K70" s="5"/>
      <c r="L70" s="5"/>
      <c r="M70" s="5"/>
      <c r="N70" s="5"/>
      <c r="O70" s="5"/>
      <c r="P70" s="5"/>
      <c r="Q70" s="5"/>
      <c r="R70" s="5"/>
      <c r="S70" s="5"/>
      <c r="T70" s="5"/>
    </row>
    <row r="71" customFormat="false" ht="15" hidden="false" customHeight="true" outlineLevel="0" collapsed="false">
      <c r="A71" s="5"/>
      <c r="B71" s="5"/>
      <c r="C71" s="5"/>
      <c r="D71" s="5"/>
      <c r="E71" s="5"/>
      <c r="F71" s="5"/>
      <c r="G71" s="5"/>
      <c r="H71" s="5"/>
      <c r="I71" s="5"/>
      <c r="J71" s="5"/>
      <c r="K71" s="5"/>
      <c r="L71" s="5"/>
      <c r="M71" s="5"/>
      <c r="N71" s="5"/>
      <c r="O71" s="5"/>
      <c r="P71" s="5"/>
      <c r="Q71" s="5"/>
      <c r="R71" s="5"/>
      <c r="S71" s="5"/>
      <c r="T71" s="5"/>
    </row>
    <row r="72" customFormat="false" ht="19.5" hidden="false" customHeight="true" outlineLevel="0" collapsed="false">
      <c r="A72" s="13" t="s">
        <v>1541</v>
      </c>
      <c r="B72" s="13"/>
      <c r="C72" s="13"/>
      <c r="D72" s="13"/>
      <c r="E72" s="13"/>
      <c r="F72" s="13"/>
      <c r="G72" s="13"/>
      <c r="H72" s="13"/>
      <c r="I72" s="13"/>
      <c r="J72" s="13"/>
      <c r="K72" s="13"/>
      <c r="L72" s="13"/>
      <c r="M72" s="13"/>
      <c r="N72" s="13"/>
      <c r="O72" s="13"/>
      <c r="P72" s="13"/>
      <c r="Q72" s="13"/>
      <c r="R72" s="13"/>
      <c r="S72" s="5"/>
      <c r="T72" s="5"/>
    </row>
    <row r="73" customFormat="false" ht="15" hidden="false" customHeight="true" outlineLevel="0" collapsed="false">
      <c r="A73" s="5"/>
      <c r="B73" s="5"/>
      <c r="C73" s="5"/>
      <c r="D73" s="5"/>
      <c r="E73" s="5"/>
      <c r="F73" s="5"/>
      <c r="G73" s="5"/>
      <c r="H73" s="5"/>
      <c r="I73" s="5"/>
      <c r="J73" s="5"/>
      <c r="K73" s="5"/>
      <c r="L73" s="5"/>
      <c r="M73" s="5"/>
      <c r="N73" s="5"/>
      <c r="O73" s="5"/>
      <c r="P73" s="5"/>
      <c r="Q73" s="5"/>
      <c r="R73" s="5"/>
      <c r="S73" s="5"/>
      <c r="T73" s="5"/>
    </row>
    <row r="74" customFormat="false" ht="27.75" hidden="false" customHeight="true" outlineLevel="0" collapsed="false">
      <c r="A74" s="23" t="s">
        <v>1542</v>
      </c>
      <c r="B74" s="23" t="s">
        <v>1543</v>
      </c>
      <c r="C74" s="23"/>
      <c r="D74" s="23"/>
      <c r="E74" s="23" t="s">
        <v>889</v>
      </c>
      <c r="F74" s="23" t="s">
        <v>817</v>
      </c>
      <c r="G74" s="23" t="s">
        <v>1519</v>
      </c>
      <c r="H74" s="23" t="s">
        <v>816</v>
      </c>
      <c r="I74" s="23" t="s">
        <v>819</v>
      </c>
      <c r="J74" s="23" t="s">
        <v>410</v>
      </c>
      <c r="K74" s="23" t="s">
        <v>78</v>
      </c>
      <c r="L74" s="23"/>
      <c r="M74" s="23"/>
      <c r="N74" s="23"/>
      <c r="O74" s="23"/>
      <c r="P74" s="23"/>
      <c r="Q74" s="23"/>
      <c r="R74" s="23"/>
      <c r="S74" s="5"/>
      <c r="T74" s="5"/>
    </row>
    <row r="75" customFormat="false" ht="13.5" hidden="false" customHeight="true" outlineLevel="0" collapsed="false">
      <c r="A75" s="42" t="s">
        <v>822</v>
      </c>
      <c r="B75" s="30" t="s">
        <v>823</v>
      </c>
      <c r="C75" s="30"/>
      <c r="D75" s="30"/>
      <c r="E75" s="30" t="s">
        <v>824</v>
      </c>
      <c r="F75" s="92" t="n">
        <v>0</v>
      </c>
      <c r="G75" s="92" t="n">
        <v>0</v>
      </c>
      <c r="H75" s="169"/>
      <c r="I75" s="169"/>
      <c r="J75" s="184" t="n">
        <v>0</v>
      </c>
      <c r="K75" s="93"/>
      <c r="L75" s="5"/>
      <c r="M75" s="5"/>
      <c r="N75" s="5"/>
      <c r="O75" s="5"/>
      <c r="P75" s="5"/>
      <c r="Q75" s="5"/>
      <c r="R75" s="5"/>
      <c r="S75" s="5"/>
      <c r="T75" s="5"/>
    </row>
    <row r="76" customFormat="false" ht="13.5" hidden="false" customHeight="true" outlineLevel="0" collapsed="false">
      <c r="A76" s="47" t="s">
        <v>825</v>
      </c>
      <c r="B76" s="37" t="s">
        <v>826</v>
      </c>
      <c r="C76" s="37"/>
      <c r="D76" s="37"/>
      <c r="E76" s="37" t="s">
        <v>824</v>
      </c>
      <c r="F76" s="99" t="n">
        <v>8323491</v>
      </c>
      <c r="G76" s="99" t="n">
        <v>8323491</v>
      </c>
      <c r="H76" s="96" t="n">
        <v>46200</v>
      </c>
      <c r="I76" s="96"/>
      <c r="J76" s="102" t="n">
        <v>0.059</v>
      </c>
      <c r="K76" s="103" t="s">
        <v>1520</v>
      </c>
      <c r="L76" s="5"/>
      <c r="M76" s="5"/>
      <c r="N76" s="5"/>
      <c r="O76" s="5"/>
      <c r="P76" s="5"/>
      <c r="Q76" s="5"/>
      <c r="R76" s="5"/>
      <c r="S76" s="5"/>
      <c r="T76" s="5"/>
    </row>
    <row r="77" customFormat="false" ht="13.5" hidden="false" customHeight="true" outlineLevel="0" collapsed="false">
      <c r="A77" s="42" t="s">
        <v>827</v>
      </c>
      <c r="B77" s="30" t="s">
        <v>828</v>
      </c>
      <c r="C77" s="30"/>
      <c r="D77" s="30"/>
      <c r="E77" s="30" t="s">
        <v>829</v>
      </c>
      <c r="F77" s="92" t="n">
        <v>0</v>
      </c>
      <c r="G77" s="92" t="n">
        <v>0</v>
      </c>
      <c r="H77" s="169"/>
      <c r="I77" s="169"/>
      <c r="J77" s="184" t="n">
        <v>0</v>
      </c>
      <c r="K77" s="93"/>
      <c r="L77" s="5"/>
      <c r="M77" s="5"/>
      <c r="N77" s="5"/>
      <c r="O77" s="5"/>
      <c r="P77" s="5"/>
      <c r="Q77" s="5"/>
      <c r="R77" s="5"/>
      <c r="S77" s="5"/>
      <c r="T77" s="5"/>
    </row>
    <row r="78" customFormat="false" ht="13.5" hidden="false" customHeight="true" outlineLevel="0" collapsed="false">
      <c r="A78" s="47" t="s">
        <v>830</v>
      </c>
      <c r="B78" s="37" t="s">
        <v>831</v>
      </c>
      <c r="C78" s="37"/>
      <c r="D78" s="37"/>
      <c r="E78" s="37" t="s">
        <v>829</v>
      </c>
      <c r="F78" s="99" t="n">
        <v>6854640</v>
      </c>
      <c r="G78" s="99" t="n">
        <v>0</v>
      </c>
      <c r="H78" s="96"/>
      <c r="I78" s="96"/>
      <c r="J78" s="102" t="n">
        <v>0</v>
      </c>
      <c r="K78" s="103" t="s">
        <v>1544</v>
      </c>
      <c r="L78" s="5"/>
      <c r="M78" s="5"/>
      <c r="N78" s="5"/>
      <c r="O78" s="5"/>
      <c r="P78" s="5"/>
      <c r="Q78" s="5"/>
      <c r="R78" s="5"/>
      <c r="S78" s="5"/>
      <c r="T78" s="5"/>
    </row>
    <row r="79" customFormat="false" ht="15" hidden="false" customHeight="true" outlineLevel="0" collapsed="false">
      <c r="A79" s="5"/>
      <c r="B79" s="5"/>
      <c r="C79" s="5"/>
      <c r="D79" s="5"/>
      <c r="E79" s="5"/>
      <c r="F79" s="5"/>
      <c r="G79" s="5"/>
      <c r="H79" s="5"/>
      <c r="I79" s="5"/>
      <c r="J79" s="5"/>
      <c r="K79" s="5"/>
      <c r="L79" s="5"/>
      <c r="M79" s="5"/>
      <c r="N79" s="5"/>
      <c r="O79" s="5"/>
      <c r="P79" s="5"/>
      <c r="Q79" s="5"/>
      <c r="R79" s="5"/>
      <c r="S79" s="5"/>
      <c r="T79" s="5"/>
    </row>
    <row r="80" customFormat="false" ht="19.5" hidden="false" customHeight="true" outlineLevel="0" collapsed="false">
      <c r="A80" s="13" t="s">
        <v>1545</v>
      </c>
      <c r="B80" s="13"/>
      <c r="C80" s="13"/>
      <c r="D80" s="13"/>
      <c r="E80" s="13"/>
      <c r="F80" s="13"/>
      <c r="G80" s="13"/>
      <c r="H80" s="13"/>
      <c r="I80" s="13"/>
      <c r="J80" s="13"/>
      <c r="K80" s="13"/>
      <c r="L80" s="13"/>
      <c r="M80" s="13"/>
      <c r="N80" s="13"/>
      <c r="O80" s="13"/>
      <c r="P80" s="13"/>
      <c r="Q80" s="13"/>
      <c r="R80" s="13"/>
      <c r="S80" s="5"/>
      <c r="T80" s="5"/>
    </row>
    <row r="81" customFormat="false" ht="15" hidden="false" customHeight="true" outlineLevel="0" collapsed="false">
      <c r="A81" s="5"/>
      <c r="B81" s="5"/>
      <c r="C81" s="5"/>
      <c r="D81" s="5"/>
      <c r="E81" s="5"/>
      <c r="F81" s="5"/>
      <c r="G81" s="5"/>
      <c r="H81" s="5"/>
      <c r="I81" s="5"/>
      <c r="J81" s="5"/>
      <c r="K81" s="5"/>
      <c r="L81" s="5"/>
      <c r="M81" s="5"/>
      <c r="N81" s="5"/>
      <c r="O81" s="5"/>
      <c r="P81" s="5"/>
      <c r="Q81" s="5"/>
      <c r="R81" s="5"/>
      <c r="S81" s="5"/>
      <c r="T81" s="5"/>
    </row>
    <row r="82" customFormat="false" ht="27.75" hidden="false" customHeight="true" outlineLevel="0" collapsed="false">
      <c r="A82" s="23" t="s">
        <v>1546</v>
      </c>
      <c r="B82" s="23"/>
      <c r="C82" s="23" t="s">
        <v>1547</v>
      </c>
      <c r="D82" s="23" t="s">
        <v>874</v>
      </c>
      <c r="E82" s="23" t="s">
        <v>1548</v>
      </c>
      <c r="F82" s="23" t="s">
        <v>1549</v>
      </c>
      <c r="G82" s="23" t="s">
        <v>924</v>
      </c>
      <c r="H82" s="23" t="s">
        <v>1550</v>
      </c>
      <c r="I82" s="23" t="s">
        <v>1551</v>
      </c>
      <c r="J82" s="23" t="s">
        <v>882</v>
      </c>
      <c r="K82" s="23" t="s">
        <v>288</v>
      </c>
      <c r="L82" s="23"/>
      <c r="M82" s="23"/>
      <c r="N82" s="23"/>
      <c r="O82" s="23"/>
      <c r="P82" s="23"/>
      <c r="Q82" s="23"/>
      <c r="R82" s="23"/>
      <c r="S82" s="5"/>
      <c r="T82" s="5"/>
    </row>
    <row r="83" customFormat="false" ht="13.5" hidden="false" customHeight="true" outlineLevel="0" collapsed="false">
      <c r="A83" s="30" t="s">
        <v>884</v>
      </c>
      <c r="B83" s="30"/>
      <c r="C83" s="45" t="s">
        <v>885</v>
      </c>
      <c r="D83" s="46" t="s">
        <v>886</v>
      </c>
      <c r="E83" s="92" t="n">
        <v>0</v>
      </c>
      <c r="F83" s="92" t="n">
        <v>0</v>
      </c>
      <c r="G83" s="87" t="n">
        <f aca="false">IF($E83=0,1,$F83/$E83)</f>
        <v>1</v>
      </c>
      <c r="H83" s="92" t="n">
        <v>0</v>
      </c>
      <c r="I83" s="92" t="n">
        <v>0</v>
      </c>
      <c r="J83" s="87" t="n">
        <f aca="false">IF($H83=0,0,$I83/$H83)</f>
        <v>0</v>
      </c>
      <c r="K83" s="46" t="str">
        <f aca="false">IF(AND($G83&gt;=0.95,$J83&gt;=0.85),"Green",IF(OR($G83&lt;0.8,$J83&lt;0.7),"Red","Amber"))</f>
        <v>Red</v>
      </c>
      <c r="L83" s="5"/>
      <c r="M83" s="5"/>
      <c r="N83" s="5"/>
      <c r="O83" s="5"/>
      <c r="P83" s="5"/>
      <c r="Q83" s="5"/>
      <c r="R83" s="5"/>
      <c r="S83" s="5"/>
      <c r="T83" s="5"/>
    </row>
    <row r="84" customFormat="false" ht="13.5" hidden="false" customHeight="true" outlineLevel="0" collapsed="false">
      <c r="A84" s="37" t="s">
        <v>887</v>
      </c>
      <c r="B84" s="37"/>
      <c r="C84" s="51" t="s">
        <v>885</v>
      </c>
      <c r="D84" s="52" t="s">
        <v>886</v>
      </c>
      <c r="E84" s="99" t="n">
        <v>1</v>
      </c>
      <c r="F84" s="99" t="n">
        <v>1</v>
      </c>
      <c r="G84" s="100" t="n">
        <f aca="false">IF($E84=0,1,$F84/$E84)</f>
        <v>1</v>
      </c>
      <c r="H84" s="99" t="n">
        <v>650</v>
      </c>
      <c r="I84" s="99" t="n">
        <v>625</v>
      </c>
      <c r="J84" s="100" t="n">
        <f aca="false">IF($H84=0,0,$I84/$H84)</f>
        <v>0.961538461538462</v>
      </c>
      <c r="K84" s="52" t="str">
        <f aca="false">IF(AND($G84&gt;=0.95,$J84&gt;=0.85),"Green",IF(OR($G84&lt;0.8,$J84&lt;0.7),"Red","Amber"))</f>
        <v>Green</v>
      </c>
      <c r="L84" s="5"/>
      <c r="M84" s="5"/>
      <c r="N84" s="5"/>
      <c r="O84" s="5"/>
      <c r="P84" s="5"/>
      <c r="Q84" s="5"/>
      <c r="R84" s="5"/>
      <c r="S84" s="5"/>
      <c r="T84" s="5"/>
    </row>
    <row r="85" customFormat="false" ht="13.5" hidden="false" customHeight="true" outlineLevel="0" collapsed="false">
      <c r="A85" s="30" t="s">
        <v>888</v>
      </c>
      <c r="B85" s="30"/>
      <c r="C85" s="45" t="s">
        <v>889</v>
      </c>
      <c r="D85" s="46" t="s">
        <v>890</v>
      </c>
      <c r="E85" s="92" t="n">
        <v>0</v>
      </c>
      <c r="F85" s="92" t="n">
        <v>0</v>
      </c>
      <c r="G85" s="87" t="n">
        <f aca="false">IF($E85=0,1,$F85/$E85)</f>
        <v>1</v>
      </c>
      <c r="H85" s="92" t="n">
        <v>0</v>
      </c>
      <c r="I85" s="92" t="n">
        <v>0</v>
      </c>
      <c r="J85" s="87" t="n">
        <f aca="false">IF($H85=0,0,$I85/$H85)</f>
        <v>0</v>
      </c>
      <c r="K85" s="46" t="str">
        <f aca="false">IF(AND($G85&gt;=0.95,$J85&gt;=0.85),"Green",IF(OR($G85&lt;0.8,$J85&lt;0.7),"Red","Amber"))</f>
        <v>Red</v>
      </c>
      <c r="L85" s="5"/>
      <c r="M85" s="5"/>
      <c r="N85" s="5"/>
      <c r="O85" s="5"/>
      <c r="P85" s="5"/>
      <c r="Q85" s="5"/>
      <c r="R85" s="5"/>
      <c r="S85" s="5"/>
      <c r="T85" s="5"/>
    </row>
    <row r="86" customFormat="false" ht="13.5" hidden="false" customHeight="true" outlineLevel="0" collapsed="false">
      <c r="A86" s="37" t="s">
        <v>891</v>
      </c>
      <c r="B86" s="37"/>
      <c r="C86" s="51" t="s">
        <v>889</v>
      </c>
      <c r="D86" s="52" t="s">
        <v>890</v>
      </c>
      <c r="E86" s="99" t="n">
        <v>7</v>
      </c>
      <c r="F86" s="99" t="n">
        <v>7</v>
      </c>
      <c r="G86" s="100" t="n">
        <f aca="false">IF($E86=0,1,$F86/$E86)</f>
        <v>1</v>
      </c>
      <c r="H86" s="99" t="n">
        <v>6729</v>
      </c>
      <c r="I86" s="99" t="n">
        <v>6117</v>
      </c>
      <c r="J86" s="100" t="n">
        <f aca="false">IF($H86=0,0,$I86/$H86)</f>
        <v>0.909050378956754</v>
      </c>
      <c r="K86" s="52" t="str">
        <f aca="false">IF(AND($G86&gt;=0.95,$J86&gt;=0.85),"Green",IF(OR($G86&lt;0.8,$J86&lt;0.7),"Red","Amber"))</f>
        <v>Green</v>
      </c>
      <c r="L86" s="5"/>
      <c r="M86" s="5"/>
      <c r="N86" s="5"/>
      <c r="O86" s="5"/>
      <c r="P86" s="5"/>
      <c r="Q86" s="5"/>
      <c r="R86" s="5"/>
      <c r="S86" s="5"/>
      <c r="T86" s="5"/>
    </row>
    <row r="87" customFormat="false" ht="13.5" hidden="false" customHeight="true" outlineLevel="0" collapsed="false">
      <c r="A87" s="30" t="s">
        <v>892</v>
      </c>
      <c r="B87" s="30"/>
      <c r="C87" s="45" t="s">
        <v>889</v>
      </c>
      <c r="D87" s="46" t="s">
        <v>890</v>
      </c>
      <c r="E87" s="92" t="n">
        <v>0</v>
      </c>
      <c r="F87" s="92" t="n">
        <v>0</v>
      </c>
      <c r="G87" s="87" t="n">
        <f aca="false">IF($E87=0,1,$F87/$E87)</f>
        <v>1</v>
      </c>
      <c r="H87" s="92" t="n">
        <v>0</v>
      </c>
      <c r="I87" s="92" t="n">
        <v>0</v>
      </c>
      <c r="J87" s="87" t="n">
        <f aca="false">IF($H87=0,0,$I87/$H87)</f>
        <v>0</v>
      </c>
      <c r="K87" s="46" t="str">
        <f aca="false">IF(AND($G87&gt;=0.95,$J87&gt;=0.85),"Green",IF(OR($G87&lt;0.8,$J87&lt;0.7),"Red","Amber"))</f>
        <v>Red</v>
      </c>
      <c r="L87" s="5"/>
      <c r="M87" s="5"/>
      <c r="N87" s="5"/>
      <c r="O87" s="5"/>
      <c r="P87" s="5"/>
      <c r="Q87" s="5"/>
      <c r="R87" s="5"/>
      <c r="S87" s="5"/>
      <c r="T87" s="5"/>
    </row>
    <row r="88" customFormat="false" ht="13.5" hidden="false" customHeight="true" outlineLevel="0" collapsed="false">
      <c r="A88" s="37" t="s">
        <v>893</v>
      </c>
      <c r="B88" s="37"/>
      <c r="C88" s="51" t="s">
        <v>889</v>
      </c>
      <c r="D88" s="52" t="s">
        <v>890</v>
      </c>
      <c r="E88" s="99" t="n">
        <v>13</v>
      </c>
      <c r="F88" s="99" t="n">
        <v>13</v>
      </c>
      <c r="G88" s="100" t="n">
        <f aca="false">IF($E88=0,1,$F88/$E88)</f>
        <v>1</v>
      </c>
      <c r="H88" s="99" t="n">
        <v>12511</v>
      </c>
      <c r="I88" s="99" t="n">
        <v>11374</v>
      </c>
      <c r="J88" s="100" t="n">
        <f aca="false">IF($H88=0,0,$I88/$H88)</f>
        <v>0.909119974422508</v>
      </c>
      <c r="K88" s="52" t="str">
        <f aca="false">IF(AND($G88&gt;=0.95,$J88&gt;=0.85),"Green",IF(OR($G88&lt;0.8,$J88&lt;0.7),"Red","Amber"))</f>
        <v>Green</v>
      </c>
      <c r="L88" s="5"/>
      <c r="M88" s="5"/>
      <c r="N88" s="5"/>
      <c r="O88" s="5"/>
      <c r="P88" s="5"/>
      <c r="Q88" s="5"/>
      <c r="R88" s="5"/>
      <c r="S88" s="5"/>
      <c r="T88" s="5"/>
    </row>
    <row r="89" customFormat="false" ht="15" hidden="false" customHeight="true" outlineLevel="0" collapsed="false">
      <c r="A89" s="5"/>
      <c r="B89" s="5"/>
      <c r="C89" s="5"/>
      <c r="D89" s="5"/>
      <c r="E89" s="5"/>
      <c r="F89" s="5"/>
      <c r="G89" s="5"/>
      <c r="H89" s="5"/>
      <c r="I89" s="5"/>
      <c r="J89" s="5"/>
      <c r="K89" s="5"/>
      <c r="L89" s="5"/>
      <c r="M89" s="5"/>
      <c r="N89" s="5"/>
      <c r="O89" s="5"/>
      <c r="P89" s="5"/>
      <c r="Q89" s="5"/>
      <c r="R89" s="5"/>
      <c r="S89" s="5"/>
      <c r="T89" s="5"/>
    </row>
    <row r="90" customFormat="false" ht="19.5" hidden="false" customHeight="true" outlineLevel="0" collapsed="false">
      <c r="A90" s="13" t="s">
        <v>1552</v>
      </c>
      <c r="B90" s="13"/>
      <c r="C90" s="13"/>
      <c r="D90" s="13"/>
      <c r="E90" s="13"/>
      <c r="F90" s="13"/>
      <c r="G90" s="13"/>
      <c r="H90" s="13"/>
      <c r="I90" s="13"/>
      <c r="J90" s="13"/>
      <c r="K90" s="13"/>
      <c r="L90" s="13"/>
      <c r="M90" s="13"/>
      <c r="N90" s="13"/>
      <c r="O90" s="13"/>
      <c r="P90" s="13"/>
      <c r="Q90" s="13"/>
      <c r="R90" s="13"/>
      <c r="S90" s="5"/>
      <c r="T90" s="5"/>
    </row>
    <row r="91" customFormat="false" ht="15.75" hidden="false" customHeight="true" outlineLevel="0" collapsed="false">
      <c r="A91" s="53" t="s">
        <v>1553</v>
      </c>
      <c r="B91" s="53"/>
      <c r="C91" s="53"/>
      <c r="D91" s="163" t="n">
        <v>0</v>
      </c>
      <c r="E91" s="163"/>
      <c r="F91" s="163"/>
      <c r="G91" s="53" t="s">
        <v>1554</v>
      </c>
      <c r="H91" s="53"/>
      <c r="I91" s="53"/>
      <c r="J91" s="163" t="n">
        <v>0</v>
      </c>
      <c r="K91" s="163"/>
      <c r="L91" s="163"/>
      <c r="M91" s="53" t="s">
        <v>1555</v>
      </c>
      <c r="N91" s="53"/>
      <c r="O91" s="53"/>
      <c r="P91" s="163" t="n">
        <v>0</v>
      </c>
      <c r="Q91" s="163"/>
      <c r="R91" s="163"/>
      <c r="S91" s="5"/>
      <c r="T91" s="5"/>
    </row>
    <row r="92" customFormat="false" ht="15.75" hidden="false" customHeight="true" outlineLevel="0" collapsed="false">
      <c r="A92" s="53" t="s">
        <v>1556</v>
      </c>
      <c r="B92" s="53"/>
      <c r="C92" s="53"/>
      <c r="D92" s="163" t="n">
        <v>0</v>
      </c>
      <c r="E92" s="163"/>
      <c r="F92" s="163"/>
      <c r="G92" s="53" t="s">
        <v>1557</v>
      </c>
      <c r="H92" s="53"/>
      <c r="I92" s="53"/>
      <c r="J92" s="163" t="n">
        <v>0</v>
      </c>
      <c r="K92" s="163"/>
      <c r="L92" s="163"/>
      <c r="M92" s="53" t="s">
        <v>1558</v>
      </c>
      <c r="N92" s="53"/>
      <c r="O92" s="53"/>
      <c r="P92" s="121" t="n">
        <f aca="false">IF(($D$91+$D$92)=0,0,($J$91+$J$92)/($D$91+$D$92))</f>
        <v>0</v>
      </c>
      <c r="Q92" s="121"/>
      <c r="R92" s="121"/>
      <c r="S92" s="5"/>
      <c r="T92" s="5"/>
    </row>
    <row r="93" customFormat="false" ht="15.75" hidden="false" customHeight="true" outlineLevel="0" collapsed="false">
      <c r="A93" s="53" t="s">
        <v>1559</v>
      </c>
      <c r="B93" s="53"/>
      <c r="C93" s="53"/>
      <c r="D93" s="163" t="n">
        <v>0</v>
      </c>
      <c r="E93" s="163"/>
      <c r="F93" s="163"/>
      <c r="G93" s="53" t="s">
        <v>1560</v>
      </c>
      <c r="H93" s="53"/>
      <c r="I93" s="53"/>
      <c r="J93" s="163" t="n">
        <v>0</v>
      </c>
      <c r="K93" s="163"/>
      <c r="L93" s="163"/>
      <c r="M93" s="53" t="s">
        <v>1561</v>
      </c>
      <c r="N93" s="53"/>
      <c r="O93" s="53"/>
      <c r="P93" s="233" t="n">
        <v>0</v>
      </c>
      <c r="Q93" s="233"/>
      <c r="R93" s="233"/>
      <c r="S93" s="5"/>
      <c r="T93" s="5"/>
    </row>
    <row r="94" customFormat="false" ht="15.75" hidden="false" customHeight="true" outlineLevel="0" collapsed="false">
      <c r="A94" s="53" t="s">
        <v>1562</v>
      </c>
      <c r="B94" s="53"/>
      <c r="C94" s="53"/>
      <c r="D94" s="117" t="n">
        <f aca="false">$D$93*0</f>
        <v>0</v>
      </c>
      <c r="E94" s="117"/>
      <c r="F94" s="117"/>
      <c r="G94" s="53" t="s">
        <v>1563</v>
      </c>
      <c r="H94" s="53"/>
      <c r="I94" s="53"/>
      <c r="J94" s="163" t="n">
        <v>0</v>
      </c>
      <c r="K94" s="163"/>
      <c r="L94" s="163"/>
      <c r="M94" s="53" t="s">
        <v>1564</v>
      </c>
      <c r="N94" s="53"/>
      <c r="O94" s="53"/>
      <c r="P94" s="163" t="n">
        <v>0</v>
      </c>
      <c r="Q94" s="163"/>
      <c r="R94" s="163"/>
      <c r="S94" s="5"/>
      <c r="T94" s="5"/>
    </row>
    <row r="95" customFormat="false" ht="15" hidden="false" customHeight="true" outlineLevel="0" collapsed="false">
      <c r="A95" s="5"/>
      <c r="B95" s="5"/>
      <c r="C95" s="5"/>
      <c r="D95" s="5"/>
      <c r="E95" s="5"/>
      <c r="F95" s="5"/>
      <c r="G95" s="5"/>
      <c r="H95" s="5"/>
      <c r="I95" s="5"/>
      <c r="J95" s="5"/>
      <c r="K95" s="5"/>
      <c r="L95" s="5"/>
      <c r="M95" s="5"/>
      <c r="N95" s="5"/>
      <c r="O95" s="5"/>
      <c r="P95" s="5"/>
      <c r="Q95" s="5"/>
      <c r="R95" s="5"/>
      <c r="S95" s="5"/>
      <c r="T95" s="5"/>
    </row>
    <row r="96" customFormat="false" ht="24" hidden="false" customHeight="true" outlineLevel="0" collapsed="false">
      <c r="A96" s="23" t="s">
        <v>1006</v>
      </c>
      <c r="B96" s="23" t="s">
        <v>1082</v>
      </c>
      <c r="C96" s="23"/>
      <c r="D96" s="23"/>
      <c r="E96" s="23" t="s">
        <v>1009</v>
      </c>
      <c r="F96" s="23" t="s">
        <v>1565</v>
      </c>
      <c r="G96" s="23" t="s">
        <v>1012</v>
      </c>
      <c r="H96" s="23" t="s">
        <v>78</v>
      </c>
      <c r="I96" s="23"/>
      <c r="J96" s="23"/>
      <c r="K96" s="23"/>
      <c r="L96" s="23"/>
      <c r="M96" s="23"/>
      <c r="N96" s="23"/>
      <c r="O96" s="23"/>
      <c r="P96" s="23"/>
      <c r="Q96" s="23"/>
      <c r="R96" s="23"/>
      <c r="S96" s="5"/>
      <c r="T96" s="5"/>
    </row>
    <row r="97" customFormat="false" ht="13.5" hidden="false" customHeight="true" outlineLevel="0" collapsed="false">
      <c r="A97" s="42" t="s">
        <v>1013</v>
      </c>
      <c r="B97" s="30" t="s">
        <v>1014</v>
      </c>
      <c r="C97" s="30"/>
      <c r="D97" s="30"/>
      <c r="E97" s="93"/>
      <c r="F97" s="30" t="s">
        <v>1016</v>
      </c>
      <c r="G97" s="92" t="n">
        <v>0</v>
      </c>
      <c r="H97" s="93"/>
      <c r="I97" s="5"/>
      <c r="J97" s="5"/>
      <c r="K97" s="5"/>
      <c r="L97" s="5"/>
      <c r="M97" s="5"/>
      <c r="N97" s="5"/>
      <c r="O97" s="5"/>
      <c r="P97" s="5"/>
      <c r="Q97" s="5"/>
      <c r="R97" s="5"/>
      <c r="S97" s="5"/>
      <c r="T97" s="5"/>
    </row>
    <row r="98" customFormat="false" ht="13.5" hidden="false" customHeight="true" outlineLevel="0" collapsed="false">
      <c r="A98" s="47" t="s">
        <v>1018</v>
      </c>
      <c r="B98" s="37" t="s">
        <v>1020</v>
      </c>
      <c r="C98" s="37"/>
      <c r="D98" s="37"/>
      <c r="E98" s="103" t="s">
        <v>1021</v>
      </c>
      <c r="F98" s="37" t="s">
        <v>1022</v>
      </c>
      <c r="G98" s="99" t="n">
        <v>38021</v>
      </c>
      <c r="H98" s="103" t="s">
        <v>1023</v>
      </c>
      <c r="I98" s="5"/>
      <c r="J98" s="5"/>
      <c r="K98" s="5"/>
      <c r="L98" s="5"/>
      <c r="M98" s="5"/>
      <c r="N98" s="5"/>
      <c r="O98" s="5"/>
      <c r="P98" s="5"/>
      <c r="Q98" s="5"/>
      <c r="R98" s="5"/>
      <c r="S98" s="5"/>
      <c r="T98" s="5"/>
    </row>
    <row r="99" customFormat="false" ht="13.5" hidden="false" customHeight="true" outlineLevel="0" collapsed="false">
      <c r="A99" s="42" t="s">
        <v>1024</v>
      </c>
      <c r="B99" s="30" t="s">
        <v>1026</v>
      </c>
      <c r="C99" s="30"/>
      <c r="D99" s="30"/>
      <c r="E99" s="93"/>
      <c r="F99" s="30" t="s">
        <v>1027</v>
      </c>
      <c r="G99" s="92" t="n">
        <v>0</v>
      </c>
      <c r="H99" s="93"/>
      <c r="I99" s="5"/>
      <c r="J99" s="5"/>
      <c r="K99" s="5"/>
      <c r="L99" s="5"/>
      <c r="M99" s="5"/>
      <c r="N99" s="5"/>
      <c r="O99" s="5"/>
      <c r="P99" s="5"/>
      <c r="Q99" s="5"/>
      <c r="R99" s="5"/>
      <c r="S99" s="5"/>
      <c r="T99" s="5"/>
    </row>
    <row r="100" customFormat="false" ht="15" hidden="false" customHeight="true" outlineLevel="0" collapsed="false">
      <c r="A100" s="5"/>
      <c r="B100" s="5"/>
      <c r="C100" s="5"/>
      <c r="D100" s="5"/>
      <c r="E100" s="5"/>
      <c r="F100" s="5"/>
      <c r="G100" s="5"/>
      <c r="H100" s="5"/>
      <c r="I100" s="5"/>
      <c r="J100" s="5"/>
      <c r="K100" s="5"/>
      <c r="L100" s="5"/>
      <c r="M100" s="5"/>
      <c r="N100" s="5"/>
      <c r="O100" s="5"/>
      <c r="P100" s="5"/>
      <c r="Q100" s="5"/>
      <c r="R100" s="5"/>
      <c r="S100" s="5"/>
      <c r="T100" s="5"/>
    </row>
    <row r="101" customFormat="false" ht="19.5" hidden="false" customHeight="true" outlineLevel="0" collapsed="false">
      <c r="A101" s="13" t="s">
        <v>1566</v>
      </c>
      <c r="B101" s="13"/>
      <c r="C101" s="13"/>
      <c r="D101" s="13"/>
      <c r="E101" s="13"/>
      <c r="F101" s="13"/>
      <c r="G101" s="13"/>
      <c r="H101" s="13"/>
      <c r="I101" s="13"/>
      <c r="J101" s="13"/>
      <c r="K101" s="13"/>
      <c r="L101" s="13"/>
      <c r="M101" s="13"/>
      <c r="N101" s="13"/>
      <c r="O101" s="13"/>
      <c r="P101" s="13"/>
      <c r="Q101" s="13"/>
      <c r="R101" s="13"/>
      <c r="S101" s="5"/>
      <c r="T101" s="5"/>
    </row>
    <row r="102" customFormat="false" ht="15" hidden="false" customHeight="true" outlineLevel="0" collapsed="false">
      <c r="A102" s="5"/>
      <c r="B102" s="5"/>
      <c r="C102" s="5"/>
      <c r="D102" s="5"/>
      <c r="E102" s="5"/>
      <c r="F102" s="5"/>
      <c r="G102" s="5"/>
      <c r="H102" s="5"/>
      <c r="I102" s="5"/>
      <c r="J102" s="5"/>
      <c r="K102" s="5"/>
      <c r="L102" s="5"/>
      <c r="M102" s="5"/>
      <c r="N102" s="5"/>
      <c r="O102" s="5"/>
      <c r="P102" s="5"/>
      <c r="Q102" s="5"/>
      <c r="R102" s="5"/>
      <c r="S102" s="5"/>
      <c r="T102" s="5"/>
    </row>
    <row r="103" customFormat="false" ht="27.75" hidden="false" customHeight="true" outlineLevel="0" collapsed="false">
      <c r="A103" s="23" t="s">
        <v>1125</v>
      </c>
      <c r="B103" s="23" t="s">
        <v>1126</v>
      </c>
      <c r="C103" s="23"/>
      <c r="D103" s="23"/>
      <c r="E103" s="23" t="s">
        <v>1567</v>
      </c>
      <c r="F103" s="23" t="s">
        <v>1568</v>
      </c>
      <c r="G103" s="23" t="s">
        <v>67</v>
      </c>
      <c r="H103" s="23" t="s">
        <v>1132</v>
      </c>
      <c r="I103" s="23" t="s">
        <v>1569</v>
      </c>
      <c r="J103" s="23" t="s">
        <v>71</v>
      </c>
      <c r="K103" s="23" t="s">
        <v>76</v>
      </c>
      <c r="L103" s="23" t="s">
        <v>78</v>
      </c>
      <c r="M103" s="23"/>
      <c r="N103" s="23"/>
      <c r="O103" s="23"/>
      <c r="P103" s="23"/>
      <c r="Q103" s="23"/>
      <c r="R103" s="23"/>
      <c r="S103" s="5"/>
      <c r="T103" s="5"/>
    </row>
    <row r="104" customFormat="false" ht="13.5" hidden="false" customHeight="true" outlineLevel="0" collapsed="false">
      <c r="A104" s="42" t="s">
        <v>669</v>
      </c>
      <c r="B104" s="30" t="s">
        <v>1143</v>
      </c>
      <c r="C104" s="30"/>
      <c r="D104" s="30"/>
      <c r="E104" s="84" t="n">
        <v>0</v>
      </c>
      <c r="F104" s="84" t="n">
        <v>0</v>
      </c>
      <c r="G104" s="43" t="n">
        <f aca="false">$E104*$F104</f>
        <v>0</v>
      </c>
      <c r="H104" s="92" t="n">
        <v>0</v>
      </c>
      <c r="I104" s="31" t="n">
        <f aca="false">(($E104*2-1)/10)*$H104</f>
        <v>-0</v>
      </c>
      <c r="J104" s="93"/>
      <c r="K104" s="30" t="s">
        <v>1147</v>
      </c>
      <c r="L104" s="93"/>
      <c r="M104" s="5"/>
      <c r="N104" s="5"/>
      <c r="O104" s="5"/>
      <c r="P104" s="5"/>
      <c r="Q104" s="5"/>
      <c r="R104" s="5"/>
      <c r="S104" s="5"/>
      <c r="T104" s="5"/>
    </row>
    <row r="105" customFormat="false" ht="13.5" hidden="false" customHeight="true" outlineLevel="0" collapsed="false">
      <c r="A105" s="47" t="s">
        <v>676</v>
      </c>
      <c r="B105" s="37" t="s">
        <v>1149</v>
      </c>
      <c r="C105" s="37"/>
      <c r="D105" s="37"/>
      <c r="E105" s="97" t="n">
        <v>4</v>
      </c>
      <c r="F105" s="97" t="n">
        <v>4</v>
      </c>
      <c r="G105" s="48" t="n">
        <f aca="false">$E105*$F105</f>
        <v>16</v>
      </c>
      <c r="H105" s="99" t="n">
        <v>2720801</v>
      </c>
      <c r="I105" s="49" t="n">
        <f aca="false">(($E105*2-1)/10)*$H105</f>
        <v>1904560.7</v>
      </c>
      <c r="J105" s="103" t="s">
        <v>1145</v>
      </c>
      <c r="K105" s="37" t="s">
        <v>1152</v>
      </c>
      <c r="L105" s="103" t="s">
        <v>1023</v>
      </c>
      <c r="M105" s="5"/>
      <c r="N105" s="5"/>
      <c r="O105" s="5"/>
      <c r="P105" s="5"/>
      <c r="Q105" s="5"/>
      <c r="R105" s="5"/>
      <c r="S105" s="5"/>
      <c r="T105" s="5"/>
    </row>
    <row r="106" customFormat="false" ht="13.5" hidden="false" customHeight="true" outlineLevel="0" collapsed="false">
      <c r="A106" s="42" t="s">
        <v>682</v>
      </c>
      <c r="B106" s="30" t="s">
        <v>1153</v>
      </c>
      <c r="C106" s="30"/>
      <c r="D106" s="30"/>
      <c r="E106" s="84" t="n">
        <v>0</v>
      </c>
      <c r="F106" s="84" t="n">
        <v>0</v>
      </c>
      <c r="G106" s="43" t="n">
        <f aca="false">$E106*$F106</f>
        <v>0</v>
      </c>
      <c r="H106" s="92" t="n">
        <v>0</v>
      </c>
      <c r="I106" s="31" t="n">
        <f aca="false">(($E106*2-1)/10)*$H106</f>
        <v>-0</v>
      </c>
      <c r="J106" s="93"/>
      <c r="K106" s="30" t="s">
        <v>667</v>
      </c>
      <c r="L106" s="93"/>
      <c r="M106" s="5"/>
      <c r="N106" s="5"/>
      <c r="O106" s="5"/>
      <c r="P106" s="5"/>
      <c r="Q106" s="5"/>
      <c r="R106" s="5"/>
      <c r="S106" s="5"/>
      <c r="T106" s="5"/>
    </row>
    <row r="107" customFormat="false" ht="13.5" hidden="false" customHeight="true" outlineLevel="0" collapsed="false">
      <c r="A107" s="47" t="s">
        <v>1156</v>
      </c>
      <c r="B107" s="37" t="s">
        <v>1157</v>
      </c>
      <c r="C107" s="37"/>
      <c r="D107" s="37"/>
      <c r="E107" s="97" t="n">
        <v>4</v>
      </c>
      <c r="F107" s="97" t="n">
        <v>3</v>
      </c>
      <c r="G107" s="48" t="n">
        <f aca="false">$E107*$F107</f>
        <v>12</v>
      </c>
      <c r="H107" s="99" t="n">
        <v>2194195</v>
      </c>
      <c r="I107" s="49" t="n">
        <f aca="false">(($E107*2-1)/10)*$H107</f>
        <v>1535936.5</v>
      </c>
      <c r="J107" s="103" t="s">
        <v>1145</v>
      </c>
      <c r="K107" s="37" t="s">
        <v>1160</v>
      </c>
      <c r="L107" s="103" t="s">
        <v>1161</v>
      </c>
      <c r="M107" s="5"/>
      <c r="N107" s="5"/>
      <c r="O107" s="5"/>
      <c r="P107" s="5"/>
      <c r="Q107" s="5"/>
      <c r="R107" s="5"/>
      <c r="S107" s="5"/>
      <c r="T107" s="5"/>
    </row>
    <row r="108" customFormat="false" ht="15" hidden="false" customHeight="true" outlineLevel="0" collapsed="false">
      <c r="A108" s="5"/>
      <c r="B108" s="5"/>
      <c r="C108" s="5"/>
      <c r="D108" s="5"/>
      <c r="E108" s="5"/>
      <c r="F108" s="5"/>
      <c r="G108" s="5"/>
      <c r="H108" s="5"/>
      <c r="I108" s="5"/>
      <c r="J108" s="5"/>
      <c r="K108" s="5"/>
      <c r="L108" s="5"/>
      <c r="M108" s="5"/>
      <c r="N108" s="5"/>
      <c r="O108" s="5"/>
      <c r="P108" s="5"/>
      <c r="Q108" s="5"/>
      <c r="R108" s="5"/>
      <c r="S108" s="5"/>
      <c r="T108" s="5"/>
    </row>
    <row r="109" customFormat="false" ht="24" hidden="false" customHeight="true" outlineLevel="0" collapsed="false">
      <c r="A109" s="23" t="s">
        <v>1183</v>
      </c>
      <c r="B109" s="23" t="s">
        <v>1184</v>
      </c>
      <c r="C109" s="23"/>
      <c r="D109" s="23"/>
      <c r="E109" s="23" t="s">
        <v>77</v>
      </c>
      <c r="F109" s="23" t="s">
        <v>657</v>
      </c>
      <c r="G109" s="23" t="s">
        <v>658</v>
      </c>
      <c r="H109" s="23" t="s">
        <v>76</v>
      </c>
      <c r="I109" s="23" t="s">
        <v>78</v>
      </c>
      <c r="J109" s="23"/>
      <c r="K109" s="23"/>
      <c r="L109" s="23"/>
      <c r="M109" s="23"/>
      <c r="N109" s="23"/>
      <c r="O109" s="23"/>
      <c r="P109" s="23"/>
      <c r="Q109" s="23"/>
      <c r="R109" s="23"/>
      <c r="S109" s="5"/>
      <c r="T109" s="5"/>
    </row>
    <row r="110" customFormat="false" ht="13.5" hidden="false" customHeight="true" outlineLevel="0" collapsed="false">
      <c r="A110" s="42" t="s">
        <v>1189</v>
      </c>
      <c r="B110" s="30" t="s">
        <v>1190</v>
      </c>
      <c r="C110" s="30"/>
      <c r="D110" s="30"/>
      <c r="E110" s="93"/>
      <c r="F110" s="92" t="n">
        <v>0</v>
      </c>
      <c r="G110" s="92" t="n">
        <v>0</v>
      </c>
      <c r="H110" s="30" t="s">
        <v>1192</v>
      </c>
      <c r="I110" s="93"/>
      <c r="J110" s="5"/>
      <c r="K110" s="5"/>
      <c r="L110" s="5"/>
      <c r="M110" s="5"/>
      <c r="N110" s="5"/>
      <c r="O110" s="5"/>
      <c r="P110" s="5"/>
      <c r="Q110" s="5"/>
      <c r="R110" s="5"/>
      <c r="S110" s="5"/>
      <c r="T110" s="5"/>
    </row>
    <row r="111" customFormat="false" ht="13.5" hidden="false" customHeight="true" outlineLevel="0" collapsed="false">
      <c r="A111" s="47" t="s">
        <v>1194</v>
      </c>
      <c r="B111" s="37" t="s">
        <v>1195</v>
      </c>
      <c r="C111" s="37"/>
      <c r="D111" s="37"/>
      <c r="E111" s="103" t="s">
        <v>1571</v>
      </c>
      <c r="F111" s="99" t="n">
        <v>0</v>
      </c>
      <c r="G111" s="99" t="n">
        <v>34</v>
      </c>
      <c r="H111" s="37" t="s">
        <v>1197</v>
      </c>
      <c r="I111" s="103" t="s">
        <v>1023</v>
      </c>
      <c r="J111" s="5"/>
      <c r="K111" s="5"/>
      <c r="L111" s="5"/>
      <c r="M111" s="5"/>
      <c r="N111" s="5"/>
      <c r="O111" s="5"/>
      <c r="P111" s="5"/>
      <c r="Q111" s="5"/>
      <c r="R111" s="5"/>
      <c r="S111" s="5"/>
      <c r="T111" s="5"/>
    </row>
    <row r="112" customFormat="false" ht="13.5" hidden="false" customHeight="true" outlineLevel="0" collapsed="false">
      <c r="A112" s="42" t="s">
        <v>1198</v>
      </c>
      <c r="B112" s="30" t="s">
        <v>1199</v>
      </c>
      <c r="C112" s="30"/>
      <c r="D112" s="30"/>
      <c r="E112" s="93"/>
      <c r="F112" s="92" t="n">
        <v>0</v>
      </c>
      <c r="G112" s="92" t="n">
        <v>0</v>
      </c>
      <c r="H112" s="30" t="s">
        <v>1201</v>
      </c>
      <c r="I112" s="93"/>
      <c r="J112" s="5"/>
      <c r="K112" s="5"/>
      <c r="L112" s="5"/>
      <c r="M112" s="5"/>
      <c r="N112" s="5"/>
      <c r="O112" s="5"/>
      <c r="P112" s="5"/>
      <c r="Q112" s="5"/>
      <c r="R112" s="5"/>
      <c r="S112" s="5"/>
      <c r="T112" s="5"/>
    </row>
    <row r="113" customFormat="false" ht="13.5" hidden="false" customHeight="true" outlineLevel="0" collapsed="false">
      <c r="A113" s="47" t="s">
        <v>1203</v>
      </c>
      <c r="B113" s="37" t="s">
        <v>1204</v>
      </c>
      <c r="C113" s="37"/>
      <c r="D113" s="37"/>
      <c r="E113" s="103" t="s">
        <v>1570</v>
      </c>
      <c r="F113" s="99" t="n">
        <v>526607</v>
      </c>
      <c r="G113" s="99" t="n">
        <v>0</v>
      </c>
      <c r="H113" s="37" t="s">
        <v>667</v>
      </c>
      <c r="I113" s="103" t="s">
        <v>1017</v>
      </c>
      <c r="J113" s="5"/>
      <c r="K113" s="5"/>
      <c r="L113" s="5"/>
      <c r="M113" s="5"/>
      <c r="N113" s="5"/>
      <c r="O113" s="5"/>
      <c r="P113" s="5"/>
      <c r="Q113" s="5"/>
      <c r="R113" s="5"/>
      <c r="S113" s="5"/>
      <c r="T113" s="5"/>
    </row>
    <row r="114" customFormat="false" ht="15" hidden="false" customHeight="true" outlineLevel="0" collapsed="false">
      <c r="A114" s="5"/>
      <c r="B114" s="5"/>
      <c r="C114" s="5"/>
      <c r="D114" s="5"/>
      <c r="E114" s="5"/>
      <c r="F114" s="5"/>
      <c r="G114" s="5"/>
      <c r="H114" s="5"/>
      <c r="I114" s="5"/>
      <c r="J114" s="5"/>
      <c r="K114" s="5"/>
      <c r="L114" s="5"/>
      <c r="M114" s="5"/>
      <c r="N114" s="5"/>
      <c r="O114" s="5"/>
      <c r="P114" s="5"/>
      <c r="Q114" s="5"/>
      <c r="R114" s="5"/>
      <c r="S114" s="5"/>
      <c r="T114" s="5"/>
    </row>
    <row r="115" customFormat="false" ht="25.5" hidden="false" customHeight="true" outlineLevel="0" collapsed="false">
      <c r="A115" s="58" t="s">
        <v>1572</v>
      </c>
      <c r="B115" s="58"/>
      <c r="C115" s="58"/>
      <c r="D115" s="58"/>
      <c r="E115" s="58"/>
      <c r="F115" s="58"/>
      <c r="G115" s="58"/>
      <c r="H115" s="58"/>
      <c r="I115" s="58"/>
      <c r="J115" s="58"/>
      <c r="K115" s="58"/>
      <c r="L115" s="58"/>
      <c r="M115" s="58"/>
      <c r="N115" s="58"/>
      <c r="O115" s="58"/>
      <c r="P115" s="58"/>
      <c r="Q115" s="58"/>
      <c r="R115" s="58"/>
      <c r="S115" s="5"/>
      <c r="T115" s="5"/>
    </row>
  </sheetData>
  <mergeCells count="163">
    <mergeCell ref="A1:R1"/>
    <mergeCell ref="A2:R2"/>
    <mergeCell ref="A3:R3"/>
    <mergeCell ref="A4:R4"/>
    <mergeCell ref="A6:R6"/>
    <mergeCell ref="A7:C7"/>
    <mergeCell ref="D7:F7"/>
    <mergeCell ref="G7:I7"/>
    <mergeCell ref="J7:L7"/>
    <mergeCell ref="M7:O7"/>
    <mergeCell ref="P7:R7"/>
    <mergeCell ref="A8:C8"/>
    <mergeCell ref="D8:F8"/>
    <mergeCell ref="G8:I8"/>
    <mergeCell ref="J8:L8"/>
    <mergeCell ref="M8:O8"/>
    <mergeCell ref="P8:R8"/>
    <mergeCell ref="A9:C9"/>
    <mergeCell ref="D9:F9"/>
    <mergeCell ref="G9:I9"/>
    <mergeCell ref="J9:L9"/>
    <mergeCell ref="M9:O9"/>
    <mergeCell ref="P9:R9"/>
    <mergeCell ref="A10:C10"/>
    <mergeCell ref="D10:F10"/>
    <mergeCell ref="G10:I10"/>
    <mergeCell ref="J10:L10"/>
    <mergeCell ref="M10:O10"/>
    <mergeCell ref="P10:R10"/>
    <mergeCell ref="A11:C11"/>
    <mergeCell ref="D11:F11"/>
    <mergeCell ref="G11:I11"/>
    <mergeCell ref="J11:L11"/>
    <mergeCell ref="M11:O11"/>
    <mergeCell ref="P11:R11"/>
    <mergeCell ref="A13:R13"/>
    <mergeCell ref="A14:C14"/>
    <mergeCell ref="D14:F14"/>
    <mergeCell ref="G14:I14"/>
    <mergeCell ref="J14:L14"/>
    <mergeCell ref="M14:O14"/>
    <mergeCell ref="P14:R14"/>
    <mergeCell ref="A15:C15"/>
    <mergeCell ref="D15:F15"/>
    <mergeCell ref="G15:I15"/>
    <mergeCell ref="J15:L15"/>
    <mergeCell ref="M15:O15"/>
    <mergeCell ref="P15:R15"/>
    <mergeCell ref="A16:C16"/>
    <mergeCell ref="D16:F16"/>
    <mergeCell ref="G16:I16"/>
    <mergeCell ref="J16:L16"/>
    <mergeCell ref="M16:O16"/>
    <mergeCell ref="P16:R16"/>
    <mergeCell ref="A18:R18"/>
    <mergeCell ref="A19:C19"/>
    <mergeCell ref="D19:F19"/>
    <mergeCell ref="G19:I19"/>
    <mergeCell ref="J19:L19"/>
    <mergeCell ref="M19:O19"/>
    <mergeCell ref="P19:R19"/>
    <mergeCell ref="A20:C20"/>
    <mergeCell ref="D20:F20"/>
    <mergeCell ref="G20:I20"/>
    <mergeCell ref="J20:L20"/>
    <mergeCell ref="M20:O20"/>
    <mergeCell ref="P20:R20"/>
    <mergeCell ref="A21:C21"/>
    <mergeCell ref="D21:F21"/>
    <mergeCell ref="G21:I21"/>
    <mergeCell ref="J21:L21"/>
    <mergeCell ref="M21:O21"/>
    <mergeCell ref="P21:R21"/>
    <mergeCell ref="A22:C22"/>
    <mergeCell ref="D22:F22"/>
    <mergeCell ref="G22:I22"/>
    <mergeCell ref="J22:L22"/>
    <mergeCell ref="M22:O22"/>
    <mergeCell ref="P22:R22"/>
    <mergeCell ref="A24:R24"/>
    <mergeCell ref="A25:R25"/>
    <mergeCell ref="A41:E41"/>
    <mergeCell ref="A43:R43"/>
    <mergeCell ref="A44:R44"/>
    <mergeCell ref="A46:D46"/>
    <mergeCell ref="A47:D47"/>
    <mergeCell ref="A48:D48"/>
    <mergeCell ref="A49:D49"/>
    <mergeCell ref="A50:D50"/>
    <mergeCell ref="A51:D51"/>
    <mergeCell ref="A52:D52"/>
    <mergeCell ref="A53:D53"/>
    <mergeCell ref="A54:D54"/>
    <mergeCell ref="A55:D55"/>
    <mergeCell ref="A56:D56"/>
    <mergeCell ref="A57:D57"/>
    <mergeCell ref="A58:D58"/>
    <mergeCell ref="J58:K58"/>
    <mergeCell ref="A60:R60"/>
    <mergeCell ref="A61:R61"/>
    <mergeCell ref="B62:D62"/>
    <mergeCell ref="B63:D63"/>
    <mergeCell ref="B64:D64"/>
    <mergeCell ref="B65:D65"/>
    <mergeCell ref="B67:D67"/>
    <mergeCell ref="B68:D68"/>
    <mergeCell ref="B69:D69"/>
    <mergeCell ref="B70:D70"/>
    <mergeCell ref="A72:R72"/>
    <mergeCell ref="B74:D74"/>
    <mergeCell ref="B75:D75"/>
    <mergeCell ref="B76:D76"/>
    <mergeCell ref="B77:D77"/>
    <mergeCell ref="B78:D78"/>
    <mergeCell ref="A80:R80"/>
    <mergeCell ref="A82:B82"/>
    <mergeCell ref="A83:B83"/>
    <mergeCell ref="A84:B84"/>
    <mergeCell ref="A85:B85"/>
    <mergeCell ref="A86:B86"/>
    <mergeCell ref="A87:B87"/>
    <mergeCell ref="A88:B88"/>
    <mergeCell ref="A90:R90"/>
    <mergeCell ref="A91:C91"/>
    <mergeCell ref="D91:F91"/>
    <mergeCell ref="G91:I91"/>
    <mergeCell ref="J91:L91"/>
    <mergeCell ref="M91:O91"/>
    <mergeCell ref="P91:R91"/>
    <mergeCell ref="A92:C92"/>
    <mergeCell ref="D92:F92"/>
    <mergeCell ref="G92:I92"/>
    <mergeCell ref="J92:L92"/>
    <mergeCell ref="M92:O92"/>
    <mergeCell ref="P92:R92"/>
    <mergeCell ref="A93:C93"/>
    <mergeCell ref="D93:F93"/>
    <mergeCell ref="G93:I93"/>
    <mergeCell ref="J93:L93"/>
    <mergeCell ref="M93:O93"/>
    <mergeCell ref="P93:R93"/>
    <mergeCell ref="A94:C94"/>
    <mergeCell ref="D94:F94"/>
    <mergeCell ref="G94:I94"/>
    <mergeCell ref="J94:L94"/>
    <mergeCell ref="M94:O94"/>
    <mergeCell ref="P94:R94"/>
    <mergeCell ref="B96:D96"/>
    <mergeCell ref="B97:D97"/>
    <mergeCell ref="B98:D98"/>
    <mergeCell ref="B99:D99"/>
    <mergeCell ref="A101:R101"/>
    <mergeCell ref="B103:D103"/>
    <mergeCell ref="B104:D104"/>
    <mergeCell ref="B105:D105"/>
    <mergeCell ref="B106:D106"/>
    <mergeCell ref="B107:D107"/>
    <mergeCell ref="B109:D109"/>
    <mergeCell ref="B110:D110"/>
    <mergeCell ref="B111:D111"/>
    <mergeCell ref="B112:D112"/>
    <mergeCell ref="B113:D113"/>
    <mergeCell ref="A115:R115"/>
  </mergeCells>
  <dataValidations count="1">
    <dataValidation allowBlank="true" errorStyle="stop" operator="between" showDropDown="false" showErrorMessage="false" showInputMessage="false" sqref="J7" type="list">
      <formula1>PortfolioList</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2026-08-31T13:52:41Z</dcterms:created>
  <dc:creator>openpyxl</dc:creator>
  <dc:description/>
  <dc:language>en-US</dc:language>
  <cp:lastModifiedBy/>
  <dcterms:modified xsi:type="dcterms:W3CDTF">2026-08-31T23:43:49Z</dcterms:modified>
  <cp:revision>10</cp:revision>
  <dc:subject/>
  <dc:title/>
</cp:coreProperties>
</file>

<file path=docProps/custom.xml><?xml version="1.0" encoding="utf-8"?>
<Properties xmlns="http://schemas.openxmlformats.org/officeDocument/2006/custom-properties" xmlns:vt="http://schemas.openxmlformats.org/officeDocument/2006/docPropsVTypes"/>
</file>